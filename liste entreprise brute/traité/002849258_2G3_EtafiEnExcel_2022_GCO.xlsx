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mc:Choice Requires="x15">
      <x15ac:absPath xmlns:x15ac="http://schemas.microsoft.com/office/spreadsheetml/2010/11/ac" url="https://onedrive-global.kpmg.com/personal/pdiagne_kpmg_sn/Documents/Documents/Missions/GCO/2022/"/>
    </mc:Choice>
  </mc:AlternateContent>
  <xr:revisionPtr revIDLastSave="3" documentId="8_{0D445F3E-4109-4E4C-A942-9F57296BE846}" xr6:coauthVersionLast="47" xr6:coauthVersionMax="47" xr10:uidLastSave="{8B915C8F-69D6-4F14-80FD-2D9AC2699C19}"/>
  <workbookProtection lockStructure="true"/>
  <bookViews>
    <workbookView xWindow="-110" yWindow="-110" windowWidth="19420" windowHeight="10420" tabRatio="903" activeTab="6"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C Bis" sheetId="70" r:id="rId14"/>
    <sheet name="Note 3D" sheetId="23" r:id="rId15"/>
    <sheet name="Note 3E" sheetId="24" r:id="rId16"/>
    <sheet name="Note 4" sheetId="25" r:id="rId17"/>
    <sheet name="Note 5" sheetId="26" r:id="rId18"/>
    <sheet name="Note 6" sheetId="27" r:id="rId19"/>
    <sheet name="Note 7" sheetId="28" r:id="rId20"/>
    <sheet name="Note 8" sheetId="29" r:id="rId21"/>
    <sheet name="Note 8A" sheetId="30" r:id="rId22"/>
    <sheet name="Note 8B" sheetId="71" r:id="rId23"/>
    <sheet name="Note 8C" sheetId="72" r:id="rId24"/>
    <sheet name="Note 9" sheetId="31" r:id="rId25"/>
    <sheet name="Note 10" sheetId="32" r:id="rId26"/>
    <sheet name="Note 11" sheetId="33" r:id="rId27"/>
    <sheet name="Note 12" sheetId="34" r:id="rId28"/>
    <sheet name="Note 13" sheetId="35" r:id="rId29"/>
    <sheet name="Note 14" sheetId="36" r:id="rId30"/>
    <sheet name="Note 15A" sheetId="37" r:id="rId31"/>
    <sheet name="Note 15B" sheetId="38" r:id="rId32"/>
    <sheet name="Note 16A" sheetId="39" r:id="rId33"/>
    <sheet name="Note 16B" sheetId="40" r:id="rId34"/>
    <sheet name="Note 16B bis" sheetId="41" r:id="rId35"/>
    <sheet name="Note 16C" sheetId="42" r:id="rId36"/>
    <sheet name="Note 17" sheetId="43" r:id="rId37"/>
    <sheet name="Note 18" sheetId="44" r:id="rId38"/>
    <sheet name="Note 19" sheetId="45" r:id="rId39"/>
    <sheet name="Note 20" sheetId="46" r:id="rId40"/>
    <sheet name="Note 21" sheetId="47" r:id="rId41"/>
    <sheet name="Note 22" sheetId="48" r:id="rId42"/>
    <sheet name="Note 23" sheetId="49" r:id="rId43"/>
    <sheet name="Note 24" sheetId="50" r:id="rId44"/>
    <sheet name="Note 25" sheetId="51" r:id="rId45"/>
    <sheet name="Note 26" sheetId="52" r:id="rId46"/>
    <sheet name="Note 27A" sheetId="53" r:id="rId47"/>
    <sheet name="Note 27B" sheetId="54" r:id="rId48"/>
    <sheet name="Note 28" sheetId="55" r:id="rId49"/>
    <sheet name="Note 29" sheetId="56" r:id="rId50"/>
    <sheet name="Note 30" sheetId="57" r:id="rId51"/>
    <sheet name="Note 31" sheetId="58" r:id="rId52"/>
    <sheet name="Note 32" sheetId="59" r:id="rId53"/>
    <sheet name="Note 33" sheetId="60" r:id="rId54"/>
    <sheet name="Note 34" sheetId="61" r:id="rId55"/>
    <sheet name="Note 35" sheetId="73" r:id="rId56"/>
    <sheet name="Note 36" sheetId="63" r:id="rId57"/>
    <sheet name="Codes activités" sheetId="64" r:id="rId58"/>
  </sheets>
  <definedNames>
    <definedName name="_xlnm.Database" localSheetId="7">#REF!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2">#REF!</definedName>
    <definedName name="_xlnm.Database" localSheetId="53">#REF!</definedName>
    <definedName name="_xlnm.Database" localSheetId="54">#REF!</definedName>
    <definedName name="_xlnm.Database" localSheetId="55">#REF!</definedName>
    <definedName name="_xlnm.Database" localSheetId="56">#REF!</definedName>
    <definedName name="_xlnm.Database">#REF!</definedName>
    <definedName name="_xlnm.Print_Area" localSheetId="2">'Activités de l''entreprise R2'!$A$1:$T$60</definedName>
    <definedName name="_xlnm.Print_Area" localSheetId="5">'BILAN PAYSAGE'!$A$1:$L$31</definedName>
    <definedName name="_xlnm.Print_Area" localSheetId="57">'Codes activités'!$A$1:$C$86</definedName>
    <definedName name="_xlnm.Print_Area" localSheetId="6">'COMPTE DE RESULTAT'!$A$1:$F$43</definedName>
    <definedName name="_xlnm.Print_Area" localSheetId="3">'Dirigeants R3'!$A$1:$F$46</definedName>
    <definedName name="_xlnm.Print_Area" localSheetId="1">'Fiche de renseignement R1'!$A$1:$AN$83</definedName>
    <definedName name="_xlnm.Print_Area" localSheetId="7">'FLUX DE TRESORERIE'!$A$1:$F$31</definedName>
    <definedName name="_xlnm.Print_Area" localSheetId="25">'Note 10'!$A$1:$D$19</definedName>
    <definedName name="_xlnm.Print_Area" localSheetId="26">'Note 11'!$A$1:$D$26</definedName>
    <definedName name="_xlnm.Print_Area" localSheetId="27">'Note 12'!$A$1:$G$35</definedName>
    <definedName name="_xlnm.Print_Area" localSheetId="28">'Note 13'!$A$1:$G$20</definedName>
    <definedName name="_xlnm.Print_Area" localSheetId="29">'Note 14'!$A$1:$G$27</definedName>
    <definedName name="_xlnm.Print_Area" localSheetId="30">'Note 15A'!$A$1:$H$28</definedName>
    <definedName name="_xlnm.Print_Area" localSheetId="31">'Note 15B'!$A$1:$G$14</definedName>
    <definedName name="_xlnm.Print_Area" localSheetId="32">'Note 16A'!$A$1:$H$41</definedName>
    <definedName name="_xlnm.Print_Area" localSheetId="33">'Note 16B'!$A$1:$F$40</definedName>
    <definedName name="_xlnm.Print_Area" localSheetId="34">'Note 16B bis'!$A$1:$E$25</definedName>
    <definedName name="_xlnm.Print_Area" localSheetId="35">'Note 16C'!$A$1:$D$22</definedName>
    <definedName name="_xlnm.Print_Area" localSheetId="36">'Note 17'!$A$1:$H$23</definedName>
    <definedName name="_xlnm.Print_Area" localSheetId="37">'Note 18'!$A$1:$H$27</definedName>
    <definedName name="_xlnm.Print_Area" localSheetId="38">'Note 19'!$A$1:$H$38</definedName>
    <definedName name="_xlnm.Print_Area" localSheetId="39">'Note 20'!$A$1:$D$20</definedName>
    <definedName name="_xlnm.Print_Area" localSheetId="41">'Note 22'!$A$1:$D$39</definedName>
    <definedName name="_xlnm.Print_Area" localSheetId="43">'Note 24'!$A$1:$D$27</definedName>
    <definedName name="_xlnm.Print_Area" localSheetId="44">'Note 25'!$A$1:$D$17</definedName>
    <definedName name="_xlnm.Print_Area" localSheetId="45">'Note 26'!$A$1:$D$20</definedName>
    <definedName name="_xlnm.Print_Area" localSheetId="46">'Note 27A'!$A$1:$D$18</definedName>
    <definedName name="_xlnm.Print_Area" localSheetId="47">'Note 27B'!$A$1:$P$31</definedName>
    <definedName name="_xlnm.Print_Area" localSheetId="48">'Note 28'!$A$1:$I$26</definedName>
    <definedName name="_xlnm.Print_Area" localSheetId="49">'Note 29'!$A$1:$D$32</definedName>
    <definedName name="_xlnm.Print_Area" localSheetId="50">'Note 30'!$A$1:$D$36</definedName>
    <definedName name="_xlnm.Print_Area" localSheetId="51">'Note 31'!$A$1:$F$36</definedName>
    <definedName name="_xlnm.Print_Area" localSheetId="52">'Note 32'!$A$1:$N$26</definedName>
    <definedName name="_xlnm.Print_Area" localSheetId="53">'Note 33'!$A$1:$I$29</definedName>
    <definedName name="_xlnm.Print_Area" localSheetId="54">'Note 34'!$A$1:$D$66</definedName>
    <definedName name="_xlnm.Print_Area" localSheetId="55">'Note 35'!$A$1:$D$26</definedName>
    <definedName name="_xlnm.Print_Area" localSheetId="56">'Note 36'!$A$1:$O$58</definedName>
    <definedName name="_xlnm.Print_Area" localSheetId="10">'Note 3A'!$A$1:$H$31</definedName>
    <definedName name="_xlnm.Print_Area" localSheetId="11">'Note 3B'!$A$1:$I$23</definedName>
    <definedName name="_xlnm.Print_Area" localSheetId="12">'Note 3C'!$A$1:$E$26</definedName>
    <definedName name="_xlnm.Print_Area" localSheetId="13">'Note 3C Bis'!$A$1:$E$31</definedName>
    <definedName name="_xlnm.Print_Area" localSheetId="14">'Note 3D'!$A$1:$F$27</definedName>
    <definedName name="_xlnm.Print_Area" localSheetId="15">'Note 3E'!$A$1:$D$27</definedName>
    <definedName name="_xlnm.Print_Area" localSheetId="16">'Note 4'!$A$1:$H$37</definedName>
    <definedName name="_xlnm.Print_Area" localSheetId="17">'Note 5'!$A$1:$H$28</definedName>
    <definedName name="_xlnm.Print_Area" localSheetId="18">'Note 6'!$A$1:$D$26</definedName>
    <definedName name="_xlnm.Print_Area" localSheetId="19">'Note 7'!$A$1:$H$29</definedName>
    <definedName name="_xlnm.Print_Area" localSheetId="20">'Note 8'!$A$1:$G$25</definedName>
    <definedName name="_xlnm.Print_Area" localSheetId="21">'Note 8A'!$A$1:$G$28</definedName>
    <definedName name="_xlnm.Print_Area" localSheetId="22">'Note 8B'!$A$1:$G$22</definedName>
    <definedName name="_xlnm.Print_Area" localSheetId="23">'Note 8C'!$A$1:$G$28</definedName>
    <definedName name="_xlnm.Print_Area" localSheetId="24">'Note 9'!$A$1:$D$20</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61" l="1"/>
  <c r="D11" i="49"/>
  <c r="D12" i="49"/>
  <c r="D13" i="49"/>
  <c r="D9" i="49"/>
  <c r="D37" i="48"/>
  <c r="D24" i="48"/>
  <c r="D26" i="48"/>
  <c r="D27" i="48"/>
  <c r="D29" i="48"/>
  <c r="D31" i="48"/>
  <c r="D32" i="48"/>
  <c r="D33" i="48"/>
  <c r="D34" i="48"/>
  <c r="D35" i="48"/>
  <c r="D23" i="48"/>
  <c r="F26" i="34"/>
  <c r="G11" i="34"/>
  <c r="G10" i="34"/>
  <c r="C47" i="61"/>
  <c r="C48" i="61" s="1"/>
  <c r="C52" i="61" s="1"/>
  <c r="B54" i="61"/>
  <c r="B47" i="61"/>
  <c r="B48" i="61" s="1"/>
  <c r="B52" i="61" s="1"/>
  <c r="C39" i="61"/>
  <c r="D39" i="61" s="1"/>
  <c r="B39" i="61"/>
  <c r="C38" i="61"/>
  <c r="B38" i="61"/>
  <c r="D63" i="61"/>
  <c r="D62" i="61"/>
  <c r="D59" i="61"/>
  <c r="D58" i="61"/>
  <c r="D57" i="61"/>
  <c r="D55" i="61"/>
  <c r="D45" i="61"/>
  <c r="D36" i="61"/>
  <c r="D34" i="61"/>
  <c r="D46" i="61"/>
  <c r="D44" i="61"/>
  <c r="D43" i="61"/>
  <c r="D42" i="61"/>
  <c r="D41" i="61"/>
  <c r="D12" i="61"/>
  <c r="D13" i="61"/>
  <c r="D14" i="61"/>
  <c r="D15" i="61"/>
  <c r="D16" i="61"/>
  <c r="D18" i="61"/>
  <c r="D10" i="61"/>
  <c r="B60" i="61"/>
  <c r="B28" i="56"/>
  <c r="E23" i="3"/>
  <c r="E25" i="3" s="1"/>
  <c r="E28" i="3" s="1"/>
  <c r="E22" i="3"/>
  <c r="E29" i="3"/>
  <c r="E34" i="3"/>
  <c r="D48" i="61" l="1"/>
  <c r="D47" i="61"/>
  <c r="D52" i="61"/>
  <c r="D38" i="61"/>
  <c r="N25" i="59"/>
  <c r="L25" i="59"/>
  <c r="H25" i="59"/>
  <c r="D54" i="61" l="1"/>
  <c r="C60" i="61"/>
  <c r="D60" i="61" s="1"/>
  <c r="E28" i="5" l="1"/>
  <c r="E17" i="5"/>
  <c r="E10" i="5"/>
  <c r="F28" i="5"/>
  <c r="F29" i="5" s="1"/>
  <c r="F30" i="5" s="1"/>
</calcChain>
</file>

<file path=xl/sharedStrings.xml><?xml version="1.0" encoding="utf-8"?>
<sst xmlns="http://schemas.openxmlformats.org/spreadsheetml/2006/main" count="2477" uniqueCount="1549">
  <si>
    <t xml:space="preserve">REPUBLIQUE </t>
  </si>
  <si>
    <t>DU SENEGAL</t>
  </si>
  <si>
    <t>MINISTERE</t>
  </si>
  <si>
    <t>DES FINANCES ET DU BUDGET</t>
  </si>
  <si>
    <t>DIRECTION</t>
  </si>
  <si>
    <t>DIRECTION GENERALE DES IMÔTS ET DES DOMAINES</t>
  </si>
  <si>
    <t>ETATS FINANCIERS NORMALISES DU SYSCOHADA</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</si>
  <si>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</si>
  <si>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</si>
  <si>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</si>
  <si>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</si>
  <si>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</si>
  <si>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</si>
  <si>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</si>
  <si>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</si>
  <si>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</si>
  <si>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</si>
  <si>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</si>
  <si>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</si>
  <si>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</si>
  <si>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</si>
  <si>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</si>
  <si>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</si>
  <si>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</si>
  <si>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</si>
  <si>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</si>
  <si>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</si>
  <si>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</si>
  <si>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</si>
  <si>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</si>
  <si>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</si>
  <si>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N° d'identification</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</si>
  <si>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</si>
  <si>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</si>
  <si>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</si>
  <si>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</si>
  <si>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</si>
  <si>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</si>
  <si>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</si>
  <si>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</si>
  <si>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</si>
  <si>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</si>
  <si>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</si>
  <si>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</si>
  <si>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</si>
  <si>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</si>
  <si>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</si>
  <si>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</si>
  <si>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N° de sécurité sociale</t>
  </si>
  <si>
    <t>N° Code employeur</t>
  </si>
  <si>
    <t>Code activité principale</t>
  </si>
  <si>
    <t>ZF</t>
  </si>
  <si>
    <t>Sigle</t>
  </si>
  <si>
    <t>ZG</t>
  </si>
  <si>
    <t>N° de téléphone</t>
  </si>
  <si>
    <t>Télécopie</t>
  </si>
  <si>
    <t>Code</t>
  </si>
  <si>
    <t>Boîte postale</t>
  </si>
  <si>
    <t>Ville</t>
  </si>
  <si>
    <t>ZH</t>
  </si>
  <si>
    <t>Adresse géographique complète (Immeuble, rue, quartier, ville, pays)</t>
  </si>
  <si>
    <t>ZI</t>
  </si>
  <si>
    <t>Désignation précise de l'activité principale exercée par l'entreprise</t>
  </si>
  <si>
    <t>% capacité production utilisée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</si>
  <si>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</si>
  <si>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</si>
  <si>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</si>
  <si>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</si>
  <si>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</si>
  <si>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</si>
  <si>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</si>
  <si>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</si>
  <si>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</si>
  <si>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</si>
  <si>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</si>
  <si>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</si>
  <si>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</si>
  <si>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</si>
  <si>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</si>
  <si>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</si>
  <si>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</si>
  <si>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</si>
  <si>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</si>
  <si>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</si>
  <si>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</si>
  <si>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</si>
  <si>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</si>
  <si>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</si>
  <si>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</si>
  <si>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sz val="10"/>
        <color indexed="8"/>
        <rFont val="Cambria"/>
        <family val="1"/>
      </rPr>
      <t>(1)</t>
    </r>
  </si>
  <si>
    <t>ZQ</t>
  </si>
  <si>
    <t>Entreprise sous contrôle public</t>
  </si>
  <si>
    <t>ZL</t>
  </si>
  <si>
    <r>
      <t>Régime fiscal</t>
    </r>
    <r>
      <rPr>
        <sz val="10"/>
        <color indexed="8"/>
        <rFont val="Cambria"/>
        <family val="1"/>
      </rPr>
      <t xml:space="preserve">  (1)</t>
    </r>
  </si>
  <si>
    <t>ZR</t>
  </si>
  <si>
    <t>Entreprise sous contrôle privé national</t>
  </si>
  <si>
    <t>ZM</t>
  </si>
  <si>
    <r>
      <t xml:space="preserve">Pays du siège social </t>
    </r>
    <r>
      <rPr>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</si>
  <si>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</si>
  <si>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</si>
  <si>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</si>
  <si>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</si>
  <si>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</si>
  <si>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</si>
  <si>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</si>
  <si>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</si>
  <si>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</si>
  <si>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</si>
  <si>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sz val="10"/>
        <color indexed="8"/>
        <rFont val="Cambria"/>
        <family val="1"/>
      </rPr>
      <t>(2)</t>
    </r>
  </si>
  <si>
    <r>
      <t xml:space="preserve">Code nomenclature d'activité </t>
    </r>
    <r>
      <rPr>
        <b/>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</si>
  <si>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</si>
  <si>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</si>
  <si>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</si>
  <si>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</si>
  <si>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</si>
  <si>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</si>
  <si>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</si>
  <si>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</si>
  <si>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</si>
  <si>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</si>
  <si>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</si>
  <si>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</si>
  <si>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</si>
  <si>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</si>
  <si>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</si>
  <si>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</si>
  <si>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</si>
  <si>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</si>
  <si>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</si>
  <si>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</si>
  <si>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</si>
  <si>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</si>
  <si>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</si>
  <si>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</si>
  <si>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</si>
  <si>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</si>
  <si>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</si>
  <si>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</si>
  <si>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</si>
  <si>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</si>
  <si>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</si>
  <si>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</si>
  <si>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</si>
  <si>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3F</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</si>
  <si>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</si>
  <si>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</si>
  <si>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</si>
  <si>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</si>
  <si>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</si>
  <si>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</si>
  <si>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</si>
  <si>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</si>
  <si>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</si>
  <si>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</si>
  <si>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</si>
  <si>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</si>
  <si>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</si>
  <si>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</si>
  <si>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</si>
  <si>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</si>
  <si>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</si>
  <si>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</si>
  <si>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</si>
  <si>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</si>
  <si>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</si>
  <si>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</si>
  <si>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</si>
  <si>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</si>
  <si>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</si>
  <si>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</si>
  <si>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</si>
  <si>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</si>
  <si>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</si>
  <si>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</si>
  <si>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</si>
  <si>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</si>
  <si>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</si>
  <si>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</si>
  <si>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</si>
  <si>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</si>
  <si>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</si>
  <si>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</si>
  <si>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</si>
  <si>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</si>
  <si>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</si>
  <si>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</si>
  <si>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</si>
  <si>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</si>
  <si>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</si>
  <si>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</si>
  <si>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</si>
  <si>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</si>
  <si>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</si>
  <si>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</si>
  <si>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</si>
  <si>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</si>
  <si>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</si>
  <si>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</si>
  <si>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</si>
  <si>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</si>
  <si>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</si>
  <si>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</si>
  <si>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</si>
  <si>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</si>
  <si>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</si>
  <si>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</si>
  <si>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</si>
  <si>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</si>
  <si>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</si>
  <si>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</si>
  <si>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</si>
  <si>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</si>
  <si>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</si>
  <si>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</si>
  <si>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</si>
  <si>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</si>
  <si>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</si>
  <si>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</si>
  <si>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</si>
  <si>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</si>
  <si>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</si>
  <si>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</si>
  <si>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</si>
  <si>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</si>
  <si>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</si>
  <si>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</si>
  <si>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</si>
  <si>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</si>
  <si>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</si>
  <si>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</si>
  <si>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</si>
  <si>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</si>
  <si>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</si>
  <si>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</si>
  <si>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</si>
  <si>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</si>
  <si>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</si>
  <si>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</si>
  <si>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</si>
  <si>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</si>
  <si>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</si>
  <si>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</si>
  <si>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</si>
  <si>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</si>
  <si>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</si>
  <si>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</si>
  <si>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</si>
  <si>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</si>
  <si>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</si>
  <si>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</si>
  <si>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</si>
  <si>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</si>
  <si>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</si>
  <si>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r>
      <t xml:space="preserve">Terrains </t>
    </r>
    <r>
      <rPr>
        <sz val="10"/>
        <rFont val="Cambria"/>
        <family val="1"/>
      </rPr>
      <t xml:space="preserve">(1)
(1) dont placement en net   ………../………… </t>
    </r>
  </si>
  <si>
    <t>CH</t>
  </si>
  <si>
    <t>Report à nouveau</t>
  </si>
  <si>
    <t>AK</t>
  </si>
  <si>
    <t xml:space="preserve">Bâtiments
(1) dont placement en net   ………../………… </t>
  </si>
  <si>
    <t>CJ</t>
  </si>
  <si>
    <r>
      <t xml:space="preserve">Résutat net de l'exercice </t>
    </r>
    <r>
      <rPr>
        <b/>
        <i/>
        <sz val="10"/>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</si>
  <si>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</si>
  <si>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</si>
  <si>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</si>
  <si>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</si>
  <si>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</si>
  <si>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</si>
  <si>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</si>
  <si>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</si>
  <si>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</si>
  <si>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</si>
  <si>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</si>
  <si>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</si>
  <si>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</si>
  <si>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</si>
  <si>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</si>
  <si>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</si>
  <si>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</si>
  <si>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</si>
  <si>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</si>
  <si>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</si>
  <si>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</si>
  <si>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</si>
  <si>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</si>
  <si>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</si>
  <si>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</si>
  <si>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</si>
  <si>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</si>
  <si>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</si>
  <si>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</si>
  <si>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</si>
  <si>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</si>
  <si>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</si>
  <si>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</si>
  <si>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</si>
  <si>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</si>
  <si>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</si>
  <si>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</si>
  <si>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</si>
  <si>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</si>
  <si>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</si>
  <si>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</si>
  <si>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</si>
  <si>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</si>
  <si>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</si>
  <si>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</si>
  <si>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</si>
  <si>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</si>
  <si>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</si>
  <si>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</si>
  <si>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</si>
  <si>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</si>
  <si>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</si>
  <si>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</si>
  <si>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</si>
  <si>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</si>
  <si>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</si>
  <si>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</si>
  <si>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</si>
  <si>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</si>
  <si>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</si>
  <si>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</si>
  <si>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</si>
  <si>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</si>
  <si>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</si>
  <si>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</si>
  <si>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</si>
  <si>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</si>
  <si>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</si>
  <si>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</si>
  <si>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</si>
  <si>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</si>
  <si>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</si>
  <si>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</si>
  <si>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</si>
  <si>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</si>
  <si>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</si>
  <si>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</si>
  <si>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</si>
  <si>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</si>
  <si>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</si>
  <si>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</si>
  <si>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</si>
  <si>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</si>
  <si>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</si>
  <si>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</si>
  <si>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</si>
  <si>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</si>
  <si>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</si>
  <si>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Variation de stocks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</si>
  <si>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</si>
  <si>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</si>
  <si>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</si>
  <si>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</si>
  <si>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</si>
  <si>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</si>
  <si>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</si>
  <si>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</si>
  <si>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</si>
  <si>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</si>
  <si>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</si>
  <si>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</si>
  <si>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</si>
  <si>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</si>
  <si>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</si>
  <si>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</si>
  <si>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</si>
  <si>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</si>
  <si>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</si>
  <si>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</si>
  <si>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</si>
  <si>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</si>
  <si>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</si>
  <si>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</si>
  <si>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</si>
  <si>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</si>
  <si>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</si>
  <si>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</si>
  <si>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</si>
  <si>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</si>
  <si>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</si>
  <si>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</si>
  <si>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</si>
  <si>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</si>
  <si>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</si>
  <si>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</si>
  <si>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</si>
  <si>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</si>
  <si>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</si>
  <si>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</si>
  <si>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</si>
  <si>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</si>
  <si>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</si>
  <si>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</si>
  <si>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</si>
  <si>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</si>
  <si>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</si>
  <si>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</si>
  <si>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</si>
  <si>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</si>
  <si>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</si>
  <si>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</si>
  <si>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</si>
  <si>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</si>
  <si>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</si>
  <si>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</si>
  <si>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</si>
  <si>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</si>
  <si>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</si>
  <si>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</si>
  <si>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</si>
  <si>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</si>
  <si>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</si>
  <si>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</si>
  <si>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</si>
  <si>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</si>
  <si>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</si>
  <si>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</si>
  <si>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</si>
  <si>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</si>
  <si>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</si>
  <si>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</si>
  <si>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Charges H.A.O.</t>
  </si>
  <si>
    <t>XH</t>
  </si>
  <si>
    <t>RESULTAT HORS ACTIVITES ORDINAIRES (somme TN à RP)</t>
  </si>
  <si>
    <t>RQ</t>
  </si>
  <si>
    <t>Participations des travailleurs</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</si>
  <si>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</si>
  <si>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</si>
  <si>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</si>
  <si>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</si>
  <si>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</si>
  <si>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</si>
  <si>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</si>
  <si>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</si>
  <si>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</si>
  <si>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r>
      <t xml:space="preserve">- Variation de l'actif circulant HAO </t>
    </r>
    <r>
      <rPr>
        <sz val="10"/>
        <rFont val="Cambria"/>
        <family val="1"/>
      </rPr>
      <t>(1)</t>
    </r>
  </si>
  <si>
    <t>FC</t>
  </si>
  <si>
    <t>- Variation des stocks</t>
  </si>
  <si>
    <t>FD</t>
  </si>
  <si>
    <t>- Variation des créances</t>
  </si>
  <si>
    <t>FE</t>
  </si>
  <si>
    <r>
      <t xml:space="preserve">+ Variation du passif circulant </t>
    </r>
    <r>
      <rPr>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</si>
  <si>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</si>
  <si>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</si>
  <si>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</si>
  <si>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</si>
  <si>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</si>
  <si>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</si>
  <si>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</si>
  <si>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</si>
  <si>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</si>
  <si>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</si>
  <si>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</si>
  <si>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</si>
  <si>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</si>
  <si>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</si>
  <si>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</si>
  <si>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</si>
  <si>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</si>
  <si>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</si>
  <si>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</si>
  <si>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</si>
  <si>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</si>
  <si>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</si>
  <si>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</si>
  <si>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</si>
  <si>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</si>
  <si>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du financement par les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</si>
  <si>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</si>
  <si>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</si>
  <si>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</si>
  <si>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</si>
  <si>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</si>
  <si>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</si>
  <si>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</si>
  <si>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</si>
  <si>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du financement par les capitaux étrangers (somme FO à FQ)</t>
  </si>
  <si>
    <t>E</t>
  </si>
  <si>
    <t>Flux  de trésorerie provenant des capitaux étrangers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</si>
  <si>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</si>
  <si>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</si>
  <si>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</si>
  <si>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</si>
  <si>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</si>
  <si>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</si>
  <si>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</si>
  <si>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</si>
  <si>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</si>
  <si>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</si>
  <si>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</si>
  <si>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</si>
  <si>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</si>
  <si>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</si>
  <si>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</si>
  <si>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</si>
  <si>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</si>
  <si>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</si>
  <si>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</si>
  <si>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</si>
  <si>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Emprunts et dette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</si>
  <si>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</si>
  <si>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</si>
  <si>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</si>
  <si>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</si>
  <si>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</si>
  <si>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</si>
  <si>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</si>
  <si>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</si>
  <si>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</si>
  <si>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t>
  </si>
  <si>
    <t>Personnel</t>
  </si>
  <si>
    <t>Sécurité sociale et organismes sociaux</t>
  </si>
  <si>
    <t>Etat</t>
  </si>
  <si>
    <t>Organismes internationaux</t>
  </si>
  <si>
    <t>Associéss et groupe</t>
  </si>
  <si>
    <t>Crédits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</si>
  <si>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</si>
  <si>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</si>
  <si>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</si>
  <si>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</si>
  <si>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</si>
  <si>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</si>
  <si>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</si>
  <si>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</si>
  <si>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</si>
  <si>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</si>
  <si>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</si>
  <si>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 de créances conditionnelles</t>
  </si>
  <si>
    <t>Commentaire :</t>
  </si>
  <si>
    <t>NOTE 2 : INFORMATIONS OBLIGATOIRES</t>
  </si>
  <si>
    <t>A - DECLARATION DE CONFORMITE AU SYSCOHADA</t>
  </si>
  <si>
    <t>B - REGLES ET METHODES COMPTABLES</t>
  </si>
  <si>
    <t>C - DEROGATION AUX POSTULATS ET CONVENTIONS COMPTABLES</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</si>
  <si>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</si>
  <si>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</si>
  <si>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</si>
  <si>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</si>
  <si>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</si>
  <si>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</si>
  <si>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</si>
  <si>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</si>
  <si>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</si>
  <si>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</si>
  <si>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</si>
  <si>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</si>
  <si>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</si>
  <si>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</si>
  <si>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Immobilisations incorporelles</t>
  </si>
  <si>
    <t>Immoblisations corporelles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</si>
  <si>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</si>
  <si>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</si>
  <si>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</si>
  <si>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</si>
  <si>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</si>
  <si>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</si>
  <si>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</si>
  <si>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</si>
  <si>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</si>
  <si>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</si>
  <si>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</si>
  <si>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</si>
  <si>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</si>
  <si>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</si>
  <si>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</si>
  <si>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</si>
  <si>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</si>
  <si>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</si>
  <si>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</si>
  <si>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</si>
  <si>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</si>
  <si>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</si>
  <si>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</si>
  <si>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</si>
  <si>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</si>
  <si>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</si>
  <si>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</si>
  <si>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</si>
  <si>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</si>
  <si>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</si>
  <si>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</si>
  <si>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</si>
  <si>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</si>
  <si>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</si>
  <si>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</si>
  <si>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</si>
  <si>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</si>
  <si>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</si>
  <si>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</si>
  <si>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</si>
  <si>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</si>
  <si>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</si>
  <si>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</si>
  <si>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</si>
  <si>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</si>
  <si>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</si>
  <si>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</si>
  <si>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</si>
  <si>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</si>
  <si>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</si>
  <si>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</si>
  <si>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</si>
  <si>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</si>
  <si>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</si>
  <si>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</si>
  <si>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</si>
  <si>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</si>
  <si>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</si>
  <si>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</si>
  <si>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</si>
  <si>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</si>
  <si>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</si>
  <si>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</si>
  <si>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</si>
  <si>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</si>
  <si>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</si>
  <si>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</si>
  <si>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</si>
  <si>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</si>
  <si>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</si>
  <si>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sz val="14"/>
        <color theme="0"/>
        <rFont val="Calibri"/>
        <family val="2"/>
      </rPr>
      <t>(1)</t>
    </r>
  </si>
  <si>
    <t>Marchandises</t>
  </si>
  <si>
    <t>Matières premmières et fournitures liées</t>
  </si>
  <si>
    <t>Autres approvisionnements</t>
  </si>
  <si>
    <t>Produits en cours</t>
  </si>
  <si>
    <t>Services en cours</t>
  </si>
  <si>
    <t>Produits finis</t>
  </si>
  <si>
    <t>Produits intermédiaires</t>
  </si>
  <si>
    <t>Stocks en cours de cours, en consignation ou en dépôt</t>
  </si>
  <si>
    <t>TOTAL BRUT STOCKS ET EN COURS</t>
  </si>
  <si>
    <t>Dépréciations des stocks</t>
  </si>
  <si>
    <t>NOTE 7 : CLIENTS PRODUITS A RECEVOIR</t>
  </si>
  <si>
    <t>Clients (hors réserves de propriété Groupe)</t>
  </si>
  <si>
    <t>Clients effets à recevoir (hors réserves de propriété Groupe)</t>
  </si>
  <si>
    <t>Clients effets à recevoir avec réserves de propriété Groupe</t>
  </si>
  <si>
    <t>Clients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</si>
  <si>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</si>
  <si>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</si>
  <si>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</si>
  <si>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</si>
  <si>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</si>
  <si>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</si>
  <si>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</si>
  <si>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</si>
  <si>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</si>
  <si>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</si>
  <si>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</si>
  <si>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</si>
  <si>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</si>
  <si>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</si>
  <si>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</si>
  <si>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</si>
  <si>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</si>
  <si>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</si>
  <si>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</si>
  <si>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</si>
  <si>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NOTE 8 : TABLEAU D'ETALEMENT DES CHARGES IMMOBILISEES</t>
  </si>
  <si>
    <t>Frais d'établissement</t>
  </si>
  <si>
    <t>Charges à répartir sur plusiers exercices</t>
  </si>
  <si>
    <t>Primes de remboursement des obligations</t>
  </si>
  <si>
    <t>Montant global à étaler au 1er janvier 2018</t>
  </si>
  <si>
    <t>Durée d'étalement</t>
  </si>
  <si>
    <t>Comptes</t>
  </si>
  <si>
    <t>Montants</t>
  </si>
  <si>
    <t>Exercice 2018</t>
  </si>
  <si>
    <t>60…</t>
  </si>
  <si>
    <t>61…</t>
  </si>
  <si>
    <t>62…</t>
  </si>
  <si>
    <t>63…</t>
  </si>
  <si>
    <t>64…</t>
  </si>
  <si>
    <t>65…</t>
  </si>
  <si>
    <t>66…</t>
  </si>
  <si>
    <t>67…</t>
  </si>
  <si>
    <t>68…</t>
  </si>
  <si>
    <t>69…</t>
  </si>
  <si>
    <t>……..</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</si>
  <si>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</si>
  <si>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</si>
  <si>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</si>
  <si>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</si>
  <si>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</si>
  <si>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</si>
  <si>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</si>
  <si>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</si>
  <si>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</si>
  <si>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</si>
  <si>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</si>
  <si>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</si>
  <si>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</si>
  <si>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</si>
  <si>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</si>
  <si>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</si>
  <si>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</si>
  <si>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</si>
  <si>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</si>
  <si>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</si>
  <si>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</si>
  <si>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</si>
  <si>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</si>
  <si>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</si>
  <si>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</si>
  <si>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</si>
  <si>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</si>
  <si>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</si>
  <si>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</si>
  <si>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</si>
  <si>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</si>
  <si>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Intruments de trésorerie</t>
  </si>
  <si>
    <t>Caisse</t>
  </si>
  <si>
    <t>Casse électronique mobile</t>
  </si>
  <si>
    <t>Régies d'avances et virements accréditifs</t>
  </si>
  <si>
    <t>TOTAL BRUT DISPONIBILITES</t>
  </si>
  <si>
    <t>Dépréciations</t>
  </si>
  <si>
    <t>NOTE 12 : ECARTS DE CONVERSION</t>
  </si>
  <si>
    <t>Devises</t>
  </si>
  <si>
    <t>Montant en devises</t>
  </si>
  <si>
    <t>Cours UML année acquisition</t>
  </si>
  <si>
    <t>Cours UML 31/12</t>
  </si>
  <si>
    <t>Variation en valeur absolue</t>
  </si>
  <si>
    <r>
      <t>Ecarts de conversion actif :</t>
    </r>
    <r>
      <rPr>
        <i/>
        <sz val="10"/>
        <color theme="1"/>
        <rFont val="Calibri"/>
        <family val="2"/>
      </rPr>
      <t>Détailler les créances et dettes concernées</t>
    </r>
  </si>
  <si>
    <r>
      <t>Ecarts de conversion passif :</t>
    </r>
    <r>
      <rPr>
        <i/>
        <sz val="10"/>
        <color theme="1"/>
        <rFont val="Calibri"/>
        <family val="2"/>
      </rPr>
      <t>Détailler les créances et dettes concernées</t>
    </r>
  </si>
  <si>
    <t>TRANSFERTS DE CHARGES</t>
  </si>
  <si>
    <t>ANNEE N</t>
  </si>
  <si>
    <t>ANNEE N-1</t>
  </si>
  <si>
    <r>
      <t>Transferts de charges d'exploitation :</t>
    </r>
    <r>
      <rPr>
        <i/>
        <sz val="10"/>
        <color theme="1"/>
        <rFont val="Calibri"/>
        <family val="2"/>
      </rPr>
      <t>Détailler la nature des charges transférées</t>
    </r>
  </si>
  <si>
    <r>
      <t>Transferts de charges financières :</t>
    </r>
    <r>
      <rPr>
        <i/>
        <sz val="10"/>
        <color theme="1"/>
        <rFont val="Calibri"/>
        <family val="2"/>
      </rPr>
      <t>Détailler la nature des charges transférées</t>
    </r>
  </si>
  <si>
    <t>NOTE 13 : CAPITAL (VALEUR NOMINALE DES ACTIONS OU PARTS)</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</si>
  <si>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</si>
  <si>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</si>
  <si>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</si>
  <si>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</si>
  <si>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</si>
  <si>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</si>
  <si>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</si>
  <si>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</si>
  <si>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</si>
  <si>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</si>
  <si>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</si>
  <si>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</si>
  <si>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</si>
  <si>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</si>
  <si>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</si>
  <si>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</si>
  <si>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</si>
  <si>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</si>
  <si>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</si>
  <si>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</si>
  <si>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</si>
  <si>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</si>
  <si>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</si>
  <si>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</si>
  <si>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</si>
  <si>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</si>
  <si>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</si>
  <si>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</si>
  <si>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</si>
  <si>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</si>
  <si>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</si>
  <si>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</si>
  <si>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</si>
  <si>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</si>
  <si>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</si>
  <si>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</si>
  <si>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</si>
  <si>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</si>
  <si>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</si>
  <si>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</si>
  <si>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</si>
  <si>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sz val="14"/>
        <color theme="0"/>
        <rFont val="Calibri"/>
        <family val="2"/>
      </rPr>
      <t>(1)</t>
    </r>
  </si>
  <si>
    <t>Avances conditionnées</t>
  </si>
  <si>
    <t>Titres subordonnés à durée indéterminée (TSDI)</t>
  </si>
  <si>
    <t>Obligations remboursables en actions (ORA)</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</si>
  <si>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</si>
  <si>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</si>
  <si>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</si>
  <si>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</si>
  <si>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</si>
  <si>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</si>
  <si>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</si>
  <si>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</si>
  <si>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</si>
  <si>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</si>
  <si>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</si>
  <si>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</si>
  <si>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</si>
  <si>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</si>
  <si>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</si>
  <si>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</si>
  <si>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</si>
  <si>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</si>
  <si>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</si>
  <si>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</si>
  <si>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</si>
  <si>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</si>
  <si>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</si>
  <si>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</si>
  <si>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</si>
  <si>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</si>
  <si>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</si>
  <si>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</si>
  <si>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</si>
  <si>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</si>
  <si>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</si>
  <si>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</si>
  <si>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</si>
  <si>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</si>
  <si>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</si>
  <si>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</si>
  <si>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</si>
  <si>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</si>
  <si>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</si>
  <si>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</si>
  <si>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</si>
  <si>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</si>
  <si>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A L'OUVERTURE</t>
  </si>
  <si>
    <t>Coût des services rendus aucours de l'exercice</t>
  </si>
  <si>
    <t>Coût financier</t>
  </si>
  <si>
    <t>Pertes actuarielles / (gain)</t>
  </si>
  <si>
    <t>Prestations payées au cours de l'exercice</t>
  </si>
  <si>
    <t>Coût des services passés</t>
  </si>
  <si>
    <t>ANALYSES DE SENSIBILITE DES HYPOTHESES ACTUARIELLES</t>
  </si>
  <si>
    <t>Augmentation</t>
  </si>
  <si>
    <t>Diminution</t>
  </si>
  <si>
    <t>Taux d'actualisation (variation de …%)</t>
  </si>
  <si>
    <t>Taux de progression des salaires (variation de …%)</t>
  </si>
  <si>
    <t>Taux de départ du personnel (variation de …%)</t>
  </si>
  <si>
    <t>NOTE 16B bis : ENGAGEMENTS DE RETRAITE ET AVANTAGES  ASSIMILES (METHODE ACTURIELLE)</t>
  </si>
  <si>
    <t>Excercice clos le :  =</t>
  </si>
  <si>
    <t>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</si>
  <si>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</si>
  <si>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</si>
  <si>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</si>
  <si>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</si>
  <si>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</si>
  <si>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</si>
  <si>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</si>
  <si>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</si>
  <si>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t>NOTE 16C : ACTIFS ET PASSIFS EVENTUELS</t>
  </si>
  <si>
    <t>ACTIF EVENTUEL</t>
  </si>
  <si>
    <t>Litiges</t>
  </si>
  <si>
    <t>…………………………..</t>
  </si>
  <si>
    <t>PASSIF EVENTUEL</t>
  </si>
  <si>
    <t>NOTE 17 : FOURNISSEURS D'EXPLOITATION</t>
  </si>
  <si>
    <t>Fournisseurs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</si>
  <si>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</si>
  <si>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</si>
  <si>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</si>
  <si>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</si>
  <si>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</si>
  <si>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</si>
  <si>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</si>
  <si>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</si>
  <si>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</si>
  <si>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</si>
  <si>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</si>
  <si>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</si>
  <si>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</si>
  <si>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</si>
  <si>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</si>
  <si>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</si>
  <si>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</si>
  <si>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</si>
  <si>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</si>
  <si>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</si>
  <si>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</si>
  <si>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</si>
  <si>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</si>
  <si>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</si>
  <si>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</si>
  <si>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</si>
  <si>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</si>
  <si>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</si>
  <si>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</si>
  <si>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</si>
  <si>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</si>
  <si>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Autres créditeur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</si>
  <si>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</si>
  <si>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</si>
  <si>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</si>
  <si>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</si>
  <si>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</si>
  <si>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</si>
  <si>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</si>
  <si>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</si>
  <si>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</si>
  <si>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</si>
  <si>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</si>
  <si>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</si>
  <si>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NOTE 21 : CHIFFRE D'AFFAIRES ET AUTRES PRODUITS</t>
  </si>
  <si>
    <t>Ventes hors région</t>
  </si>
  <si>
    <t>Ventes Groupe</t>
  </si>
  <si>
    <t>Ventes sur internet</t>
  </si>
  <si>
    <t>TOTAL VENTES MARCHANDISES</t>
  </si>
  <si>
    <t>TOTAL VENTES PRODUITS FABRIQUES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</si>
  <si>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</si>
  <si>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</si>
  <si>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</si>
  <si>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</si>
  <si>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</si>
  <si>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</si>
  <si>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</si>
  <si>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</si>
  <si>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</si>
  <si>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</si>
  <si>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</si>
  <si>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</si>
  <si>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</si>
  <si>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</si>
  <si>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</si>
  <si>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</si>
  <si>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</si>
  <si>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 et équipements</t>
  </si>
  <si>
    <t>Achats d'emballages</t>
  </si>
  <si>
    <t>Remise, rabais, remises et ristournes</t>
  </si>
  <si>
    <t>TOTAL AUTRES ACHATS</t>
  </si>
  <si>
    <t>NOTE 23 : TRANSPORTS</t>
  </si>
  <si>
    <t>Transports sur ventes</t>
  </si>
  <si>
    <t>Transports pour le compte de tiers</t>
  </si>
  <si>
    <t>Transport du personnel</t>
  </si>
  <si>
    <t>Transport  de plis</t>
  </si>
  <si>
    <t>TOTAL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</si>
  <si>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</si>
  <si>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</si>
  <si>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</si>
  <si>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</si>
  <si>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</si>
  <si>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</si>
  <si>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</si>
  <si>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</si>
  <si>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</si>
  <si>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</si>
  <si>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</si>
  <si>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</si>
  <si>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</si>
  <si>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</si>
  <si>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</si>
  <si>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TOTAL SERVICES EXTERIEURS</t>
  </si>
  <si>
    <t>NOTE 25 : IMPOTS ET TAXES</t>
  </si>
  <si>
    <t>Impôts et taxes directs</t>
  </si>
  <si>
    <t>Impôts et taxes indirects</t>
  </si>
  <si>
    <t>Droits d'enregistrement</t>
  </si>
  <si>
    <t>Pénalités et amendes fiscales</t>
  </si>
  <si>
    <t>Autres impôts et taxes</t>
  </si>
  <si>
    <t>TOTAL IMPOTS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</si>
  <si>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</si>
  <si>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</si>
  <si>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</si>
  <si>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</si>
  <si>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</si>
  <si>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</si>
  <si>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</si>
  <si>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</si>
  <si>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</si>
  <si>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TOTAL AUTRES CHARGES</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</si>
  <si>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</si>
  <si>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</si>
  <si>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</si>
  <si>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</si>
  <si>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</si>
  <si>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</si>
  <si>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</si>
  <si>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TOTAL CHARGES DE PERSONNEL</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</si>
  <si>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</si>
  <si>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</si>
  <si>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</si>
  <si>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</si>
  <si>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</si>
  <si>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</si>
  <si>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</si>
  <si>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</si>
  <si>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</si>
  <si>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</si>
  <si>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</si>
  <si>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</si>
  <si>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</si>
  <si>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</si>
  <si>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</si>
  <si>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</si>
  <si>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</si>
  <si>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</si>
  <si>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</si>
  <si>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</si>
  <si>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</si>
  <si>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</si>
  <si>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</si>
  <si>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</si>
  <si>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</si>
  <si>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</si>
  <si>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</si>
  <si>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</si>
  <si>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</si>
  <si>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</si>
  <si>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</si>
  <si>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</si>
  <si>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</si>
  <si>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</si>
  <si>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</si>
  <si>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</si>
  <si>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</si>
  <si>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</si>
  <si>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</si>
  <si>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</si>
  <si>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</si>
  <si>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</si>
  <si>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</si>
  <si>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</si>
  <si>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</si>
  <si>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</si>
  <si>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</si>
  <si>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</si>
  <si>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</si>
  <si>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</si>
  <si>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</si>
  <si>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</si>
  <si>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 Dépréciations titres de placement</t>
  </si>
  <si>
    <t>9. Dépréciations valeurs à encaisser</t>
  </si>
  <si>
    <t>10. Dépréciations disponibilité</t>
  </si>
  <si>
    <t>11. Dépréciations et provisions pour risques à court terme exploitation</t>
  </si>
  <si>
    <t>12. Dépréciations et provisions pour risques à court terme à caractère financier</t>
  </si>
  <si>
    <t>TOTAL CHARGES POUR DEPRECIATIONS ET PROVISIONS A COURT TERME</t>
  </si>
  <si>
    <t>TOTAL PROVISIONS ET DEPRECIATIONS</t>
  </si>
  <si>
    <t>NOTE 29 : CHARGES ET REVENUS FINANCIERS</t>
  </si>
  <si>
    <t>Intérêts des emprunts</t>
  </si>
  <si>
    <t>Intérêts dans loyers de location acquisition</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</si>
  <si>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</si>
  <si>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</si>
  <si>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</si>
  <si>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</si>
  <si>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</si>
  <si>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</si>
  <si>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</si>
  <si>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</si>
  <si>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</si>
  <si>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</si>
  <si>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</si>
  <si>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</si>
  <si>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</si>
  <si>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</si>
  <si>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</si>
  <si>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</si>
  <si>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</si>
  <si>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</si>
  <si>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</si>
  <si>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</si>
  <si>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</si>
  <si>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</si>
  <si>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</si>
  <si>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</si>
  <si>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</si>
  <si>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</si>
  <si>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</si>
  <si>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</si>
  <si>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</si>
  <si>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</si>
  <si>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</si>
  <si>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sz val="10"/>
        <color theme="0"/>
        <rFont val="Calibri"/>
        <family val="2"/>
      </rPr>
      <t>(1)</t>
    </r>
  </si>
  <si>
    <r>
      <t xml:space="preserve">STRUCTURE DU CAPITAL A LA CLOTURE DE L'EXERCICE </t>
    </r>
    <r>
      <rPr>
        <b/>
        <sz val="10"/>
        <rFont val="Calibri"/>
        <family val="2"/>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</si>
  <si>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</si>
  <si>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</si>
  <si>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</si>
  <si>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</si>
  <si>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</si>
  <si>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</si>
  <si>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sz val="10"/>
        <rFont val="Calibri"/>
        <family val="2"/>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</si>
  <si>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</si>
  <si>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</si>
  <si>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</si>
  <si>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</si>
  <si>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sz val="9"/>
        <rFont val="Calibri"/>
        <family val="2"/>
      </rPr>
      <t>(4)</t>
    </r>
  </si>
  <si>
    <t>RESULTAT ET DIVIDENDE DISTRIBUES</t>
  </si>
  <si>
    <r>
      <t>Résultat distribué</t>
    </r>
    <r>
      <rPr>
        <sz val="10"/>
        <rFont val="Calibri"/>
        <family val="2"/>
      </rPr>
      <t xml:space="preserve"> (5)</t>
    </r>
  </si>
  <si>
    <t>Dividende attribué à chaque action</t>
  </si>
  <si>
    <t>PERSONNEL ET POLITIQUES SALARIALE</t>
  </si>
  <si>
    <r>
      <t xml:space="preserve">Effectif moyen des travailleurs au cours de l'exercice </t>
    </r>
    <r>
      <rPr>
        <sz val="10"/>
        <rFont val="Calibri"/>
        <family val="2"/>
      </rPr>
      <t>(6)</t>
    </r>
  </si>
  <si>
    <t>Effectif moyen de personnel extérieur</t>
  </si>
  <si>
    <r>
      <t xml:space="preserve">Masse salariale distribuée au cours de l'exercice </t>
    </r>
    <r>
      <rPr>
        <sz val="10"/>
        <rFont val="Calibri"/>
        <family val="2"/>
      </rPr>
      <t>(7)</t>
    </r>
  </si>
  <si>
    <r>
      <t xml:space="preserve">Avantages sociaux versés au cours de l'exercice </t>
    </r>
    <r>
      <rPr>
        <sz val="10"/>
        <rFont val="Calibri"/>
        <family val="2"/>
      </rPr>
      <t>(8)</t>
    </r>
    <r>
      <rPr>
        <sz val="10"/>
        <rFont val="Calibri"/>
        <family val="2"/>
      </rPr>
      <t xml:space="preserve"> {Sécurité sociale, œuvres sociales}</t>
    </r>
  </si>
  <si>
    <r>
      <t xml:space="preserve">Personnel extérieur facturé à l'entreprise </t>
    </r>
    <r>
      <rPr>
        <sz val="10"/>
        <rFont val="Calibri"/>
        <family val="2"/>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</si>
  <si>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</si>
  <si>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</si>
  <si>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</si>
  <si>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</si>
  <si>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</si>
  <si>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</si>
  <si>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</si>
  <si>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</si>
  <si>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</si>
  <si>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</si>
  <si>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</si>
  <si>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</si>
  <si>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</si>
  <si>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</si>
  <si>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</si>
  <si>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</si>
  <si>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</si>
  <si>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</si>
  <si>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</si>
  <si>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</si>
  <si>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</si>
  <si>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</si>
  <si>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</si>
  <si>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</si>
  <si>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</si>
  <si>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</si>
  <si>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</si>
  <si>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</si>
  <si>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</si>
  <si>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</si>
  <si>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</si>
  <si>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(EN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</si>
  <si>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</si>
  <si>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</si>
  <si>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</si>
  <si>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</si>
  <si>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</si>
  <si>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</si>
  <si>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</si>
  <si>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</si>
  <si>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</si>
  <si>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</si>
  <si>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</si>
  <si>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</si>
  <si>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</si>
  <si>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</si>
  <si>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</si>
  <si>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</si>
  <si>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</si>
  <si>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</si>
  <si>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</si>
  <si>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</si>
  <si>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</si>
  <si>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</si>
  <si>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</si>
  <si>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</si>
  <si>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</si>
  <si>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</si>
  <si>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</si>
  <si>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</si>
  <si>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</si>
  <si>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</si>
  <si>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</si>
  <si>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</si>
  <si>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</si>
  <si>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</si>
  <si>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</si>
  <si>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</si>
  <si>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</si>
  <si>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</si>
  <si>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</si>
  <si>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</si>
  <si>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</si>
  <si>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</si>
  <si>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</si>
  <si>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</si>
  <si>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</si>
  <si>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</si>
  <si>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</si>
  <si>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</si>
  <si>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</si>
  <si>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</si>
  <si>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</si>
  <si>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</si>
  <si>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</si>
  <si>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</si>
  <si>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</si>
  <si>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</si>
  <si>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</si>
  <si>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</si>
  <si>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</si>
  <si>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INFORMATIONS RELATIVES AUX ENGAGEMENTS SOCIÉTAUX EN FAVEUR DU DÉVELOPPEMENT DURABLE</t>
  </si>
  <si>
    <t>NOTE 36 : TABLE DES CODES</t>
  </si>
  <si>
    <r>
      <t xml:space="preserve">1 - Code forme juridique </t>
    </r>
    <r>
      <rPr>
        <b/>
        <sz val="10"/>
        <rFont val="Calibri"/>
        <family val="2"/>
      </rPr>
      <t>(1)</t>
    </r>
  </si>
  <si>
    <t>3 - Code pays du siège social</t>
  </si>
  <si>
    <t>Société Anonyme (SA) à participation publique</t>
  </si>
  <si>
    <r>
      <t xml:space="preserve">Pays OHADA </t>
    </r>
    <r>
      <rPr>
        <sz val="8"/>
        <rFont val="Calibri"/>
        <family val="2"/>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</si>
  <si>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</si>
  <si>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</si>
  <si>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</si>
  <si>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</si>
  <si>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</si>
  <si>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</si>
  <si>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</si>
  <si>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</si>
  <si>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</si>
  <si>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</si>
  <si>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</si>
  <si>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</si>
  <si>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</si>
  <si>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</si>
  <si>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</si>
  <si>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</si>
  <si>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</si>
  <si>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</si>
  <si>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</si>
  <si>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</si>
  <si>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</si>
  <si>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</si>
  <si>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Calibri"/>
        <family val="2"/>
      </rPr>
      <t xml:space="preserve"> Remplacer le premier 0 par 1 si l'entreprise bénéficie d'un agrément prioritaire</t>
    </r>
  </si>
  <si>
    <r>
      <t>(2)</t>
    </r>
    <r>
      <rPr>
        <sz val="10"/>
        <rFont val="Calibri"/>
        <family val="2"/>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</si>
  <si>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</si>
  <si>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</si>
  <si>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</si>
  <si>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</si>
  <si>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</si>
  <si>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</si>
  <si>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</si>
  <si>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</si>
  <si>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</si>
  <si>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</si>
  <si>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</si>
  <si>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</si>
  <si>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</si>
  <si>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</si>
  <si>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</si>
  <si>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</si>
  <si>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</si>
  <si>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</si>
  <si>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</si>
  <si>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</si>
  <si>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</si>
  <si>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</si>
  <si>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</si>
  <si>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</si>
  <si>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</si>
  <si>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</si>
  <si>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</si>
  <si>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</si>
  <si>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</si>
  <si>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</si>
  <si>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</si>
  <si>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</si>
  <si>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</si>
  <si>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</si>
  <si>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</si>
  <si>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</si>
  <si>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</si>
  <si>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</si>
  <si>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</si>
  <si>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</si>
  <si>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</si>
  <si>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</si>
  <si>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</si>
  <si>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</si>
  <si>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</si>
  <si>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</si>
  <si>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</si>
  <si>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</si>
  <si>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</si>
  <si>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</si>
  <si>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</si>
  <si>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</si>
  <si>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</si>
  <si>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</si>
  <si>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</si>
  <si>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</si>
  <si>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</si>
  <si>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</si>
  <si>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</si>
  <si>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</si>
  <si>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</si>
  <si>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</si>
  <si>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</si>
  <si>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</si>
  <si>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</si>
  <si>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</si>
  <si>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</si>
  <si>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</si>
  <si>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</si>
  <si>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</si>
  <si>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</si>
  <si>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</si>
  <si>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</si>
  <si>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</si>
  <si>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</si>
  <si>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</si>
  <si>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</si>
  <si>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</si>
  <si>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</si>
  <si>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</si>
  <si>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</si>
  <si>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</si>
  <si>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</si>
  <si>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</si>
  <si>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</si>
  <si>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</si>
  <si>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</si>
  <si>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</si>
  <si>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</si>
  <si>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</si>
  <si>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</si>
  <si>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</si>
  <si>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</si>
  <si>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</si>
  <si>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</si>
  <si>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</si>
  <si>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</si>
  <si>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</si>
  <si>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</si>
  <si>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</si>
  <si>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</si>
  <si>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</si>
  <si>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</si>
  <si>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</si>
  <si>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</si>
  <si>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</si>
  <si>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</si>
  <si>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</si>
  <si>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</si>
  <si>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</si>
  <si>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</si>
  <si>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</si>
  <si>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</si>
  <si>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</si>
  <si>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</si>
  <si>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</si>
  <si>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</si>
  <si>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</si>
  <si>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</si>
  <si>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</si>
  <si>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</si>
  <si>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</si>
  <si>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</si>
  <si>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</si>
  <si>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</si>
  <si>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</si>
  <si>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</si>
  <si>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</si>
  <si>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</si>
  <si>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</si>
  <si>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</si>
  <si>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</si>
  <si>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</si>
  <si>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</si>
  <si>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</si>
  <si>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</si>
  <si>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</si>
  <si>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</si>
  <si>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</si>
  <si>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</si>
  <si>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</si>
  <si>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</si>
  <si>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</si>
  <si>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</si>
  <si>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</si>
  <si>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</si>
  <si>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</si>
  <si>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</si>
  <si>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</si>
  <si>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</si>
  <si>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</si>
  <si>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</si>
  <si>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</si>
  <si>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</si>
  <si>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</si>
  <si>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</si>
  <si>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</si>
  <si>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</si>
  <si>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</si>
  <si>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</si>
  <si>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</si>
  <si>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</si>
  <si>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</si>
  <si>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</si>
  <si>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</si>
  <si>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</si>
  <si>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</si>
  <si>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</si>
  <si>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Créances sur le concédant</t>
  </si>
  <si>
    <t>Créances rattachées à des avances et participations à des GIE</t>
  </si>
  <si>
    <t>Marchandises HAO</t>
  </si>
  <si>
    <t>Emballages</t>
  </si>
  <si>
    <t>Clients et effets à recevoir Etat, Collectivités, et organismes internationaux</t>
  </si>
  <si>
    <t>Clients chèques et valeurs impayés</t>
  </si>
  <si>
    <t>Clients avec réserve de propriété</t>
  </si>
  <si>
    <t>Fournisseurs sous-traitants</t>
  </si>
  <si>
    <t>Fournisseurs réserve de propriété</t>
  </si>
  <si>
    <t>Fournisseurs retenues de garantie</t>
  </si>
  <si>
    <t>Fournisseurs acquisition courantes immobilisation</t>
  </si>
  <si>
    <t>Personnel congés à payer</t>
  </si>
  <si>
    <t>Autre personnel</t>
  </si>
  <si>
    <t>Mutuelle de santé</t>
  </si>
  <si>
    <t>Assurance retraite</t>
  </si>
  <si>
    <t>Autres charges sociales à payer</t>
  </si>
  <si>
    <t>Intermédiaires-opérations faites pour comptes de tiers</t>
  </si>
  <si>
    <t>Produits constatés d’avance</t>
  </si>
  <si>
    <t>Ventes dans l'Etat partie</t>
  </si>
  <si>
    <t>Ventes dans les autres Etats parties de la région</t>
  </si>
  <si>
    <t xml:space="preserve"> Rabais, remises, ristournes accordés</t>
  </si>
  <si>
    <t>Frais sur achats (en cas d'option)</t>
  </si>
  <si>
    <t>Voyages et déplacements</t>
  </si>
  <si>
    <t>Transport entre établissement ou chantier</t>
  </si>
  <si>
    <t>Transport administratif</t>
  </si>
  <si>
    <t>Rabais remises et ristournes obtenus</t>
  </si>
  <si>
    <t>Redevances versées au concédant (concession service public)</t>
  </si>
  <si>
    <t>Rémunération de personnel extérieur à l’entité</t>
  </si>
  <si>
    <t>Pertes de change financiére</t>
  </si>
  <si>
    <t>Intérêts dans loyers de location-financement</t>
  </si>
  <si>
    <t>Charges liées aux opérations de restructuration</t>
  </si>
  <si>
    <t>Pertes sur créances HAO</t>
  </si>
  <si>
    <t>Charges liées aux opérations de liquidation</t>
  </si>
  <si>
    <t>Reprises de provisions et d’amortissements et de dépréciation HAO</t>
  </si>
  <si>
    <t>Subvention d’équilibre</t>
  </si>
  <si>
    <t>Produits liés aux opérations de liquidation</t>
  </si>
  <si>
    <t>Produits liés aux opérations de restructuration</t>
  </si>
  <si>
    <t>- Change HAO</t>
  </si>
  <si>
    <t>NOTE 3C : IMMOBILISATIONS (DEPRECIATIONS)</t>
  </si>
  <si>
    <t>Avances et accomptes versé sur immobilisations incorporelles</t>
  </si>
  <si>
    <t>Avances et accomptes versé sur immobilisations corporelles</t>
  </si>
  <si>
    <t>SOUS TOTAL : AVANCES ET ACCOMPTES  VERSES</t>
  </si>
  <si>
    <t>Titres de participations</t>
  </si>
  <si>
    <t>Autres immobilisations financiéres</t>
  </si>
  <si>
    <t>791 Reprises de procisions et dépréciations d'exploitation</t>
  </si>
  <si>
    <t>Compte transitoire à solder: 4752 compte transitoire, ajustement spécial lié à la révision</t>
  </si>
  <si>
    <t>NOTE 8B : TABLEAU D'ETALEMENT DES PROVISIONS POUR CHARGES A REPARTIR</t>
  </si>
  <si>
    <t>6911 Dotations aux provisions pour risques et charges</t>
  </si>
  <si>
    <t>Dakar</t>
  </si>
  <si>
    <t>Exercice au 31/12/N</t>
  </si>
  <si>
    <t>Exercice au 31/12/N-1</t>
  </si>
  <si>
    <t>31/12/N</t>
  </si>
  <si>
    <t>31/12/N-1</t>
  </si>
  <si>
    <t>Immobilisations financières diverses</t>
  </si>
  <si>
    <t>charges pour dépréciations et provisions pour risques à court terme HAO</t>
  </si>
  <si>
    <t>Année N</t>
  </si>
  <si>
    <t>CENTRE DE DEPOT :  CGE</t>
  </si>
  <si>
    <t>Grande Cote Operations S.A</t>
  </si>
  <si>
    <t>GCO</t>
  </si>
  <si>
    <t>2 Eme Etage Immeuble Atryum, Rte de Ouakam</t>
  </si>
  <si>
    <t>002849258</t>
  </si>
  <si>
    <t>31-12-2021</t>
  </si>
  <si>
    <t>SN DKR 2008 B 1525</t>
  </si>
  <si>
    <t>20959450</t>
  </si>
  <si>
    <t>60002</t>
  </si>
  <si>
    <t>16844</t>
  </si>
  <si>
    <t>Extraction Miniere</t>
  </si>
  <si>
    <t xml:space="preserve">Bertrand COWPPLI  Immeuble Atryum, 2 Eme Etage, rte de Ouakam   </t>
  </si>
  <si>
    <t>Nafissatou Diagne  2 Eme Etage Immeuble Atryum, Rte de Ouakam  765524701</t>
  </si>
  <si>
    <t>KPMG  Immeuble Horizons 83, boulevard de la République, BP 2395 Dakar  3349-27-27</t>
  </si>
  <si>
    <t xml:space="preserve">    </t>
  </si>
  <si>
    <t>COWPPLI Bertrand</t>
  </si>
  <si>
    <t>Directeur financier</t>
  </si>
  <si>
    <t>BNP Paribas Montparnasse USD</t>
  </si>
  <si>
    <t>FR76 3000 4008 1900 0100 9553 002</t>
  </si>
  <si>
    <t>BNP Paribas Montparnasse AUD</t>
  </si>
  <si>
    <t>FR76 3000 4008 1900 0101 1364 962</t>
  </si>
  <si>
    <t>BNP Paribas Montparnasse EUR</t>
  </si>
  <si>
    <t>FR76 3000 4008 1900 0117 0917 061</t>
  </si>
  <si>
    <t>BICIS Zone Industrielle, DAKAR</t>
  </si>
  <si>
    <t>SN010 01528 000522300026 84</t>
  </si>
  <si>
    <t>SGBS Roume, DAKAR</t>
  </si>
  <si>
    <t>SN011 01005 005001582269 09</t>
  </si>
  <si>
    <t>Paris Rive Gauche Entreprises EUR</t>
  </si>
  <si>
    <t>FR76 3000 3036 4000 0202 2765 210</t>
  </si>
  <si>
    <t>Paris Rive Gauche Entreprises AUD</t>
  </si>
  <si>
    <t>FR76 3000 3036 4004 0202 2765 287</t>
  </si>
  <si>
    <t>0</t>
  </si>
  <si>
    <t>3</t>
  </si>
  <si>
    <t>1</t>
  </si>
  <si>
    <t>7</t>
  </si>
  <si>
    <t>2</t>
  </si>
  <si>
    <t>4</t>
  </si>
  <si>
    <t>Extraction d'AUTRES produits</t>
  </si>
  <si>
    <t>KUREK</t>
  </si>
  <si>
    <t>Directeur Général</t>
  </si>
  <si>
    <t>Immeuble Atryum, 2eme Etage</t>
  </si>
  <si>
    <t>DIENG</t>
  </si>
  <si>
    <t>DAOUR</t>
  </si>
  <si>
    <t>Président Conseil d'Administration</t>
  </si>
  <si>
    <t>DIALLO</t>
  </si>
  <si>
    <t>IBRAHIMA ARONA</t>
  </si>
  <si>
    <t>ADMINISTRATEUR ETAT</t>
  </si>
  <si>
    <t>MINISTERE DES MINES</t>
  </si>
  <si>
    <t>DIEYE</t>
  </si>
  <si>
    <t>ABDOURAHMANE</t>
  </si>
  <si>
    <t>DIRECTION DOUANES</t>
  </si>
  <si>
    <t>TAMALGO</t>
  </si>
  <si>
    <t>LOISE</t>
  </si>
  <si>
    <t>ADMINISTRATEUR</t>
  </si>
  <si>
    <t>FRANCE</t>
  </si>
  <si>
    <t>NOUEL</t>
  </si>
  <si>
    <t>CHARLES</t>
  </si>
  <si>
    <t>SENEGAL</t>
  </si>
  <si>
    <t>MBAYE</t>
  </si>
  <si>
    <t>CHEIKH TIDIANE</t>
  </si>
  <si>
    <t>DERAM</t>
  </si>
  <si>
    <t>CHRISTINE</t>
  </si>
  <si>
    <t>DESPORTES</t>
  </si>
  <si>
    <t>PAUL</t>
  </si>
  <si>
    <t>Les états financiers sont établis en conformité avec le systéme comptable OHADA et l'acte uniforme relatif au droit comptable et à l'information financière.</t>
  </si>
  <si>
    <t>Respect de tous les postulats et conventions comptables sans aucune dérogation.</t>
  </si>
  <si>
    <t>1/ Immobilisations Incorporelles : acquisition de l'application (GEO-GCO) pour 0,212 Milliards de F CFA, mettant à la disposition de GCO de tout un recueil de données sur la localisation géographique des différents paramètres nécessaires aux opérations et à la plannification (localisation des villages, relief,...etc).
2/ Immobilisations Corporelles : 
2.a/ Dans le cadre de son developpement, GCO a investi 17,931 Milliards de F CFA sur la mise en place de la nouvelle unité de Dry Mining (SDM), mise en service sur le dernier trimestre 2022. Il y a près de 2,568 Milliards F CFA de cessions qui s'expliquent par : 1,314 Milliards F CFA de mises au rebut à l'issue des travaux sur l'indentification et la décomposition des immobilisations historiques de la phase construction; 1,060 Milliards F CFA de réduction de l'actif de démantèlement (mise à jour du taux d'inflation (3% versus 2,4% en 2021) et du taux d'actualisation (6% versus 4% en 2021); des pièces de rechange capitalisées ont été transférées en stocks obsolètes pour 0,192 Millards F CFA. 
2.b/ Les acquisitions sur le poste Matériel de transport s'expliquent principalement par le renouvellement du parc automobile des Chefs de Départements et Directeurs (car plan) pour une période de 5 ans; il en est de même pour les sorties d'immobilisations  de 0,385 Milliards F CFA.</t>
  </si>
  <si>
    <t>20221231</t>
  </si>
  <si>
    <t>Les rapprochements bancaires sont effectués chaque mois et ont été diligentés le 31/12/2022.
L'inventaire de la caisse se fait périodiquement en cours de mois et le dernier jour du mois pour les clotures mensuelles.</t>
  </si>
  <si>
    <t>Eramet Mineral Sands (EMS)</t>
  </si>
  <si>
    <t>Francaise</t>
  </si>
  <si>
    <t>Le poste transport sur ventes a baissé de -4,3 Milliards F CFA versus 2021 en raison des ventes qui ont été réalisées en intégralité avec l'incoterm FOB à partir du 1er avril 2022 (facturation sans frêt), dans le cadre de la restructuration de la fonction Vente au sein du groupe Eramet (création de la filliale de commercialisation des minerais d'Eramet (EMAS)). 
Cette baisse sur le frêt (-6,3 Milliards F CFA) a été partiellement compensée par des couts additionnels de camionnage (+2,0 Milliards F CFA) des produits finis de Diogo à Dakar, en raison de la perte de capacité sur le train de près de 50% (non-concomittance entre les trains de marchandises et de passagers).</t>
  </si>
  <si>
    <t>Les locations et charges locatives ont baissé de -1,3 Milliards de F CFA versus 2021 en raison de la non réalisation de dry mining traditionnel en 2022.
Par rapport à 2021, les primes d'assurances ont augmenté de +0,8 Milliards F CFA dont +0,4 Milliards F CFA sur l'assurance santé (hausse du nombre de salariés et changement de prestataire) et +0,5 Milliards F CFA sur l'assurance dommage.
Par rapport à 2021, le poste redevance et concession est en hausse de +10,5 Milliards F CFA principalement sur les taxes minières (+6,9 Milliards F CFA sur le Partage de Production (Government Production Share, GPS) et +3,7 Milliards F CFA sur la Redevance minière) impactées par la hausse du chiffre d'affaires et du résultat en 2022.</t>
  </si>
  <si>
    <t>Les impôts et taxes on baissé globalement de -2,3 Milliards F CFA par rapport à 2021, en raison du redressement fiscal constaté en 2021.</t>
  </si>
  <si>
    <t>Les rémunérations directes versées au personnel sont en hausse, principalement en raison de la hausse des effectifs liés à la mise en place de la nouvelle unité de Dry Mining, et des mesures salariales mises en place destinées à récompenser la performance (augmentations annuelles, bonus de performance).</t>
  </si>
  <si>
    <t>(1)…………….</t>
  </si>
  <si>
    <t>Indémnités et subventions HAO (Entités agricoles)</t>
  </si>
  <si>
    <t>CONS 1,2,3</t>
  </si>
  <si>
    <t>Ilmenite Sulphite 54</t>
  </si>
  <si>
    <t>Ilmenite  56</t>
  </si>
  <si>
    <t>Ilmenite Chloride 58</t>
  </si>
  <si>
    <t>Zircon Prenuim</t>
  </si>
  <si>
    <t>Zircon Standard</t>
  </si>
  <si>
    <t>Rutile</t>
  </si>
  <si>
    <t>Leucoxene</t>
  </si>
  <si>
    <t>MGZS (Meduim Grade Zircon Sand)</t>
  </si>
  <si>
    <t>Ilmenite Whims Mags</t>
  </si>
  <si>
    <t>Heavy Minerals Concentrate</t>
  </si>
  <si>
    <t>Tizir Limied LTD</t>
  </si>
  <si>
    <t>EMS Eramet Mineral Sands</t>
  </si>
  <si>
    <t>USD</t>
  </si>
  <si>
    <t>GCO EXPENSION SALAIRES</t>
  </si>
  <si>
    <r>
      <t xml:space="preserve">Formation :   </t>
    </r>
    <r>
      <rPr>
        <sz val="10"/>
        <color rgb="FF000000"/>
        <rFont val="Calibri"/>
        <family val="2"/>
      </rPr>
      <t>Pour la performance et le développement des talents, il a été comptabilisé un total de 46 076,2 heures de formation reparties en 2713 sessions avec 13509 participants. 98% des employés de GCO ont fait au moins une formation au cours de l’année 2022. En 2022, au total 18 jeunes ont été accueillis en alternance ou stage d’apprentissage chez GCO.</t>
    </r>
  </si>
  <si>
    <r>
      <t xml:space="preserve">Égalité de traitement </t>
    </r>
    <r>
      <rPr>
        <sz val="10"/>
        <color rgb="FF000000"/>
        <rFont val="Calibri"/>
        <family val="2"/>
      </rPr>
      <t xml:space="preserve">:  105 des 871 salariés de GCO sont des femmes, soit 12 % du total. L’effectif féminin a augmenté de 25 personnes par rapport à 2021. Des initiatives sont mises en place pour avoir plus de femmes aux postes à responsabilité (programme « best woman for the job » ; identification des potentiels lors du recrutement…).
</t>
    </r>
  </si>
  <si>
    <r>
      <t xml:space="preserve">Pollution et gestion des déchets :  </t>
    </r>
    <r>
      <rPr>
        <sz val="10"/>
        <color rgb="FF000000"/>
        <rFont val="Calibri"/>
        <family val="2"/>
      </rPr>
      <t>Par ailleurs, tous les déchets générés dans les sites de GCO sont gérés de manière conforme à travers des filières dédiées. La déchèterie de GCO est toujours opérationnelle avec une équipe dédiée.</t>
    </r>
  </si>
  <si>
    <t>ANNEE 2022</t>
  </si>
  <si>
    <t>ANNEE 2021</t>
  </si>
  <si>
    <t xml:space="preserve">33 869 31 81 </t>
  </si>
  <si>
    <t>GUILLAUME</t>
  </si>
  <si>
    <t>Les états financiers ont été confectionnés dans le respect des postulats, des conventions et des régles d'évaluation édictés par le SYSCOHADA et l'Acte Uniforme.</t>
  </si>
  <si>
    <t>La continuité d'exploitation n'est pas menacée.</t>
  </si>
  <si>
    <t>La Moins Value de -0,844 Milliards F CFA sur l'exercice 2022 est liée à la sortie des immobilisations (mise au rebut), à l'issue de l'inventaire complet des actifs historiques de GCO, issus de sa construction.</t>
  </si>
  <si>
    <t>La hausse du poste Dépôts et Cautionnements en 2022 versus 2021 est principalement dûe à la caution de 60 753 341 F CFA mise en place pour le fournisseur de billets d'avion Blue Sky.</t>
  </si>
  <si>
    <t>Sensibilité +/-0.5% Taux Actualisation (taux de base = 6%):
- Augmentation 6.50%
- Dimunition 5.50%
Sensibilité +/-0.5% Taux Progression des salaires (taux de base = 3.8%) :
-Augmentation 4.30%
- Dimunition 3.30%</t>
  </si>
  <si>
    <t>La hausse du poste Autres dettes Etat entre 2021 et 2022 est liée à la hausse des taxes minières (redevance minière et partage de production).</t>
  </si>
  <si>
    <t>Le poste Valeur comptable des cessions d'immobilisations a augmenté de +0,8 Milliards F CFA en raison de sorties d'immobilisations réalisées après la réalisation de l'inventaire de toutes les immobilisations historiques.
Le poste d'Indemnités de fonction est en hausse de +3,8 Milliards F CFA versus 2021 en raison de la hausse des communautés à déplacer (compensation foncières et recasement).
Le poste Autres Charges s'élève à 4,1 milliards en 2022 et traduit l'impact de la revalorisation du poste client (USD) au taux de couverture.
Les charges pour provisions sont impactées par une hausse de +0,2 Milliards F CFA de la provision de stock à rotation lente.</t>
  </si>
  <si>
    <t>N-2</t>
  </si>
  <si>
    <t>N-3</t>
  </si>
  <si>
    <t>N-4</t>
  </si>
  <si>
    <r>
      <t>Emploi :</t>
    </r>
    <r>
      <rPr>
        <sz val="10"/>
        <color rgb="FF000000"/>
        <rFont val="Calibri"/>
        <family val="2"/>
      </rPr>
      <t>En fin d’année 2022, les effectifs de l’entreprise étaient de 871 salariés, composés de 822 employés nationaux (341 agents de maitrise, 138 cadres, 37 cadres supérieurs, 272 employés, 34 stagiaires) et de 49 expatriés. 105 des 871 salariés de GCO sont des femmes (+25 versus 2021), soit 12 % du total. La moyenne d’âge des collaborateurs de GCO est de 41 ans. Le nombre de départs des effectifs locaux est de 24 en 2022.</t>
    </r>
  </si>
  <si>
    <r>
      <t>Relations sociales :</t>
    </r>
    <r>
      <rPr>
        <sz val="10"/>
        <color rgb="FF000000"/>
        <rFont val="Calibri"/>
        <family val="2"/>
      </rPr>
      <t xml:space="preserve"> Un accord social avec les délégués du personnel a été formalisé sur l'année 2022.
</t>
    </r>
  </si>
  <si>
    <r>
      <t>Santé et sécurité :</t>
    </r>
    <r>
      <rPr>
        <sz val="10"/>
        <color rgb="FF000000"/>
        <rFont val="Calibri"/>
        <family val="2"/>
      </rPr>
      <t>Les demandes de consultations médicales ont connu une hausse de +30.3% comparée à l’année précédente (3859 vs 2961). Un total de 1585 certificats de repos maladie ont été enregistrés en 2022 représentant un total de 3849 jours de repos médical, soit une baisse de -10% comparé à l’année précédente (3849 vs 4275). Des démarches à visée préventive, pour la protection de la santé et de la sécurité des travailleurs, ont été aussi déployées.</t>
    </r>
  </si>
  <si>
    <r>
      <t>Politique générale en matière environnementale :</t>
    </r>
    <r>
      <rPr>
        <sz val="10"/>
        <color rgb="FF000000"/>
        <rFont val="Calibri"/>
        <family val="2"/>
      </rPr>
      <t xml:space="preserve">Le Système de Management Environnemental (SME) a été certifié ISO 14001 en 2021. L’audit de suivi N° 1 du SME a été réalisé avec succès en mars 2022. Le niveau de conformité environnemental est de 95%. Aucun incident environnemental majeur n’a été enregistré en 2022.                        
Toutes les superficies exploitées et disponibles pour la réhabilitation ont été stabilisées et revégétalisées avec succès en 2022, soit 355 hectares pour 481 hectares défrichés. Le ratio superficies réhabilitées / superficies défrichées (hors infrastructures permanentes) est de 1,3. GCO est aujourd’hui la première mine sénégalaise à restituer des terres réhabilitées, avec 85 hectares de sites réhabilités rétrocédés par GCO à l’Etat du Sénégal en septembre 2022.
</t>
    </r>
  </si>
  <si>
    <r>
      <t xml:space="preserve">Impact territorial, économique et social de l'activité de la société : </t>
    </r>
    <r>
      <rPr>
        <sz val="10"/>
        <color rgb="FF000000"/>
        <rFont val="Calibri"/>
        <family val="2"/>
      </rPr>
      <t>La politique communautaire de GCO est fondée, d’une part, sur le respect de la législation nationale en vigueur et une observation des meilleures pratiques internationales telles que les normes de la Banque Mondiale et la SFI et, d’autre part, sur une démarche participative et inclusive à l’endroit des populations locales et plus généralement de toutes ses parties prenantes (autorités gouvernementales, médias, organisations de la société civile…).
En 2022, près de 7,3 milliards de F CFA ont été dépensées sur les activités communautaires, dont environ 3,5 milliards sur la réinstallation des communautés déplacées, environ 3,3 milliards sur la compensation foncière, environ 0,3 milliards sur l’enveloppe du Programme Social Minier et le reste sur la préparation de la traversée de Lompoul en 2023 (comprenant le démarrage du projet Oasis).</t>
    </r>
  </si>
  <si>
    <r>
      <rPr>
        <b/>
        <sz val="10"/>
        <color rgb="FF000000"/>
        <rFont val="Calibri"/>
        <family val="2"/>
      </rPr>
      <t>Utilisation durable des ressources</t>
    </r>
    <r>
      <rPr>
        <sz val="10"/>
        <color rgb="FF000000"/>
        <rFont val="Calibri"/>
        <family val="2"/>
      </rPr>
      <t xml:space="preserve"> :Le volume total d'eau souterraine prélevée est dans les limites autorisées par l’Etat du Sénégal et la variation du niveau des eaux souterraines dans les piézomètres de suivi reste relativement faible, ce qui indique l'absence d'impact notoire des opérations minières sur la disponibilité des ressources en eau. Les nombreuses analyses de contrôle effectuées sur les eaux de surface et dans les différentes nappes montrent l'absence d'impact négatif des opérations sur la qualité des eaux.
Les émissions de poussières et de gaz mesurées au niveau des sites industriels et des villages limitrophes dans le cadre du suivi de la qualité de l'air sont conformes à la norme Sénégalaise (NS-05-062) ; il en est de même pour les niveaux de bruit enregistrés au niveau des sites industriels et des villages limitrophes qui restent dans les limites réglementaires du Code de l’environnement du Sénégal et de la Norme SFI (Banque mondiale). Les émissions de CO2 de GCO sont en respect des cibles fixées par Eramet. </t>
    </r>
  </si>
  <si>
    <t>Le montant de 516 044 238 F CFA sur la colonne diminution du poste bâtiment est lié à la sortie d'actifs suite aux travaux de décomposition et d'identification des immobilisations de la construction pour 478 127 337 F CFA, et à une reprise d'amortissement pour 37 916 901 F CFA dû au réajustement du montant de l'actif de démantelement (voir Annexe 3A).
Le transfert de propriété issue de la fin du contrat de carplan a été effectuée sur décembre 2022 et a entrainé une diminution des amortissements pour 377 725 585 F CFA.</t>
  </si>
  <si>
    <t xml:space="preserve">Le poste Autres Approvisionnements est en hausse de +1,6 Milliards F CFA représentant une hausse du stock magasin reposant sur l'impact de l'inflation (près de 10% en 2022 au Sénégal), d'un taux de change €/USD défavorable pour l'import des pièces détachées et de stock de pièces additionnelles rendu nécessaire avec la mise en place de la nouvelle unité de dry mining (SDM).
La période 2022 a été cloturée avec un stock faible de produits finis, lié à des ventes élevées sur décembre et une production faible sur le trimestre 4 (phase de démarrage plus longue que prévue sur la nouvelle unité de Dry Mining (SDM) et teneur du minerai faible dans la dernière quinzaine de décembre). 
Le poste Dépréciation des Stocks est en hausse par rapport à 2021 en raison de la variation de la provision du stock à rotation lente de 271 652 135 F CFA et le reclassement de pièces consommables en stock obsolète pour 178 734 524 F CFA.
 </t>
  </si>
  <si>
    <t>Depuis le 1er avril 2022, GCO vend tous ses produits à la société de commercialisation Eramet Marketing Services (EMAS, filliale du groupe ERAMET).
Les créances litigieuses pour 475 640 824 F CFA  sont constituées par les provisions des factures de redevance de péage du client SEFICS pour l'utilisation de la ligne de chemin de fer Hann / Bel-air.
Le poste "Autres clients créditeurs" pour un montant 3 115 958 064 F CFA est constitué par la réévaluation en fin de période des comptes clients au taux de couverture (hedging).</t>
  </si>
  <si>
    <t>La variation du poste "Personnel" est constitué par le prêt remboursable sur 48 mois octroyé aux Chefs de Départements / Directeurs locaux dans le cadre de leur rachat des véhicules du carplan 2018 arrivé à échéance.
Le solde autres débiteurs est constitué principalement par les créances sur Metal Securities pour 14 117 775 656 F CFA (gestion de trésorerie groupe) et Metal Currency pour 3 222 189 060 F CFA (hedging).</t>
  </si>
  <si>
    <t>Sur 2022, le montant de 813 248 625 F CFA est constitué par les salaires du personnel qualifié affecté au projet d'expansion, et transférés en immobilisation.</t>
  </si>
  <si>
    <t>République du Sénégal</t>
  </si>
  <si>
    <t>Sénégalaise</t>
  </si>
  <si>
    <t>Le poste Provisions pour litiges est constitué principalement de litiges avec des anciens salariés et le fournisseur Axess (catering).
La provision pour perte de change est constituée par les pertes latentes sur la dette avec la maison mère (libellée en USD).
La provision pour démantelement a été mise à jour sur 2022 avec une mise à jour du taux d'inflation (3% versus 2,4% en 2021) et du taux d'actualisation (6% versus 4% en 2021).</t>
  </si>
  <si>
    <t>Travaux d'actuaires réalisés par le cabinet Deloitte</t>
  </si>
  <si>
    <t>Les ventes ont connu une forte hausse en F CFA en 2022 versus 2021 (+60,9 Milliards F CFA) en raison principalement de facteurs favorables tant sur l'effet prix (+ 41,1 Milliards F CFA) que l'effet change €/USD (+20,1 Milliards F CFA). En quantité, les ventes ont légèrement reculé de -5% dans la lignée de la production, impactée par des incidents techniques et une baisse de la teneur en minerai.
Le poste Produits Accessoires est en baisse de près de -0,6 Milliards F CFA en raison de l'incapacité de facturer les redevances de péage à SEFICS utilisant le rail (donné en concession à GCO par l'Etat du Sénégal), suite aux instructions de la société Chemins de Fer du Sénégal (CFS).
Le poste Autres Produits est en hausse de +1,9 Milliards F CFA en raison des gains de change réalisés sur les ventes libellées en USD.</t>
  </si>
  <si>
    <t>Les combustibles (LFO/HFO) ont augmenté de +4,4 Milliards F CFA versus 2021, en raison de la hausse du prix unitaire (avec notamment l'impact de la guerre en Ukraine sur les cours mondiaux).
Les achats stockés (fournitures d'ateliers, d'usine et de magasin (compte 604) ont diminué de -1,8 Milliards F CFA versus 2021 compensés par une hausse des achats directs sur petit matériel/outillage (en hausse de +0,4 Milliards F CFA) et une hausse des achats de prestations de service (+0,6 Milliards de F CFA, principalement dû à la maintenance de la centrale électrique).</t>
  </si>
  <si>
    <t>TRESORERIE NETTE (5) = (1) - (4) - (écarts de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</si>
</sst>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quot;$&quot;* #,##0.00_);_(&quot;$&quot;* \(#,##0.00\);_(&quot;$&quot;* &quot;-&quot;??_);_(@_)"/>
    <numFmt numFmtId="165" formatCode="_-* #,##0.00\ _€_-;\-* #,##0.00\ _€_-;_-* &quot;-&quot;??\ _€_-;_-@_-"/>
    <numFmt numFmtId="166" formatCode="_ * #,##0.00_)\ _$_ ;_ * \(#,##0.00\)\ _$_ ;_ * &quot;-&quot;??_)\ _$_ ;_ @_ "/>
    <numFmt numFmtId="167" formatCode="_-* #,##0.00\ _F_-;\-* #,##0.00\ _F_-;_-* &quot;-&quot;??\ _F_-;_-@_-"/>
    <numFmt numFmtId="168" formatCode="_-* #,##0\ _€_-;\-* #,##0\ _€_-;_-* &quot;-&quot;??\ _€_-;_-@_-"/>
    <numFmt numFmtId="169" formatCode="_-* #,##0\ _F_-;\-* #,##0\ _F_-;_-* &quot;-&quot;??\ _F_-;_-@_-"/>
    <numFmt numFmtId="170" formatCode="#,##0_ ;\-#,##0\ "/>
    <numFmt numFmtId="171" formatCode="#,##0\ _F"/>
    <numFmt numFmtId="172" formatCode="_ * #,##0_)\ _$_ ;_ * \(#,##0\)\ _$_ ;_ * &quot;-&quot;??_)\ _$_ ;_ @_ "/>
    <numFmt numFmtId="173" formatCode="0.0%"/>
  </numFmts>
  <fonts count="84">
    <font>
      <sz val="10"/>
      <name val="CG Times"/>
      <charset val="1"/>
    </font>
    <font>
      <sz val="11"/>
      <color theme="1"/>
      <name val="Calibri"/>
      <family val="2"/>
    </font>
    <font>
      <sz val="11"/>
      <color theme="1"/>
      <name val="Calibri"/>
      <family val="2"/>
    </font>
    <font>
      <sz val="11"/>
      <color theme="1"/>
      <name val="Calibri"/>
      <family val="2"/>
    </font>
    <font>
      <sz val="11"/>
      <color theme="1"/>
      <name val="Calibri"/>
      <family val="2"/>
    </font>
    <font>
      <sz val="10"/>
      <name val="CG Times"/>
      <charset val="1"/>
    </font>
    <font>
      <b/>
      <sz val="10"/>
      <color theme="0"/>
      <name val="Cambria"/>
      <family val="1"/>
    </font>
    <font>
      <b/>
      <sz val="10"/>
      <name val="Cambria"/>
      <family val="1"/>
    </font>
    <font>
      <sz val="10"/>
      <name val="Cambria"/>
      <family val="1"/>
    </font>
    <font>
      <b/>
      <i/>
      <sz val="10"/>
      <name val="Cambria"/>
      <family val="1"/>
    </font>
    <font>
      <sz val="10"/>
      <color theme="0"/>
      <name val="Cambria"/>
      <family val="1"/>
    </font>
    <font>
      <sz val="10"/>
      <name val="CG Times"/>
      <charset val="1"/>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font>
    <font>
      <b/>
      <sz val="14"/>
      <color rgb="FFFFFFFF"/>
      <name val="Calibri"/>
      <family val="2"/>
    </font>
    <font>
      <sz val="10"/>
      <name val="Calibri"/>
      <family val="2"/>
    </font>
    <font>
      <b/>
      <sz val="10"/>
      <name val="Calibri"/>
      <family val="2"/>
    </font>
    <font>
      <b/>
      <sz val="10"/>
      <name val="Calibri"/>
      <family val="2"/>
    </font>
    <font>
      <sz val="8"/>
      <name val="Calibri"/>
      <family val="2"/>
    </font>
    <font>
      <sz val="14"/>
      <name val="Calibri"/>
      <family val="2"/>
    </font>
    <font>
      <sz val="10"/>
      <name val="Calibri"/>
      <family val="2"/>
    </font>
    <font>
      <sz val="10"/>
      <color indexed="8"/>
      <name val="Cambria"/>
      <family val="1"/>
    </font>
    <font>
      <sz val="9"/>
      <color indexed="8"/>
      <name val="Cambria"/>
      <family val="1"/>
    </font>
    <font>
      <b/>
      <sz val="9"/>
      <color indexed="8"/>
      <name val="Cambria"/>
      <family val="1"/>
    </font>
    <font>
      <sz val="9"/>
      <color indexed="9"/>
      <name val="Cambria"/>
      <family val="1"/>
    </font>
    <font>
      <sz val="8"/>
      <color indexed="8"/>
      <name val="Cambria"/>
      <family val="1"/>
    </font>
    <font>
      <b/>
      <sz val="10"/>
      <color indexed="8"/>
      <name val="Cambria"/>
      <family val="1"/>
    </font>
    <font>
      <b/>
      <sz val="8"/>
      <color indexed="8"/>
      <name val="Cambria"/>
      <family val="1"/>
    </font>
    <font>
      <sz val="10"/>
      <color indexed="9"/>
      <name val="Cambria"/>
      <family val="1"/>
    </font>
    <font>
      <sz val="11"/>
      <color theme="0"/>
      <name val="Calibri"/>
      <family val="2"/>
    </font>
    <font>
      <b/>
      <sz val="11"/>
      <color theme="0"/>
      <name val="Cambria"/>
      <family val="1"/>
    </font>
    <font>
      <sz val="11"/>
      <color theme="1"/>
      <name val="Cambria"/>
      <family val="1"/>
    </font>
    <font>
      <sz val="11"/>
      <color theme="0"/>
      <name val="Cambria"/>
      <family val="1"/>
    </font>
    <font>
      <b/>
      <sz val="14"/>
      <color theme="0"/>
      <name val="Calibri"/>
      <family val="2"/>
    </font>
    <font>
      <sz val="10"/>
      <color theme="1"/>
      <name val="Calibri"/>
      <family val="2"/>
    </font>
    <font>
      <b/>
      <sz val="10"/>
      <color theme="1"/>
      <name val="Calibri"/>
      <family val="2"/>
    </font>
    <font>
      <b/>
      <sz val="10"/>
      <color theme="0"/>
      <name val="Calibri"/>
      <family val="2"/>
    </font>
    <font>
      <sz val="10"/>
      <color theme="1"/>
      <name val="Symbol"/>
      <family val="1"/>
      <charset val="2"/>
    </font>
    <font>
      <sz val="10"/>
      <color theme="1"/>
      <name val="Times New Roman"/>
      <family val="1"/>
    </font>
    <font>
      <b/>
      <sz val="9"/>
      <color theme="0"/>
      <name val="Calibri"/>
      <family val="2"/>
    </font>
    <font>
      <sz val="10"/>
      <color theme="1"/>
      <name val="Calibri"/>
      <family val="2"/>
    </font>
    <font>
      <b/>
      <sz val="8"/>
      <color theme="0"/>
      <name val="Calibri"/>
      <family val="2"/>
    </font>
    <font>
      <sz val="9"/>
      <color theme="1"/>
      <name val="Calibri"/>
      <family val="2"/>
    </font>
    <font>
      <i/>
      <sz val="10"/>
      <color theme="1"/>
      <name val="Calibri"/>
      <family val="2"/>
    </font>
    <font>
      <b/>
      <sz val="12"/>
      <color theme="0"/>
      <name val="Calibri"/>
      <family val="2"/>
    </font>
    <font>
      <sz val="10"/>
      <name val="Arial"/>
      <family val="2"/>
    </font>
    <font>
      <sz val="9"/>
      <name val="Calibri"/>
      <family val="2"/>
    </font>
    <font>
      <b/>
      <sz val="8"/>
      <name val="Calibri"/>
      <family val="2"/>
    </font>
    <font>
      <sz val="10"/>
      <color theme="0"/>
      <name val="Calibri"/>
      <family val="2"/>
    </font>
    <font>
      <sz val="6"/>
      <name val="Calibri"/>
      <family val="2"/>
    </font>
    <font>
      <sz val="8"/>
      <color theme="1"/>
      <name val="Calibri"/>
      <family val="2"/>
    </font>
    <font>
      <b/>
      <sz val="12"/>
      <color theme="1"/>
      <name val="Calibri"/>
      <family val="2"/>
    </font>
    <font>
      <sz val="10"/>
      <color rgb="FF000000"/>
      <name val="Calibri"/>
      <family val="2"/>
    </font>
    <font>
      <b/>
      <sz val="10"/>
      <color rgb="FF000000"/>
      <name val="Calibri"/>
      <family val="2"/>
    </font>
    <font>
      <b/>
      <sz val="10"/>
      <color rgb="FFFFFFFF"/>
      <name val="Calibri"/>
      <family val="2"/>
    </font>
    <font>
      <sz val="8"/>
      <color rgb="FF000000"/>
      <name val="Calibri"/>
      <family val="2"/>
    </font>
    <font>
      <b/>
      <sz val="8"/>
      <color rgb="FF000000"/>
      <name val="Calibri"/>
      <family val="2"/>
    </font>
    <font>
      <sz val="7"/>
      <color indexed="8"/>
      <name val="Cambria"/>
      <family val="1"/>
    </font>
    <font>
      <b/>
      <sz val="9"/>
      <color theme="1"/>
      <name val="Calibri"/>
      <family val="2"/>
    </font>
    <font>
      <b/>
      <sz val="14"/>
      <color theme="9"/>
      <name val="Calibri"/>
      <family val="2"/>
    </font>
    <font>
      <b/>
      <sz val="12"/>
      <color indexed="0"/>
      <name val="Cambria"/>
      <family val="1"/>
    </font>
    <font>
      <b/>
      <sz val="9"/>
      <color indexed="0"/>
      <name val="Cambria"/>
      <family val="1"/>
    </font>
    <font>
      <b/>
      <sz val="10"/>
      <color indexed="0"/>
      <name val="Cambria"/>
      <family val="1"/>
    </font>
    <font>
      <b/>
      <sz val="8"/>
      <color indexed="0"/>
      <name val="Cambria"/>
      <family val="1"/>
    </font>
    <font>
      <sz val="10"/>
      <color indexed="0"/>
      <name val="Cambria"/>
      <family val="1"/>
    </font>
    <font>
      <sz val="11"/>
      <name val="Cambria"/>
      <family val="1"/>
    </font>
    <font>
      <sz val="11"/>
      <color indexed="0"/>
      <name val="Cambria"/>
      <family val="1"/>
    </font>
    <font>
      <b/>
      <sz val="10"/>
      <color indexed="2"/>
      <name val="Cambria"/>
      <family val="1"/>
    </font>
    <font>
      <b/>
      <sz val="10"/>
      <color indexed="1"/>
      <name val="Cambria"/>
      <family val="1"/>
    </font>
    <font>
      <b/>
      <sz val="10"/>
      <color indexed="1"/>
      <name val="Calibri"/>
      <family val="2"/>
    </font>
    <font>
      <sz val="11"/>
      <name val="Calibri"/>
      <family val="2"/>
    </font>
    <font>
      <sz val="10"/>
      <color indexed="0"/>
      <name val="Calibri"/>
      <family val="2"/>
    </font>
    <font>
      <sz val="11"/>
      <color indexed="0"/>
      <name val="Calibri"/>
      <family val="2"/>
    </font>
    <font>
      <sz val="9"/>
      <color indexed="0"/>
      <name val="Calibri"/>
      <family val="2"/>
    </font>
    <font>
      <b/>
      <sz val="10"/>
      <color indexed="0"/>
      <name val="Calibri"/>
      <family val="2"/>
    </font>
    <font>
      <sz val="10"/>
      <color indexed="0"/>
      <name val="CG Times"/>
      <charset val="1"/>
    </font>
    <font>
      <sz val="8"/>
      <color indexed="0"/>
      <name val="Calibri"/>
      <family val="2"/>
    </font>
    <font>
      <sz val="10"/>
      <name val="Calibri"/>
      <family val="2"/>
    </font>
    <font>
      <sz val="10"/>
      <color theme="1"/>
      <name val="Calibri"/>
      <family val="2"/>
    </font>
  </fonts>
  <fills count="1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6337778862885"/>
        <bgColor indexed="64"/>
      </patternFill>
    </fill>
    <fill>
      <patternFill patternType="solid">
        <fgColor theme="4"/>
      </patternFill>
    </fill>
    <fill>
      <patternFill patternType="solid">
        <fgColor theme="4" tint="0.39994506668294322"/>
        <bgColor indexed="65"/>
      </patternFill>
    </fill>
    <fill>
      <patternFill patternType="solid">
        <fgColor theme="9" tint="0.39994506668294322"/>
        <bgColor indexed="64"/>
      </patternFill>
    </fill>
    <fill>
      <patternFill patternType="solid">
        <fgColor indexed="1"/>
      </patternFill>
    </fill>
    <fill>
      <patternFill patternType="solid">
        <fgColor indexed="11"/>
      </patternFill>
    </fill>
    <fill>
      <patternFill patternType="solid">
        <fgColor indexed="12"/>
      </patternFill>
    </fill>
    <fill>
      <patternFill patternType="solid">
        <fgColor indexed="13"/>
      </patternFill>
    </fill>
    <fill>
      <patternFill patternType="solid">
        <fgColor theme="9" tint="0.59999389629810485"/>
        <bgColor indexed="64"/>
      </patternFill>
    </fill>
    <fill>
      <patternFill patternType="solid">
        <fgColor rgb="FFA9D08E"/>
        <bgColor rgb="FF000000"/>
      </patternFill>
    </fill>
    <fill>
      <patternFill patternType="solid">
        <fgColor rgb="FFA8D08D"/>
        <bgColor rgb="FFFFFFFF"/>
      </patternFill>
    </fill>
  </fills>
  <borders count="164">
    <border>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style="thin">
        <color indexed="8"/>
      </left>
      <right/>
      <top style="thin">
        <color indexed="64"/>
      </top>
      <bottom/>
      <diagonal/>
    </border>
    <border>
      <left style="thin">
        <color indexed="8"/>
      </left>
      <right/>
      <top/>
      <bottom style="thin">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hair">
        <color indexed="8"/>
      </bottom>
      <diagonal/>
    </border>
    <border>
      <left style="thin">
        <color indexed="10"/>
      </left>
      <right style="thin">
        <color indexed="10"/>
      </right>
      <top style="hair">
        <color indexed="8"/>
      </top>
      <bottom style="thin">
        <color indexed="10"/>
      </bottom>
      <diagonal/>
    </border>
    <border>
      <left style="thin">
        <color indexed="10"/>
      </left>
      <right style="thin">
        <color indexed="10"/>
      </right>
      <top style="thin">
        <color indexed="10"/>
      </top>
      <bottom style="medium">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10"/>
      </left>
      <right style="thin">
        <color indexed="10"/>
      </right>
      <top style="thin">
        <color indexed="8"/>
      </top>
      <bottom style="thin">
        <color indexed="8"/>
      </bottom>
      <diagonal/>
    </border>
    <border>
      <left style="thin">
        <color indexed="8"/>
      </left>
      <right style="thin">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8"/>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right/>
      <top style="thin">
        <color indexed="10"/>
      </top>
      <bottom style="hair">
        <color indexed="8"/>
      </bottom>
      <diagonal/>
    </border>
    <border>
      <left/>
      <right style="thin">
        <color indexed="10"/>
      </right>
      <top style="thin">
        <color indexed="10"/>
      </top>
      <bottom style="hair">
        <color indexed="8"/>
      </bottom>
      <diagonal/>
    </border>
    <border>
      <left style="thin">
        <color indexed="10"/>
      </left>
      <right/>
      <top style="thin">
        <color indexed="10"/>
      </top>
      <bottom/>
      <diagonal/>
    </border>
    <border>
      <left/>
      <right style="thin">
        <color indexed="10"/>
      </right>
      <top style="thin">
        <color indexed="10"/>
      </top>
      <bottom/>
      <diagonal/>
    </border>
    <border>
      <left style="thin">
        <color indexed="10"/>
      </left>
      <right style="thin">
        <color indexed="10"/>
      </right>
      <top style="hair">
        <color indexed="8"/>
      </top>
      <bottom style="thin">
        <color indexed="8"/>
      </bottom>
      <diagonal/>
    </border>
    <border>
      <left style="thin">
        <color indexed="8"/>
      </left>
      <right style="thin">
        <color indexed="8"/>
      </right>
      <top style="thin">
        <color indexed="10"/>
      </top>
      <bottom style="thin">
        <color indexed="8"/>
      </bottom>
      <diagonal/>
    </border>
    <border>
      <left style="thin">
        <color indexed="8"/>
      </left>
      <right style="thin">
        <color indexed="8"/>
      </right>
      <top style="thin">
        <color indexed="8"/>
      </top>
      <bottom style="thin">
        <color indexed="10"/>
      </bottom>
      <diagonal/>
    </border>
    <border>
      <left/>
      <right style="thin">
        <color indexed="10"/>
      </right>
      <top style="hair">
        <color indexed="8"/>
      </top>
      <bottom style="hair">
        <color indexed="8"/>
      </bottom>
      <diagonal/>
    </border>
    <border>
      <left style="thin">
        <color indexed="10"/>
      </left>
      <right style="thin">
        <color indexed="10"/>
      </right>
      <top style="hair">
        <color indexed="8"/>
      </top>
      <bottom style="hair">
        <color indexed="8"/>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10"/>
      </top>
      <bottom style="thin">
        <color indexed="10"/>
      </bottom>
      <diagonal/>
    </border>
    <border>
      <left/>
      <right style="thin">
        <color indexed="8"/>
      </right>
      <top style="thin">
        <color indexed="10"/>
      </top>
      <bottom style="thin">
        <color indexed="10"/>
      </bottom>
      <diagonal/>
    </border>
    <border>
      <left style="thin">
        <color indexed="8"/>
      </left>
      <right/>
      <top style="thin">
        <color indexed="10"/>
      </top>
      <bottom style="thin">
        <color indexed="8"/>
      </bottom>
      <diagonal/>
    </border>
    <border>
      <left/>
      <right/>
      <top style="thin">
        <color indexed="10"/>
      </top>
      <bottom style="thin">
        <color indexed="8"/>
      </bottom>
      <diagonal/>
    </border>
    <border>
      <left/>
      <right style="thin">
        <color indexed="8"/>
      </right>
      <top style="thin">
        <color indexed="10"/>
      </top>
      <bottom style="thin">
        <color indexed="8"/>
      </bottom>
      <diagonal/>
    </border>
    <border>
      <left style="thin">
        <color indexed="10"/>
      </left>
      <right/>
      <top style="thin">
        <color indexed="8"/>
      </top>
      <bottom style="thin">
        <color indexed="10"/>
      </bottom>
      <diagonal/>
    </border>
    <border>
      <left/>
      <right style="thin">
        <color indexed="10"/>
      </right>
      <top style="thin">
        <color indexed="8"/>
      </top>
      <bottom style="thin">
        <color indexed="10"/>
      </bottom>
      <diagonal/>
    </border>
    <border>
      <left/>
      <right/>
      <top style="thin">
        <color indexed="8"/>
      </top>
      <bottom style="thin">
        <color indexed="10"/>
      </bottom>
      <diagonal/>
    </border>
    <border>
      <left/>
      <right/>
      <top/>
      <bottom style="thick">
        <color theme="9" tint="-0.2499160740989410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10"/>
      </bottom>
      <diagonal/>
    </border>
    <border>
      <left style="thin">
        <color indexed="10"/>
      </left>
      <right/>
      <top style="thin">
        <color indexed="10"/>
      </top>
      <bottom style="thin">
        <color indexed="8"/>
      </bottom>
      <diagonal/>
    </border>
    <border>
      <left style="thin">
        <color indexed="10"/>
      </left>
      <right style="thin">
        <color indexed="10"/>
      </right>
      <top style="thin">
        <color indexed="10"/>
      </top>
      <bottom/>
      <diagonal/>
    </border>
    <border>
      <left style="thin">
        <color indexed="10"/>
      </left>
      <right style="thin">
        <color indexed="10"/>
      </right>
      <top/>
      <bottom style="thin">
        <color indexed="8"/>
      </bottom>
      <diagonal/>
    </border>
    <border>
      <left style="thin">
        <color indexed="10"/>
      </left>
      <right style="thin">
        <color indexed="10"/>
      </right>
      <top/>
      <bottom/>
      <diagonal/>
    </border>
    <border>
      <left style="thin">
        <color indexed="10"/>
      </left>
      <right style="thin">
        <color indexed="10"/>
      </right>
      <top/>
      <bottom style="thin">
        <color indexed="10"/>
      </bottom>
      <diagonal/>
    </border>
    <border>
      <left/>
      <right/>
      <top/>
      <bottom style="thin">
        <color indexed="8"/>
      </bottom>
      <diagonal/>
    </border>
    <border>
      <left/>
      <right style="thin">
        <color indexed="10"/>
      </right>
      <top/>
      <bottom/>
      <diagonal/>
    </border>
    <border>
      <left style="thin">
        <color indexed="10"/>
      </left>
      <right/>
      <top/>
      <bottom/>
      <diagonal/>
    </border>
    <border>
      <left/>
      <right style="thin">
        <color indexed="10"/>
      </right>
      <top style="thin">
        <color indexed="10"/>
      </top>
      <bottom style="thin">
        <color indexed="8"/>
      </bottom>
      <diagonal/>
    </border>
    <border>
      <left style="thin">
        <color indexed="10"/>
      </left>
      <right style="thin">
        <color indexed="10"/>
      </right>
      <top style="hair">
        <color indexed="8"/>
      </top>
      <bottom/>
      <diagonal/>
    </border>
    <border>
      <left style="thin">
        <color indexed="10"/>
      </left>
      <right style="thin">
        <color indexed="10"/>
      </right>
      <top style="thin">
        <color indexed="8"/>
      </top>
      <bottom/>
      <diagonal/>
    </border>
    <border>
      <left/>
      <right/>
      <top/>
      <bottom style="thin">
        <color indexed="10"/>
      </bottom>
      <diagonal/>
    </border>
    <border>
      <left/>
      <right/>
      <top style="hair">
        <color indexed="8"/>
      </top>
      <bottom style="hair">
        <color indexed="8"/>
      </bottom>
      <diagonal/>
    </border>
    <border>
      <left/>
      <right/>
      <top/>
      <bottom style="hair">
        <color indexed="8"/>
      </bottom>
      <diagonal/>
    </border>
    <border>
      <left/>
      <right style="thin">
        <color indexed="10"/>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10"/>
      </right>
      <top style="thin">
        <color indexed="64"/>
      </top>
      <bottom style="thin">
        <color indexed="10"/>
      </bottom>
      <diagonal/>
    </border>
    <border>
      <left style="thin">
        <color indexed="10"/>
      </left>
      <right style="thin">
        <color indexed="10"/>
      </right>
      <top style="thin">
        <color indexed="64"/>
      </top>
      <bottom style="thin">
        <color indexed="10"/>
      </bottom>
      <diagonal/>
    </border>
    <border>
      <left style="thin">
        <color indexed="10"/>
      </left>
      <right style="thin">
        <color indexed="64"/>
      </right>
      <top style="thin">
        <color indexed="64"/>
      </top>
      <bottom style="thin">
        <color indexed="10"/>
      </bottom>
      <diagonal/>
    </border>
    <border>
      <left style="thin">
        <color indexed="64"/>
      </left>
      <right style="thin">
        <color indexed="10"/>
      </right>
      <top style="thin">
        <color indexed="10"/>
      </top>
      <bottom style="thin">
        <color indexed="10"/>
      </bottom>
      <diagonal/>
    </border>
    <border>
      <left style="thin">
        <color indexed="10"/>
      </left>
      <right style="thin">
        <color indexed="64"/>
      </right>
      <top style="thin">
        <color indexed="10"/>
      </top>
      <bottom style="thin">
        <color indexed="10"/>
      </bottom>
      <diagonal/>
    </border>
    <border>
      <left style="thin">
        <color indexed="64"/>
      </left>
      <right/>
      <top style="thin">
        <color indexed="10"/>
      </top>
      <bottom style="thin">
        <color indexed="10"/>
      </bottom>
      <diagonal/>
    </border>
    <border>
      <left/>
      <right style="thin">
        <color indexed="64"/>
      </right>
      <top style="thin">
        <color indexed="10"/>
      </top>
      <bottom style="thin">
        <color indexed="10"/>
      </bottom>
      <diagonal/>
    </border>
    <border>
      <left style="thin">
        <color indexed="8"/>
      </left>
      <right style="thin">
        <color indexed="64"/>
      </right>
      <top style="thin">
        <color indexed="10"/>
      </top>
      <bottom style="thin">
        <color indexed="10"/>
      </bottom>
      <diagonal/>
    </border>
    <border>
      <left style="thin">
        <color indexed="64"/>
      </left>
      <right style="thin">
        <color indexed="10"/>
      </right>
      <top style="thin">
        <color indexed="10"/>
      </top>
      <bottom style="thin">
        <color indexed="64"/>
      </bottom>
      <diagonal/>
    </border>
    <border>
      <left style="thin">
        <color indexed="10"/>
      </left>
      <right style="thin">
        <color indexed="10"/>
      </right>
      <top style="thin">
        <color indexed="10"/>
      </top>
      <bottom style="thin">
        <color indexed="64"/>
      </bottom>
      <diagonal/>
    </border>
    <border>
      <left style="thin">
        <color indexed="10"/>
      </left>
      <right style="thin">
        <color indexed="64"/>
      </right>
      <top style="thin">
        <color indexed="10"/>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10"/>
      </left>
      <right style="thin">
        <color indexed="10"/>
      </right>
      <top style="thin">
        <color indexed="10"/>
      </top>
      <bottom/>
      <diagonal/>
    </border>
    <border>
      <left style="thin">
        <color indexed="10"/>
      </left>
      <right style="thin">
        <color indexed="10"/>
      </right>
      <top style="thin">
        <color indexed="10"/>
      </top>
      <bottom/>
      <diagonal/>
    </border>
    <border>
      <left style="thin">
        <color indexed="8"/>
      </left>
      <right/>
      <top style="thin">
        <color indexed="10"/>
      </top>
      <bottom style="thin">
        <color indexed="10"/>
      </bottom>
      <diagonal/>
    </border>
    <border>
      <left/>
      <right style="thin">
        <color indexed="8"/>
      </right>
      <top style="thin">
        <color indexed="10"/>
      </top>
      <bottom style="thin">
        <color indexed="10"/>
      </bottom>
      <diagonal/>
    </border>
    <border>
      <left style="hair">
        <color indexed="8"/>
      </left>
      <right style="hair">
        <color indexed="8"/>
      </right>
      <top style="hair">
        <color indexed="8"/>
      </top>
      <bottom style="hair">
        <color indexed="8"/>
      </bottom>
      <diagonal/>
    </border>
    <border>
      <left style="hair">
        <color indexed="8"/>
      </left>
      <right/>
      <top/>
      <bottom style="hair">
        <color indexed="8"/>
      </bottom>
      <diagonal/>
    </border>
    <border>
      <left style="hair">
        <color indexed="8"/>
      </left>
      <right/>
      <top style="hair">
        <color indexed="8"/>
      </top>
      <bottom style="hair">
        <color indexed="8"/>
      </bottom>
      <diagonal/>
    </border>
    <border>
      <left/>
      <right/>
      <top style="hair">
        <color indexed="8"/>
      </top>
      <bottom/>
      <diagonal/>
    </border>
    <border>
      <left/>
      <right style="thin">
        <color indexed="10"/>
      </right>
      <top style="thin">
        <color indexed="10"/>
      </top>
      <bottom style="thin">
        <color indexed="10"/>
      </bottom>
      <diagonal/>
    </border>
    <border>
      <left style="thin">
        <color indexed="10"/>
      </left>
      <right style="thin">
        <color indexed="64"/>
      </right>
      <top style="thin">
        <color indexed="8"/>
      </top>
      <bottom style="thin">
        <color indexed="10"/>
      </bottom>
      <diagonal/>
    </border>
    <border>
      <left style="thin">
        <color indexed="10"/>
      </left>
      <right style="thin">
        <color indexed="64"/>
      </right>
      <top style="thin">
        <color indexed="10"/>
      </top>
      <bottom style="thin">
        <color indexed="10"/>
      </bottom>
      <diagonal/>
    </border>
    <border>
      <left style="thin">
        <color indexed="10"/>
      </left>
      <right style="thin">
        <color indexed="8"/>
      </right>
      <top style="thin">
        <color indexed="10"/>
      </top>
      <bottom/>
      <diagonal/>
    </border>
    <border>
      <left style="thin">
        <color indexed="8"/>
      </left>
      <right style="thin">
        <color indexed="64"/>
      </right>
      <top style="thin">
        <color indexed="10"/>
      </top>
      <bottom style="thin">
        <color indexed="8"/>
      </bottom>
      <diagonal/>
    </border>
    <border>
      <left/>
      <right style="thin">
        <color indexed="64"/>
      </right>
      <top style="thin">
        <color indexed="10"/>
      </top>
      <bottom style="thin">
        <color indexed="8"/>
      </bottom>
      <diagonal/>
    </border>
    <border>
      <left/>
      <right/>
      <top style="thin">
        <color indexed="10"/>
      </top>
      <bottom style="thin">
        <color indexed="10"/>
      </bottom>
      <diagonal/>
    </border>
    <border>
      <left/>
      <right style="thin">
        <color indexed="64"/>
      </right>
      <top style="thin">
        <color indexed="10"/>
      </top>
      <bottom style="thin">
        <color indexed="10"/>
      </bottom>
      <diagonal/>
    </border>
    <border>
      <left style="thin">
        <color auto="1"/>
      </left>
      <right/>
      <top/>
      <bottom style="thin">
        <color auto="1"/>
      </bottom>
      <diagonal/>
    </border>
    <border>
      <left style="thin">
        <color indexed="64"/>
      </left>
      <right style="thin">
        <color indexed="8"/>
      </right>
      <top style="thin">
        <color indexed="8"/>
      </top>
      <bottom style="thin">
        <color indexed="10"/>
      </bottom>
      <diagonal/>
    </border>
    <border>
      <left style="thin">
        <color indexed="10"/>
      </left>
      <right/>
      <top style="thin">
        <color indexed="10"/>
      </top>
      <bottom style="thin">
        <color indexed="10"/>
      </bottom>
      <diagonal/>
    </border>
    <border>
      <left style="thin">
        <color indexed="64"/>
      </left>
      <right style="thin">
        <color indexed="10"/>
      </right>
      <top style="thin">
        <color indexed="8"/>
      </top>
      <bottom style="thin">
        <color indexed="10"/>
      </bottom>
      <diagonal/>
    </border>
    <border>
      <left style="thin">
        <color indexed="64"/>
      </left>
      <right style="thin">
        <color indexed="10"/>
      </right>
      <top style="thin">
        <color indexed="10"/>
      </top>
      <bottom style="thin">
        <color indexed="10"/>
      </bottom>
      <diagonal/>
    </border>
    <border>
      <left style="thin">
        <color indexed="64"/>
      </left>
      <right/>
      <top style="thin">
        <color indexed="8"/>
      </top>
      <bottom style="thin">
        <color indexed="10"/>
      </bottom>
      <diagonal/>
    </border>
    <border>
      <left style="thin">
        <color indexed="64"/>
      </left>
      <right/>
      <top style="thin">
        <color indexed="10"/>
      </top>
      <bottom style="thin">
        <color indexed="10"/>
      </bottom>
      <diagonal/>
    </border>
    <border>
      <left style="thin">
        <color indexed="64"/>
      </left>
      <right style="thin">
        <color indexed="64"/>
      </right>
      <top style="thin">
        <color indexed="8"/>
      </top>
      <bottom style="thin">
        <color indexed="10"/>
      </bottom>
      <diagonal/>
    </border>
    <border>
      <left style="thin">
        <color indexed="64"/>
      </left>
      <right style="thin">
        <color indexed="64"/>
      </right>
      <top style="thin">
        <color indexed="10"/>
      </top>
      <bottom style="thin">
        <color indexed="10"/>
      </bottom>
      <diagonal/>
    </border>
    <border>
      <left style="thin">
        <color rgb="FF000000"/>
      </left>
      <right/>
      <top style="thin">
        <color rgb="FF000000"/>
      </top>
      <bottom style="thin">
        <color rgb="FF000000"/>
      </bottom>
      <diagonal/>
    </border>
  </borders>
  <cellStyleXfs count="21">
    <xf numFmtId="0" fontId="0" fillId="0" borderId="0" applyAlignment="0" applyProtection="0"/>
    <xf numFmtId="165" fontId="5" fillId="0" borderId="0" applyFont="0" applyFill="0" applyBorder="0" applyAlignment="0" applyProtection="0"/>
    <xf numFmtId="167" fontId="5" fillId="0" borderId="0" applyFont="0" applyFill="0" applyBorder="0" applyAlignment="0" applyProtection="0"/>
    <xf numFmtId="0" fontId="4" fillId="0" borderId="0" applyAlignment="0" applyProtection="0"/>
    <xf numFmtId="165" fontId="5" fillId="0" borderId="0" applyFont="0" applyFill="0" applyBorder="0" applyAlignment="0" applyProtection="0"/>
    <xf numFmtId="0" fontId="13" fillId="0" borderId="0" applyNumberFormat="0" applyFill="0" applyBorder="0" applyAlignment="0" applyProtection="0"/>
    <xf numFmtId="0" fontId="18" fillId="0" borderId="0" applyAlignment="0" applyProtection="0"/>
    <xf numFmtId="0" fontId="11" fillId="0" borderId="0" applyAlignment="0" applyProtection="0"/>
    <xf numFmtId="0" fontId="34" fillId="5" borderId="0" applyNumberFormat="0" applyBorder="0" applyAlignment="0" applyProtection="0"/>
    <xf numFmtId="0" fontId="34" fillId="6" borderId="0" applyNumberFormat="0" applyBorder="0" applyAlignment="0" applyProtection="0"/>
    <xf numFmtId="0" fontId="3" fillId="0" borderId="0" applyAlignment="0" applyProtection="0"/>
    <xf numFmtId="0" fontId="50" fillId="0" borderId="0" applyAlignment="0" applyProtection="0"/>
    <xf numFmtId="0" fontId="5" fillId="0" borderId="0" applyAlignment="0" applyProtection="0"/>
    <xf numFmtId="0" fontId="2" fillId="0" borderId="0" applyAlignment="0" applyProtection="0"/>
    <xf numFmtId="166" fontId="5" fillId="0" borderId="0" applyFont="0" applyFill="0" applyBorder="0" applyAlignment="0" applyProtection="0"/>
    <xf numFmtId="9" fontId="5" fillId="0" borderId="0" applyFont="0" applyFill="0" applyBorder="0" applyAlignment="0" applyProtection="0"/>
    <xf numFmtId="0" fontId="1" fillId="0" borderId="0" applyAlignment="0" applyProtection="0"/>
    <xf numFmtId="164" fontId="5" fillId="0" borderId="0" applyFont="0" applyFill="0" applyBorder="0" applyAlignment="0" applyProtection="0"/>
    <xf numFmtId="0" fontId="1" fillId="0" borderId="0" applyAlignment="0" applyProtection="0"/>
    <xf numFmtId="165" fontId="5" fillId="0" borderId="0" applyFont="0" applyFill="0" applyBorder="0" applyAlignment="0" applyProtection="0"/>
    <xf numFmtId="0" fontId="1" fillId="0" borderId="0" applyAlignment="0" applyProtection="0"/>
  </cellStyleXfs>
  <cellXfs count="1228">
    <xf numFmtId="0" fontId="0" fillId="0" borderId="0" xfId="0" applyNumberFormat="1" applyFont="1" applyFill="1" applyBorder="1"/>
    <xf numFmtId="0" fontId="7" fillId="0" borderId="0" xfId="0" applyNumberFormat="1" applyFont="1" applyFill="1" applyBorder="1" applyAlignment="1">
      <alignment horizontal="center" vertical="center" wrapText="1"/>
    </xf>
    <xf numFmtId="0" fontId="8" fillId="0" borderId="0" xfId="0" applyNumberFormat="1" applyFont="1" applyFill="1" applyBorder="1" applyAlignment="1">
      <alignment vertical="center" wrapText="1"/>
    </xf>
    <xf numFmtId="0" fontId="7" fillId="0" borderId="0" xfId="0" applyNumberFormat="1" applyFont="1" applyFill="1" applyBorder="1" applyAlignment="1">
      <alignment vertical="center" wrapText="1"/>
    </xf>
    <xf numFmtId="0" fontId="8" fillId="0" borderId="0" xfId="0" applyNumberFormat="1" applyFont="1" applyFill="1" applyBorder="1" applyAlignment="1">
      <alignment vertical="center"/>
    </xf>
    <xf numFmtId="0" fontId="8" fillId="0" borderId="0" xfId="0" applyNumberFormat="1" applyFont="1" applyFill="1" applyBorder="1" applyAlignment="1">
      <alignment vertical="center" wrapText="1"/>
    </xf>
    <xf numFmtId="0" fontId="8" fillId="0" borderId="18" xfId="0" applyNumberFormat="1" applyFont="1" applyFill="1" applyBorder="1" applyAlignment="1">
      <alignment horizontal="center" vertical="center"/>
    </xf>
    <xf numFmtId="0" fontId="8" fillId="0" borderId="0" xfId="0" applyNumberFormat="1" applyFont="1" applyFill="1" applyBorder="1" applyAlignment="1">
      <alignment horizontal="center" vertical="center"/>
    </xf>
    <xf numFmtId="0" fontId="7" fillId="0" borderId="0" xfId="0" applyNumberFormat="1" applyFont="1" applyFill="1" applyBorder="1" applyAlignment="1">
      <alignment vertical="center"/>
    </xf>
    <xf numFmtId="0" fontId="7" fillId="0" borderId="0" xfId="0" applyNumberFormat="1" applyFont="1" applyFill="1" applyBorder="1" applyAlignment="1">
      <alignment vertical="center"/>
    </xf>
    <xf numFmtId="0" fontId="6" fillId="3" borderId="4" xfId="0" applyNumberFormat="1" applyFont="1" applyFill="1" applyBorder="1" applyAlignment="1">
      <alignment horizontal="center" vertical="center" wrapText="1"/>
    </xf>
    <xf numFmtId="0" fontId="6" fillId="3" borderId="5" xfId="0" applyNumberFormat="1" applyFont="1" applyFill="1" applyBorder="1" applyAlignment="1">
      <alignment horizontal="center" vertical="center"/>
    </xf>
    <xf numFmtId="0" fontId="6" fillId="3" borderId="5" xfId="0" applyNumberFormat="1" applyFont="1" applyFill="1" applyBorder="1" applyAlignment="1">
      <alignment horizontal="center" vertical="center" wrapText="1"/>
    </xf>
    <xf numFmtId="0" fontId="6" fillId="3" borderId="21" xfId="0" applyNumberFormat="1" applyFont="1" applyFill="1" applyBorder="1" applyAlignment="1">
      <alignment horizontal="center" vertical="center" wrapText="1"/>
    </xf>
    <xf numFmtId="0" fontId="6" fillId="3" borderId="15" xfId="0" applyNumberFormat="1" applyFont="1" applyFill="1" applyBorder="1" applyAlignment="1">
      <alignment horizontal="center" vertical="center" wrapText="1"/>
    </xf>
    <xf numFmtId="0" fontId="6" fillId="3" borderId="8" xfId="0" applyNumberFormat="1" applyFont="1" applyFill="1" applyBorder="1" applyAlignment="1">
      <alignment horizontal="center" vertical="center" wrapText="1"/>
    </xf>
    <xf numFmtId="0" fontId="6" fillId="3" borderId="7" xfId="0" applyNumberFormat="1" applyFont="1" applyFill="1" applyBorder="1" applyAlignment="1">
      <alignment horizontal="center" vertical="center" wrapText="1"/>
    </xf>
    <xf numFmtId="0" fontId="6" fillId="3" borderId="9" xfId="0" applyNumberFormat="1" applyFont="1" applyFill="1" applyBorder="1" applyAlignment="1">
      <alignment horizontal="center" vertical="center" wrapText="1"/>
    </xf>
    <xf numFmtId="0" fontId="7" fillId="3" borderId="15" xfId="0" applyNumberFormat="1" applyFont="1" applyFill="1" applyBorder="1" applyAlignment="1">
      <alignment horizontal="center" vertical="center" wrapText="1"/>
    </xf>
    <xf numFmtId="0" fontId="7" fillId="3" borderId="15" xfId="0" applyNumberFormat="1" applyFont="1" applyFill="1" applyBorder="1" applyAlignment="1">
      <alignment vertical="center" wrapText="1"/>
    </xf>
    <xf numFmtId="0" fontId="7" fillId="3" borderId="15" xfId="0" applyNumberFormat="1" applyFont="1" applyFill="1" applyBorder="1" applyAlignment="1">
      <alignment horizontal="center" vertical="center" wrapText="1"/>
    </xf>
    <xf numFmtId="0" fontId="6" fillId="3" borderId="18" xfId="0" applyNumberFormat="1" applyFont="1" applyFill="1" applyBorder="1" applyAlignment="1">
      <alignment horizontal="center" vertical="center"/>
    </xf>
    <xf numFmtId="0" fontId="7" fillId="4" borderId="18" xfId="0" applyNumberFormat="1" applyFont="1" applyFill="1" applyBorder="1" applyAlignment="1">
      <alignment horizontal="center" vertical="center"/>
    </xf>
    <xf numFmtId="3" fontId="8" fillId="0" borderId="0" xfId="0" applyNumberFormat="1" applyFont="1" applyFill="1" applyBorder="1" applyAlignment="1">
      <alignment vertical="center" wrapText="1"/>
    </xf>
    <xf numFmtId="0" fontId="12" fillId="0" borderId="0" xfId="0" applyNumberFormat="1" applyFont="1" applyFill="1" applyBorder="1" applyAlignment="1">
      <alignment vertical="center" wrapText="1"/>
    </xf>
    <xf numFmtId="0" fontId="7" fillId="4" borderId="15" xfId="0" applyNumberFormat="1" applyFont="1" applyFill="1" applyBorder="1" applyAlignment="1" applyProtection="1">
      <alignment horizontal="center" vertical="center" wrapText="1"/>
    </xf>
    <xf numFmtId="0" fontId="7" fillId="4" borderId="16" xfId="0" applyNumberFormat="1" applyFont="1" applyFill="1" applyBorder="1" applyAlignment="1" applyProtection="1">
      <alignment vertical="center"/>
    </xf>
    <xf numFmtId="0" fontId="7" fillId="4" borderId="17" xfId="0" applyNumberFormat="1" applyFont="1" applyFill="1" applyBorder="1" applyAlignment="1" applyProtection="1">
      <alignment horizontal="center" vertical="center" wrapText="1"/>
    </xf>
    <xf numFmtId="0" fontId="8" fillId="0" borderId="18" xfId="0" applyNumberFormat="1" applyFont="1" applyFill="1" applyBorder="1" applyAlignment="1" applyProtection="1">
      <alignment horizontal="center" vertical="center" wrapText="1"/>
    </xf>
    <xf numFmtId="0" fontId="8" fillId="0" borderId="5" xfId="0" applyNumberFormat="1" applyFont="1" applyFill="1" applyBorder="1" applyAlignment="1" applyProtection="1">
      <alignment vertical="center"/>
    </xf>
    <xf numFmtId="0" fontId="8" fillId="0" borderId="11" xfId="0" applyNumberFormat="1" applyFont="1" applyFill="1" applyBorder="1" applyAlignment="1" applyProtection="1">
      <alignment horizontal="center" vertical="center" wrapText="1"/>
    </xf>
    <xf numFmtId="0" fontId="8" fillId="0" borderId="12" xfId="0" applyNumberFormat="1" applyFont="1" applyFill="1" applyBorder="1" applyAlignment="1" applyProtection="1">
      <alignment vertical="center"/>
    </xf>
    <xf numFmtId="0" fontId="8" fillId="0" borderId="13" xfId="0" applyNumberFormat="1" applyFont="1" applyFill="1" applyBorder="1" applyAlignment="1" applyProtection="1">
      <alignment horizontal="center" vertical="center" wrapText="1"/>
    </xf>
    <xf numFmtId="0" fontId="8" fillId="0" borderId="19" xfId="0" applyNumberFormat="1" applyFont="1" applyFill="1" applyBorder="1" applyAlignment="1" applyProtection="1">
      <alignment horizontal="center" vertical="center" wrapText="1"/>
    </xf>
    <xf numFmtId="0" fontId="8" fillId="0" borderId="10" xfId="0" applyNumberFormat="1" applyFont="1" applyFill="1" applyBorder="1" applyAlignment="1" applyProtection="1">
      <alignment horizontal="center" vertical="center" wrapText="1"/>
    </xf>
    <xf numFmtId="0" fontId="8" fillId="0" borderId="0" xfId="0" applyNumberFormat="1" applyFont="1" applyFill="1" applyBorder="1" applyAlignment="1" applyProtection="1">
      <alignment vertical="center" wrapText="1"/>
    </xf>
    <xf numFmtId="0" fontId="8" fillId="0" borderId="20" xfId="0" applyNumberFormat="1" applyFont="1" applyFill="1" applyBorder="1" applyAlignment="1" applyProtection="1">
      <alignment vertical="center"/>
    </xf>
    <xf numFmtId="0" fontId="8" fillId="0" borderId="18" xfId="0" applyNumberFormat="1" applyFont="1" applyFill="1" applyBorder="1" applyAlignment="1" applyProtection="1">
      <alignment vertical="center"/>
    </xf>
    <xf numFmtId="0" fontId="7" fillId="4" borderId="18" xfId="0" applyNumberFormat="1" applyFont="1" applyFill="1" applyBorder="1" applyAlignment="1" applyProtection="1">
      <alignment horizontal="center" vertical="center" wrapText="1"/>
    </xf>
    <xf numFmtId="0" fontId="7" fillId="4" borderId="18" xfId="0" applyNumberFormat="1" applyFont="1" applyFill="1" applyBorder="1" applyAlignment="1" applyProtection="1">
      <alignment vertical="center"/>
    </xf>
    <xf numFmtId="0" fontId="8" fillId="4" borderId="18" xfId="0" applyNumberFormat="1" applyFont="1" applyFill="1" applyBorder="1" applyAlignment="1" applyProtection="1">
      <alignment horizontal="center" vertical="center" wrapText="1"/>
    </xf>
    <xf numFmtId="0" fontId="8" fillId="0" borderId="4" xfId="0" applyNumberFormat="1" applyFont="1" applyFill="1" applyBorder="1" applyAlignment="1" applyProtection="1">
      <alignment vertical="center"/>
    </xf>
    <xf numFmtId="0" fontId="7" fillId="4" borderId="5" xfId="0" applyNumberFormat="1" applyFont="1" applyFill="1" applyBorder="1" applyAlignment="1" applyProtection="1">
      <alignment vertical="center"/>
    </xf>
    <xf numFmtId="0" fontId="7" fillId="4" borderId="4" xfId="0" applyNumberFormat="1" applyFont="1" applyFill="1" applyBorder="1" applyAlignment="1" applyProtection="1">
      <alignment vertical="center"/>
    </xf>
    <xf numFmtId="0" fontId="6" fillId="3" borderId="18" xfId="0" applyNumberFormat="1" applyFont="1" applyFill="1" applyBorder="1" applyAlignment="1" applyProtection="1">
      <alignment horizontal="center" vertical="center" wrapText="1"/>
    </xf>
    <xf numFmtId="0" fontId="6" fillId="3" borderId="5" xfId="0" applyNumberFormat="1" applyFont="1" applyFill="1" applyBorder="1" applyAlignment="1" applyProtection="1">
      <alignment vertical="center"/>
    </xf>
    <xf numFmtId="0" fontId="10" fillId="3" borderId="19" xfId="0" applyNumberFormat="1" applyFont="1" applyFill="1" applyBorder="1" applyAlignment="1" applyProtection="1">
      <alignment horizontal="center" vertical="center" wrapText="1"/>
    </xf>
    <xf numFmtId="0" fontId="10" fillId="3" borderId="18" xfId="0" applyNumberFormat="1" applyFont="1" applyFill="1" applyBorder="1" applyAlignment="1" applyProtection="1">
      <alignment horizontal="center" vertical="center"/>
    </xf>
    <xf numFmtId="0" fontId="7" fillId="0" borderId="18" xfId="0" applyNumberFormat="1" applyFont="1" applyFill="1" applyBorder="1" applyAlignment="1" applyProtection="1">
      <alignment horizontal="center" vertical="center" wrapText="1"/>
    </xf>
    <xf numFmtId="0" fontId="7" fillId="0" borderId="4" xfId="0" applyNumberFormat="1" applyFont="1" applyFill="1" applyBorder="1" applyAlignment="1" applyProtection="1">
      <alignment vertical="center"/>
    </xf>
    <xf numFmtId="0" fontId="6" fillId="3" borderId="5" xfId="0" applyNumberFormat="1" applyFont="1" applyFill="1" applyBorder="1" applyAlignment="1" applyProtection="1">
      <alignment horizontal="center" vertical="center"/>
    </xf>
    <xf numFmtId="0" fontId="8" fillId="0" borderId="0" xfId="0" applyNumberFormat="1" applyFont="1" applyFill="1" applyBorder="1" applyAlignment="1" applyProtection="1">
      <alignment vertical="center"/>
    </xf>
    <xf numFmtId="3" fontId="8" fillId="0" borderId="0" xfId="0" applyNumberFormat="1" applyFont="1" applyFill="1" applyBorder="1" applyAlignment="1" applyProtection="1">
      <alignment vertical="center" wrapText="1"/>
    </xf>
    <xf numFmtId="0" fontId="7" fillId="3" borderId="15" xfId="0" applyNumberFormat="1" applyFont="1" applyFill="1" applyBorder="1" applyAlignment="1" applyProtection="1">
      <alignment horizontal="center" vertical="center" wrapText="1"/>
    </xf>
    <xf numFmtId="0" fontId="7" fillId="3" borderId="15" xfId="0" applyNumberFormat="1" applyFont="1" applyFill="1" applyBorder="1" applyAlignment="1" applyProtection="1">
      <alignment vertical="center" wrapText="1"/>
    </xf>
    <xf numFmtId="3" fontId="7" fillId="3" borderId="15" xfId="0" applyNumberFormat="1" applyFont="1" applyFill="1" applyBorder="1" applyAlignment="1" applyProtection="1">
      <alignment horizontal="center" vertical="center" wrapText="1"/>
    </xf>
    <xf numFmtId="0" fontId="8" fillId="0" borderId="11" xfId="0" applyNumberFormat="1" applyFont="1" applyFill="1" applyBorder="1" applyAlignment="1" applyProtection="1">
      <alignment horizontal="center" vertical="center"/>
    </xf>
    <xf numFmtId="0" fontId="8" fillId="0" borderId="11" xfId="0" applyNumberFormat="1" applyFont="1" applyFill="1" applyBorder="1" applyAlignment="1" applyProtection="1">
      <alignment vertical="center"/>
    </xf>
    <xf numFmtId="0" fontId="8" fillId="0" borderId="18" xfId="0" applyNumberFormat="1" applyFont="1" applyFill="1" applyBorder="1" applyAlignment="1" applyProtection="1">
      <alignment horizontal="center" vertical="center"/>
    </xf>
    <xf numFmtId="0" fontId="8" fillId="0" borderId="18" xfId="0" quotePrefix="1" applyNumberFormat="1" applyFont="1" applyFill="1" applyBorder="1" applyAlignment="1" applyProtection="1">
      <alignment vertical="center"/>
    </xf>
    <xf numFmtId="0" fontId="8" fillId="0" borderId="18" xfId="0" quotePrefix="1" applyNumberFormat="1" applyFont="1" applyFill="1" applyBorder="1" applyAlignment="1" applyProtection="1">
      <alignment horizontal="center" vertical="center"/>
    </xf>
    <xf numFmtId="0" fontId="6" fillId="3" borderId="18" xfId="0" applyNumberFormat="1" applyFont="1" applyFill="1" applyBorder="1" applyAlignment="1" applyProtection="1">
      <alignment horizontal="center" vertical="center"/>
    </xf>
    <xf numFmtId="0" fontId="6" fillId="3" borderId="18" xfId="0" applyNumberFormat="1" applyFont="1" applyFill="1" applyBorder="1" applyAlignment="1" applyProtection="1">
      <alignment vertical="center"/>
    </xf>
    <xf numFmtId="0" fontId="8" fillId="0" borderId="0" xfId="0" applyNumberFormat="1" applyFont="1" applyFill="1" applyBorder="1" applyAlignment="1" applyProtection="1">
      <alignment vertical="center"/>
    </xf>
    <xf numFmtId="0" fontId="7" fillId="4" borderId="18" xfId="0" applyNumberFormat="1" applyFont="1" applyFill="1" applyBorder="1" applyAlignment="1" applyProtection="1">
      <alignment horizontal="center" vertical="center"/>
    </xf>
    <xf numFmtId="0" fontId="8" fillId="0" borderId="0" xfId="0" applyNumberFormat="1" applyFont="1" applyFill="1" applyBorder="1" applyAlignment="1" applyProtection="1">
      <alignment horizontal="center" vertical="center"/>
    </xf>
    <xf numFmtId="0" fontId="7" fillId="0" borderId="0" xfId="0" applyNumberFormat="1" applyFont="1" applyFill="1" applyBorder="1" applyAlignment="1" applyProtection="1">
      <alignment vertical="center"/>
    </xf>
    <xf numFmtId="0" fontId="7" fillId="0" borderId="0" xfId="0" applyNumberFormat="1" applyFont="1" applyFill="1" applyBorder="1" applyAlignment="1" applyProtection="1">
      <alignment vertical="center"/>
    </xf>
    <xf numFmtId="3" fontId="8" fillId="0" borderId="0" xfId="0" applyNumberFormat="1" applyFont="1" applyFill="1" applyBorder="1" applyAlignment="1" applyProtection="1">
      <alignment vertical="center"/>
    </xf>
    <xf numFmtId="1" fontId="14" fillId="0" borderId="24" xfId="5" applyNumberFormat="1" applyFont="1" applyFill="1" applyBorder="1" applyAlignment="1" applyProtection="1">
      <alignment vertical="center"/>
    </xf>
    <xf numFmtId="0" fontId="14" fillId="0" borderId="0" xfId="5" applyNumberFormat="1" applyFont="1" applyFill="1" applyBorder="1" applyAlignment="1" applyProtection="1"/>
    <xf numFmtId="1" fontId="14" fillId="0" borderId="25" xfId="5" applyNumberFormat="1" applyFont="1" applyFill="1" applyBorder="1" applyAlignment="1" applyProtection="1">
      <alignment vertical="center"/>
    </xf>
    <xf numFmtId="0" fontId="16" fillId="0" borderId="25" xfId="5" applyNumberFormat="1" applyFont="1" applyFill="1" applyBorder="1" applyAlignment="1" applyProtection="1">
      <alignment vertical="center"/>
    </xf>
    <xf numFmtId="1" fontId="16" fillId="0" borderId="25" xfId="5" applyNumberFormat="1" applyFont="1" applyFill="1" applyBorder="1" applyAlignment="1" applyProtection="1">
      <alignment vertical="center"/>
    </xf>
    <xf numFmtId="1" fontId="14" fillId="0" borderId="27" xfId="5" applyNumberFormat="1" applyFont="1" applyFill="1" applyBorder="1" applyAlignment="1" applyProtection="1">
      <alignment vertical="center"/>
    </xf>
    <xf numFmtId="1" fontId="14" fillId="0" borderId="28" xfId="5" applyNumberFormat="1" applyFont="1" applyFill="1" applyBorder="1" applyAlignment="1" applyProtection="1">
      <alignment vertical="center"/>
    </xf>
    <xf numFmtId="1" fontId="16" fillId="0" borderId="51" xfId="5" applyNumberFormat="1" applyFont="1" applyFill="1" applyBorder="1" applyAlignment="1" applyProtection="1">
      <alignment vertical="center"/>
    </xf>
    <xf numFmtId="20" fontId="14" fillId="0" borderId="25" xfId="5" applyNumberFormat="1" applyFont="1" applyFill="1" applyBorder="1" applyAlignment="1" applyProtection="1">
      <alignment vertical="center"/>
    </xf>
    <xf numFmtId="0" fontId="14" fillId="0" borderId="25" xfId="5" applyNumberFormat="1" applyFont="1" applyFill="1" applyBorder="1" applyAlignment="1" applyProtection="1">
      <alignment vertical="center"/>
    </xf>
    <xf numFmtId="1" fontId="14" fillId="0" borderId="29" xfId="5" applyNumberFormat="1" applyFont="1" applyFill="1" applyBorder="1" applyAlignment="1" applyProtection="1">
      <alignment vertical="center"/>
    </xf>
    <xf numFmtId="1" fontId="14" fillId="0" borderId="30" xfId="5" applyNumberFormat="1" applyFont="1" applyFill="1" applyBorder="1" applyAlignment="1" applyProtection="1">
      <alignment vertical="center"/>
    </xf>
    <xf numFmtId="1" fontId="14" fillId="0" borderId="31" xfId="5" applyNumberFormat="1" applyFont="1" applyFill="1" applyBorder="1" applyAlignment="1" applyProtection="1">
      <alignment vertical="center"/>
    </xf>
    <xf numFmtId="1" fontId="14" fillId="0" borderId="32" xfId="5" applyNumberFormat="1" applyFont="1" applyFill="1" applyBorder="1" applyAlignment="1" applyProtection="1">
      <alignment vertical="center"/>
    </xf>
    <xf numFmtId="1" fontId="14" fillId="0" borderId="33" xfId="5" applyNumberFormat="1" applyFont="1" applyFill="1" applyBorder="1" applyAlignment="1" applyProtection="1">
      <alignment vertical="center"/>
    </xf>
    <xf numFmtId="1" fontId="14" fillId="0" borderId="34" xfId="5" applyNumberFormat="1" applyFont="1" applyFill="1" applyBorder="1" applyAlignment="1" applyProtection="1">
      <alignment vertical="center"/>
    </xf>
    <xf numFmtId="1" fontId="14" fillId="0" borderId="35" xfId="5" applyNumberFormat="1" applyFont="1" applyFill="1" applyBorder="1" applyAlignment="1" applyProtection="1">
      <alignment vertical="center"/>
    </xf>
    <xf numFmtId="0" fontId="15" fillId="0" borderId="36" xfId="5" applyNumberFormat="1" applyFont="1" applyFill="1" applyBorder="1" applyAlignment="1" applyProtection="1">
      <alignment vertical="center"/>
    </xf>
    <xf numFmtId="1" fontId="14" fillId="0" borderId="18" xfId="5" applyNumberFormat="1" applyFont="1" applyFill="1" applyBorder="1" applyAlignment="1" applyProtection="1">
      <alignment vertical="center"/>
    </xf>
    <xf numFmtId="1" fontId="15" fillId="0" borderId="36" xfId="5" applyNumberFormat="1" applyFont="1" applyFill="1" applyBorder="1" applyAlignment="1" applyProtection="1">
      <alignment vertical="center"/>
    </xf>
    <xf numFmtId="1" fontId="14" fillId="0" borderId="36" xfId="5" applyNumberFormat="1" applyFont="1" applyFill="1" applyBorder="1" applyAlignment="1" applyProtection="1">
      <alignment vertical="center"/>
    </xf>
    <xf numFmtId="1" fontId="14" fillId="0" borderId="37" xfId="5" applyNumberFormat="1" applyFont="1" applyFill="1" applyBorder="1" applyAlignment="1" applyProtection="1">
      <alignment vertical="center"/>
    </xf>
    <xf numFmtId="1" fontId="14" fillId="0" borderId="38" xfId="5" applyNumberFormat="1" applyFont="1" applyFill="1" applyBorder="1" applyAlignment="1" applyProtection="1">
      <alignment vertical="center"/>
    </xf>
    <xf numFmtId="0" fontId="14" fillId="0" borderId="31" xfId="5" applyNumberFormat="1" applyFont="1" applyFill="1" applyBorder="1" applyAlignment="1" applyProtection="1">
      <alignment vertical="center"/>
    </xf>
    <xf numFmtId="0" fontId="14" fillId="0" borderId="37" xfId="5" applyNumberFormat="1" applyFont="1" applyFill="1" applyBorder="1" applyAlignment="1" applyProtection="1">
      <alignment vertical="center"/>
    </xf>
    <xf numFmtId="0" fontId="14" fillId="0" borderId="0" xfId="5" applyNumberFormat="1" applyFont="1" applyFill="1" applyBorder="1" applyAlignment="1" applyProtection="1">
      <alignment vertical="top" wrapText="1"/>
    </xf>
    <xf numFmtId="0" fontId="26" fillId="0" borderId="25" xfId="5" applyNumberFormat="1" applyFont="1" applyFill="1" applyBorder="1" applyAlignment="1" applyProtection="1">
      <alignment vertical="center"/>
    </xf>
    <xf numFmtId="0" fontId="26" fillId="0" borderId="0" xfId="5" applyNumberFormat="1" applyFont="1" applyFill="1" applyBorder="1" applyAlignment="1" applyProtection="1"/>
    <xf numFmtId="1" fontId="27" fillId="0" borderId="25" xfId="5" applyNumberFormat="1" applyFont="1" applyFill="1" applyBorder="1" applyAlignment="1" applyProtection="1">
      <alignment horizontal="right" vertical="center"/>
    </xf>
    <xf numFmtId="1" fontId="29" fillId="0" borderId="27" xfId="5" applyNumberFormat="1" applyFont="1" applyFill="1" applyBorder="1" applyAlignment="1" applyProtection="1">
      <alignment horizontal="center" vertical="center"/>
    </xf>
    <xf numFmtId="3" fontId="27" fillId="0" borderId="27" xfId="5" applyNumberFormat="1" applyFont="1" applyFill="1" applyBorder="1" applyAlignment="1" applyProtection="1">
      <alignment horizontal="center" vertical="center"/>
    </xf>
    <xf numFmtId="0" fontId="26" fillId="0" borderId="27" xfId="5" applyNumberFormat="1" applyFont="1" applyFill="1" applyBorder="1" applyAlignment="1" applyProtection="1">
      <alignment vertical="center"/>
    </xf>
    <xf numFmtId="0" fontId="26" fillId="0" borderId="29" xfId="5" applyNumberFormat="1" applyFont="1" applyFill="1" applyBorder="1" applyAlignment="1" applyProtection="1">
      <alignment vertical="center"/>
    </xf>
    <xf numFmtId="1" fontId="26" fillId="0" borderId="29" xfId="5" applyNumberFormat="1" applyFont="1" applyFill="1" applyBorder="1" applyAlignment="1" applyProtection="1">
      <alignment horizontal="center" vertical="center"/>
    </xf>
    <xf numFmtId="1" fontId="27" fillId="0" borderId="45" xfId="5" applyNumberFormat="1" applyFont="1" applyFill="1" applyBorder="1" applyAlignment="1" applyProtection="1">
      <alignment horizontal="right" vertical="center" wrapText="1"/>
    </xf>
    <xf numFmtId="1" fontId="30" fillId="0" borderId="31" xfId="5" applyNumberFormat="1" applyFont="1" applyFill="1" applyBorder="1" applyAlignment="1" applyProtection="1">
      <alignment vertical="center"/>
    </xf>
    <xf numFmtId="1" fontId="27" fillId="0" borderId="32" xfId="5" applyNumberFormat="1" applyFont="1" applyFill="1" applyBorder="1" applyAlignment="1" applyProtection="1">
      <alignment horizontal="right" vertical="center"/>
    </xf>
    <xf numFmtId="1" fontId="26" fillId="0" borderId="34" xfId="5" applyNumberFormat="1" applyFont="1" applyFill="1" applyBorder="1" applyAlignment="1" applyProtection="1">
      <alignment vertical="center"/>
    </xf>
    <xf numFmtId="1" fontId="26" fillId="0" borderId="40" xfId="5" applyNumberFormat="1" applyFont="1" applyFill="1" applyBorder="1" applyAlignment="1" applyProtection="1">
      <alignment vertical="center"/>
    </xf>
    <xf numFmtId="0" fontId="26" fillId="0" borderId="36" xfId="5" applyNumberFormat="1" applyFont="1" applyFill="1" applyBorder="1" applyAlignment="1" applyProtection="1">
      <alignment vertical="center"/>
    </xf>
    <xf numFmtId="1" fontId="30" fillId="0" borderId="36" xfId="5" applyNumberFormat="1" applyFont="1" applyFill="1" applyBorder="1" applyAlignment="1" applyProtection="1">
      <alignment vertical="center"/>
    </xf>
    <xf numFmtId="1" fontId="26" fillId="0" borderId="25" xfId="5" applyNumberFormat="1" applyFont="1" applyFill="1" applyBorder="1" applyAlignment="1" applyProtection="1">
      <alignment horizontal="center" vertical="center"/>
    </xf>
    <xf numFmtId="1" fontId="26" fillId="0" borderId="32" xfId="5" applyNumberFormat="1" applyFont="1" applyFill="1" applyBorder="1" applyAlignment="1" applyProtection="1">
      <alignment horizontal="left" vertical="center"/>
    </xf>
    <xf numFmtId="1" fontId="27" fillId="0" borderId="32" xfId="5" applyNumberFormat="1" applyFont="1" applyFill="1" applyBorder="1" applyAlignment="1" applyProtection="1">
      <alignment horizontal="right" vertical="center" wrapText="1"/>
    </xf>
    <xf numFmtId="1" fontId="26" fillId="0" borderId="32" xfId="5" applyNumberFormat="1" applyFont="1" applyFill="1" applyBorder="1" applyAlignment="1" applyProtection="1">
      <alignment vertical="center"/>
    </xf>
    <xf numFmtId="1" fontId="26" fillId="0" borderId="33" xfId="5" applyNumberFormat="1" applyFont="1" applyFill="1" applyBorder="1" applyAlignment="1" applyProtection="1">
      <alignment vertical="center"/>
    </xf>
    <xf numFmtId="0" fontId="26" fillId="0" borderId="36" xfId="5" applyNumberFormat="1" applyFont="1" applyFill="1" applyBorder="1" applyAlignment="1" applyProtection="1">
      <alignment vertical="center"/>
    </xf>
    <xf numFmtId="0" fontId="26" fillId="0" borderId="25" xfId="5" applyNumberFormat="1" applyFont="1" applyFill="1" applyBorder="1" applyAlignment="1" applyProtection="1">
      <alignment vertical="center"/>
    </xf>
    <xf numFmtId="1" fontId="26" fillId="0" borderId="25" xfId="5" applyNumberFormat="1" applyFont="1" applyFill="1" applyBorder="1" applyAlignment="1" applyProtection="1">
      <alignment vertical="center"/>
    </xf>
    <xf numFmtId="1" fontId="26" fillId="0" borderId="30" xfId="5" applyNumberFormat="1" applyFont="1" applyFill="1" applyBorder="1" applyAlignment="1" applyProtection="1">
      <alignment vertical="center"/>
    </xf>
    <xf numFmtId="1" fontId="26" fillId="0" borderId="35" xfId="5" applyNumberFormat="1" applyFont="1" applyFill="1" applyBorder="1" applyAlignment="1" applyProtection="1">
      <alignment vertical="center"/>
    </xf>
    <xf numFmtId="1" fontId="26" fillId="0" borderId="36" xfId="5" applyNumberFormat="1" applyFont="1" applyFill="1" applyBorder="1" applyAlignment="1" applyProtection="1">
      <alignment vertical="center"/>
    </xf>
    <xf numFmtId="1" fontId="30" fillId="0" borderId="25" xfId="5" applyNumberFormat="1" applyFont="1" applyFill="1" applyBorder="1" applyAlignment="1" applyProtection="1">
      <alignment vertical="center"/>
    </xf>
    <xf numFmtId="1" fontId="26" fillId="0" borderId="25" xfId="5" applyNumberFormat="1" applyFont="1" applyFill="1" applyBorder="1" applyAlignment="1" applyProtection="1">
      <alignment horizontal="left" vertical="center"/>
    </xf>
    <xf numFmtId="1" fontId="30" fillId="0" borderId="37" xfId="5" applyNumberFormat="1" applyFont="1" applyFill="1" applyBorder="1" applyAlignment="1" applyProtection="1">
      <alignment vertical="center"/>
    </xf>
    <xf numFmtId="1" fontId="26" fillId="0" borderId="29" xfId="5" applyNumberFormat="1" applyFont="1" applyFill="1" applyBorder="1" applyAlignment="1" applyProtection="1">
      <alignment vertical="center"/>
    </xf>
    <xf numFmtId="1" fontId="26" fillId="0" borderId="38" xfId="5" applyNumberFormat="1" applyFont="1" applyFill="1" applyBorder="1" applyAlignment="1" applyProtection="1">
      <alignment vertical="center"/>
    </xf>
    <xf numFmtId="1" fontId="26" fillId="0" borderId="37" xfId="5" applyNumberFormat="1" applyFont="1" applyFill="1" applyBorder="1" applyAlignment="1" applyProtection="1">
      <alignment vertical="center"/>
    </xf>
    <xf numFmtId="0" fontId="26" fillId="0" borderId="32" xfId="5" applyNumberFormat="1" applyFont="1" applyFill="1" applyBorder="1" applyAlignment="1" applyProtection="1">
      <alignment vertical="center"/>
    </xf>
    <xf numFmtId="1" fontId="30" fillId="0" borderId="30" xfId="5" applyNumberFormat="1" applyFont="1" applyFill="1" applyBorder="1" applyAlignment="1" applyProtection="1">
      <alignment vertical="center"/>
    </xf>
    <xf numFmtId="0" fontId="31" fillId="0" borderId="18" xfId="5" applyNumberFormat="1" applyFont="1" applyFill="1" applyBorder="1" applyAlignment="1" applyProtection="1">
      <alignment horizontal="center" vertical="center"/>
    </xf>
    <xf numFmtId="0" fontId="32" fillId="0" borderId="18" xfId="5" applyNumberFormat="1" applyFont="1" applyFill="1" applyBorder="1" applyAlignment="1" applyProtection="1">
      <alignment horizontal="center" vertical="center" wrapText="1"/>
    </xf>
    <xf numFmtId="0" fontId="26" fillId="0" borderId="30" xfId="5" applyNumberFormat="1" applyFont="1" applyFill="1" applyBorder="1" applyAlignment="1" applyProtection="1">
      <alignment vertical="center"/>
    </xf>
    <xf numFmtId="1" fontId="26" fillId="0" borderId="47" xfId="5" applyNumberFormat="1" applyFont="1" applyFill="1" applyBorder="1" applyAlignment="1" applyProtection="1">
      <alignment vertical="center"/>
    </xf>
    <xf numFmtId="1" fontId="26" fillId="0" borderId="31" xfId="5" applyNumberFormat="1" applyFont="1" applyFill="1" applyBorder="1" applyAlignment="1" applyProtection="1">
      <alignment vertical="center"/>
    </xf>
    <xf numFmtId="2" fontId="26" fillId="0" borderId="35" xfId="5" applyNumberFormat="1" applyFont="1" applyFill="1" applyBorder="1" applyAlignment="1" applyProtection="1">
      <alignment vertical="center"/>
    </xf>
    <xf numFmtId="0" fontId="26" fillId="0" borderId="35" xfId="5" applyNumberFormat="1" applyFont="1" applyFill="1" applyBorder="1" applyAlignment="1" applyProtection="1">
      <alignment vertical="center"/>
    </xf>
    <xf numFmtId="1" fontId="26" fillId="0" borderId="63" xfId="5" applyNumberFormat="1" applyFont="1" applyFill="1" applyBorder="1" applyAlignment="1" applyProtection="1">
      <alignment vertical="center"/>
    </xf>
    <xf numFmtId="9" fontId="26" fillId="0" borderId="35" xfId="5" applyNumberFormat="1" applyFont="1" applyFill="1" applyBorder="1" applyAlignment="1" applyProtection="1">
      <alignment vertical="center"/>
    </xf>
    <xf numFmtId="1" fontId="26" fillId="0" borderId="46" xfId="5" applyNumberFormat="1" applyFont="1" applyFill="1" applyBorder="1" applyAlignment="1" applyProtection="1">
      <alignment vertical="center"/>
    </xf>
    <xf numFmtId="0" fontId="26" fillId="0" borderId="47" xfId="5" applyNumberFormat="1" applyFont="1" applyFill="1" applyBorder="1" applyAlignment="1" applyProtection="1">
      <alignment vertical="center"/>
    </xf>
    <xf numFmtId="0" fontId="31" fillId="0" borderId="32" xfId="5" applyNumberFormat="1" applyFont="1" applyFill="1" applyBorder="1" applyAlignment="1" applyProtection="1">
      <alignment horizontal="right" vertical="center"/>
    </xf>
    <xf numFmtId="0" fontId="26" fillId="0" borderId="25" xfId="5" applyNumberFormat="1" applyFont="1" applyFill="1" applyBorder="1" applyAlignment="1" applyProtection="1">
      <alignment horizontal="right" vertical="center"/>
    </xf>
    <xf numFmtId="0" fontId="26" fillId="0" borderId="0" xfId="5" applyNumberFormat="1" applyFont="1" applyFill="1" applyBorder="1" applyAlignment="1" applyProtection="1">
      <alignment vertical="top" wrapText="1"/>
    </xf>
    <xf numFmtId="0" fontId="26" fillId="0" borderId="27" xfId="5" applyNumberFormat="1" applyFont="1" applyFill="1" applyBorder="1" applyAlignment="1" applyProtection="1">
      <alignment vertical="center"/>
    </xf>
    <xf numFmtId="1" fontId="33" fillId="0" borderId="49" xfId="5" applyNumberFormat="1" applyFont="1" applyFill="1" applyBorder="1" applyAlignment="1" applyProtection="1">
      <alignment horizontal="center" vertical="center"/>
    </xf>
    <xf numFmtId="0" fontId="26" fillId="0" borderId="27" xfId="5" applyNumberFormat="1" applyFont="1" applyFill="1" applyBorder="1" applyAlignment="1" applyProtection="1">
      <alignment horizontal="center" vertical="center" wrapText="1"/>
    </xf>
    <xf numFmtId="0" fontId="26" fillId="0" borderId="27" xfId="5" applyNumberFormat="1" applyFont="1" applyFill="1" applyBorder="1" applyAlignment="1" applyProtection="1">
      <alignment horizontal="center" vertical="center"/>
    </xf>
    <xf numFmtId="0" fontId="26" fillId="0" borderId="18" xfId="5" applyNumberFormat="1" applyFont="1" applyFill="1" applyBorder="1" applyAlignment="1" applyProtection="1">
      <alignment horizontal="center" vertical="center"/>
    </xf>
    <xf numFmtId="0" fontId="30" fillId="0" borderId="18" xfId="5" applyNumberFormat="1" applyFont="1" applyFill="1" applyBorder="1" applyAlignment="1" applyProtection="1">
      <alignment horizontal="center" vertical="center" wrapText="1"/>
    </xf>
    <xf numFmtId="0" fontId="26" fillId="0" borderId="32" xfId="5" applyNumberFormat="1" applyFont="1" applyFill="1" applyBorder="1" applyAlignment="1" applyProtection="1">
      <alignment vertical="center"/>
    </xf>
    <xf numFmtId="0" fontId="26" fillId="0" borderId="30" xfId="5" applyNumberFormat="1" applyFont="1" applyFill="1" applyBorder="1" applyAlignment="1" applyProtection="1">
      <alignment vertical="center"/>
    </xf>
    <xf numFmtId="0" fontId="35" fillId="3" borderId="70" xfId="8" applyNumberFormat="1" applyFont="1" applyFill="1" applyBorder="1" applyAlignment="1" applyProtection="1">
      <alignment vertical="center"/>
    </xf>
    <xf numFmtId="0" fontId="35" fillId="4" borderId="70" xfId="9" applyNumberFormat="1" applyFont="1" applyFill="1" applyBorder="1" applyAlignment="1" applyProtection="1">
      <alignment horizontal="center" vertical="center" wrapText="1"/>
    </xf>
    <xf numFmtId="0" fontId="36" fillId="0" borderId="0" xfId="10" applyNumberFormat="1" applyFont="1" applyFill="1" applyBorder="1" applyAlignment="1" applyProtection="1">
      <alignment vertical="center"/>
    </xf>
    <xf numFmtId="0" fontId="35" fillId="3" borderId="0" xfId="8" applyNumberFormat="1" applyFont="1" applyFill="1" applyBorder="1" applyAlignment="1" applyProtection="1">
      <alignment vertical="center"/>
    </xf>
    <xf numFmtId="0" fontId="37" fillId="4" borderId="0" xfId="9" applyNumberFormat="1" applyFont="1" applyFill="1" applyBorder="1" applyAlignment="1" applyProtection="1">
      <alignment vertical="center" wrapText="1"/>
    </xf>
    <xf numFmtId="0" fontId="36" fillId="0" borderId="0" xfId="10" applyNumberFormat="1" applyFont="1" applyFill="1" applyBorder="1" applyAlignment="1" applyProtection="1">
      <alignment vertical="center" wrapText="1"/>
    </xf>
    <xf numFmtId="0" fontId="39" fillId="0" borderId="0" xfId="10" applyNumberFormat="1" applyFont="1" applyFill="1" applyBorder="1" applyProtection="1"/>
    <xf numFmtId="0" fontId="40" fillId="4" borderId="74" xfId="10" applyNumberFormat="1" applyFont="1" applyFill="1" applyBorder="1" applyAlignment="1" applyProtection="1">
      <alignment vertical="center"/>
    </xf>
    <xf numFmtId="0" fontId="39" fillId="0" borderId="74" xfId="10" applyNumberFormat="1" applyFont="1" applyFill="1" applyBorder="1" applyAlignment="1" applyProtection="1">
      <alignment vertical="center" wrapText="1"/>
    </xf>
    <xf numFmtId="0" fontId="39" fillId="0" borderId="74" xfId="10" applyNumberFormat="1" applyFont="1" applyFill="1" applyBorder="1" applyAlignment="1" applyProtection="1">
      <alignment vertical="center"/>
    </xf>
    <xf numFmtId="0" fontId="39" fillId="7" borderId="74" xfId="10" applyNumberFormat="1" applyFont="1" applyFill="1" applyBorder="1" applyAlignment="1" applyProtection="1">
      <alignment vertical="center"/>
    </xf>
    <xf numFmtId="0" fontId="40" fillId="7" borderId="74" xfId="10" applyNumberFormat="1" applyFont="1" applyFill="1" applyBorder="1" applyAlignment="1" applyProtection="1">
      <alignment vertical="center"/>
    </xf>
    <xf numFmtId="0" fontId="41" fillId="3" borderId="74" xfId="10" applyNumberFormat="1" applyFont="1" applyFill="1" applyBorder="1" applyAlignment="1" applyProtection="1">
      <alignment vertical="center"/>
    </xf>
    <xf numFmtId="0" fontId="41" fillId="3" borderId="77" xfId="10" applyNumberFormat="1" applyFont="1" applyFill="1" applyBorder="1" applyAlignment="1" applyProtection="1">
      <alignment vertical="center"/>
    </xf>
    <xf numFmtId="0" fontId="41" fillId="3" borderId="78" xfId="10" applyNumberFormat="1" applyFont="1" applyFill="1" applyBorder="1" applyAlignment="1" applyProtection="1">
      <alignment vertical="center"/>
    </xf>
    <xf numFmtId="0" fontId="41" fillId="3" borderId="74" xfId="10" applyNumberFormat="1" applyFont="1" applyFill="1" applyBorder="1" applyAlignment="1" applyProtection="1">
      <alignment horizontal="center" vertical="center" wrapText="1"/>
    </xf>
    <xf numFmtId="0" fontId="40" fillId="0" borderId="0" xfId="10" applyNumberFormat="1" applyFont="1" applyFill="1" applyBorder="1" applyProtection="1"/>
    <xf numFmtId="0" fontId="42" fillId="0" borderId="0" xfId="10" applyNumberFormat="1" applyFont="1" applyFill="1" applyBorder="1" applyAlignment="1" applyProtection="1">
      <alignment horizontal="left" vertical="center"/>
    </xf>
    <xf numFmtId="0" fontId="39" fillId="0" borderId="0" xfId="10" applyNumberFormat="1" applyFont="1" applyFill="1" applyBorder="1" applyAlignment="1" applyProtection="1">
      <alignment horizontal="right"/>
    </xf>
    <xf numFmtId="0" fontId="40" fillId="3" borderId="74" xfId="10" applyNumberFormat="1" applyFont="1" applyFill="1" applyBorder="1" applyAlignment="1" applyProtection="1">
      <alignment vertical="center"/>
    </xf>
    <xf numFmtId="0" fontId="39" fillId="0" borderId="0" xfId="10" applyNumberFormat="1" applyFont="1" applyFill="1" applyBorder="1" applyAlignment="1" applyProtection="1">
      <alignment horizontal="right" vertical="center"/>
    </xf>
    <xf numFmtId="0" fontId="39" fillId="0" borderId="0" xfId="10" applyNumberFormat="1" applyFont="1" applyFill="1" applyBorder="1" applyAlignment="1" applyProtection="1"/>
    <xf numFmtId="0" fontId="39" fillId="0" borderId="0" xfId="10" applyNumberFormat="1" applyFont="1" applyFill="1" applyBorder="1" applyProtection="1"/>
    <xf numFmtId="0" fontId="40" fillId="0" borderId="0" xfId="10" applyNumberFormat="1" applyFont="1" applyFill="1" applyBorder="1" applyAlignment="1" applyProtection="1"/>
    <xf numFmtId="0" fontId="40" fillId="0" borderId="0" xfId="10" applyNumberFormat="1" applyFont="1" applyFill="1" applyBorder="1" applyAlignment="1" applyProtection="1">
      <alignment vertical="center"/>
    </xf>
    <xf numFmtId="0" fontId="39" fillId="0" borderId="0" xfId="10" applyNumberFormat="1" applyFont="1" applyFill="1" applyBorder="1" applyAlignment="1" applyProtection="1"/>
    <xf numFmtId="0" fontId="41" fillId="3" borderId="73" xfId="10" applyNumberFormat="1" applyFont="1" applyFill="1" applyBorder="1" applyAlignment="1" applyProtection="1">
      <alignment vertical="top"/>
    </xf>
    <xf numFmtId="0" fontId="41" fillId="3" borderId="75" xfId="10" applyNumberFormat="1" applyFont="1" applyFill="1" applyBorder="1" applyAlignment="1" applyProtection="1">
      <alignment vertical="top"/>
    </xf>
    <xf numFmtId="0" fontId="41" fillId="3" borderId="82" xfId="10" applyNumberFormat="1" applyFont="1" applyFill="1" applyBorder="1" applyAlignment="1" applyProtection="1">
      <alignment vertical="top"/>
    </xf>
    <xf numFmtId="0" fontId="40" fillId="0" borderId="54" xfId="10" applyNumberFormat="1" applyFont="1" applyFill="1" applyBorder="1" applyProtection="1"/>
    <xf numFmtId="0" fontId="40" fillId="0" borderId="55" xfId="10" applyNumberFormat="1" applyFont="1" applyFill="1" applyBorder="1" applyProtection="1"/>
    <xf numFmtId="0" fontId="40" fillId="0" borderId="57" xfId="10" applyNumberFormat="1" applyFont="1" applyFill="1" applyBorder="1" applyProtection="1"/>
    <xf numFmtId="0" fontId="41" fillId="3" borderId="76" xfId="10" applyNumberFormat="1" applyFont="1" applyFill="1" applyBorder="1" applyAlignment="1" applyProtection="1">
      <alignment vertical="center" wrapText="1"/>
    </xf>
    <xf numFmtId="0" fontId="41" fillId="3" borderId="77" xfId="10" applyNumberFormat="1" applyFont="1" applyFill="1" applyBorder="1" applyAlignment="1" applyProtection="1">
      <alignment vertical="center" wrapText="1"/>
    </xf>
    <xf numFmtId="0" fontId="39" fillId="0" borderId="0" xfId="10" applyNumberFormat="1" applyFont="1" applyFill="1" applyBorder="1" applyAlignment="1" applyProtection="1">
      <alignment vertical="center" wrapText="1"/>
    </xf>
    <xf numFmtId="0" fontId="39" fillId="0" borderId="0" xfId="10" applyNumberFormat="1" applyFont="1" applyFill="1" applyBorder="1" applyAlignment="1" applyProtection="1">
      <alignment horizontal="left" vertical="center" wrapText="1"/>
    </xf>
    <xf numFmtId="0" fontId="41" fillId="3" borderId="73" xfId="10" applyNumberFormat="1" applyFont="1" applyFill="1" applyBorder="1" applyAlignment="1" applyProtection="1">
      <alignment horizontal="right" vertical="top"/>
    </xf>
    <xf numFmtId="0" fontId="41" fillId="3" borderId="82" xfId="10" applyNumberFormat="1" applyFont="1" applyFill="1" applyBorder="1" applyAlignment="1" applyProtection="1">
      <alignment horizontal="right" vertical="top"/>
    </xf>
    <xf numFmtId="0" fontId="45" fillId="0" borderId="0" xfId="10" applyNumberFormat="1" applyFont="1" applyFill="1" applyBorder="1" applyAlignment="1" applyProtection="1">
      <alignment horizontal="left" vertical="center"/>
    </xf>
    <xf numFmtId="0" fontId="39" fillId="7" borderId="78" xfId="10" applyNumberFormat="1" applyFont="1" applyFill="1" applyBorder="1" applyAlignment="1" applyProtection="1">
      <alignment horizontal="center" vertical="center"/>
    </xf>
    <xf numFmtId="0" fontId="39" fillId="0" borderId="0" xfId="10" applyNumberFormat="1" applyFont="1" applyFill="1" applyBorder="1" applyAlignment="1" applyProtection="1">
      <alignment horizontal="left"/>
    </xf>
    <xf numFmtId="0" fontId="40" fillId="0" borderId="78" xfId="10" applyNumberFormat="1" applyFont="1" applyFill="1" applyBorder="1" applyAlignment="1" applyProtection="1">
      <alignment vertical="center"/>
    </xf>
    <xf numFmtId="0" fontId="39" fillId="7" borderId="74" xfId="10" applyNumberFormat="1" applyFont="1" applyFill="1" applyBorder="1" applyAlignment="1" applyProtection="1">
      <alignment horizontal="center" vertical="center"/>
    </xf>
    <xf numFmtId="0" fontId="39" fillId="3" borderId="74" xfId="10" applyNumberFormat="1" applyFont="1" applyFill="1" applyBorder="1" applyAlignment="1" applyProtection="1">
      <alignment vertical="center"/>
    </xf>
    <xf numFmtId="0" fontId="38" fillId="0" borderId="0" xfId="10" applyNumberFormat="1" applyFont="1" applyFill="1" applyBorder="1" applyAlignment="1" applyProtection="1"/>
    <xf numFmtId="0" fontId="39" fillId="0" borderId="0" xfId="10" applyNumberFormat="1" applyFont="1" applyFill="1" applyBorder="1" applyAlignment="1" applyProtection="1"/>
    <xf numFmtId="0" fontId="49" fillId="3" borderId="76" xfId="10" applyNumberFormat="1" applyFont="1" applyFill="1" applyBorder="1" applyAlignment="1" applyProtection="1">
      <alignment vertical="center"/>
    </xf>
    <xf numFmtId="0" fontId="41" fillId="3" borderId="78" xfId="10" applyNumberFormat="1" applyFont="1" applyFill="1" applyBorder="1" applyAlignment="1" applyProtection="1">
      <alignment vertical="center" wrapText="1"/>
    </xf>
    <xf numFmtId="0" fontId="44" fillId="0" borderId="57" xfId="10" applyNumberFormat="1" applyFont="1" applyFill="1" applyBorder="1" applyAlignment="1" applyProtection="1">
      <alignment vertical="center" wrapText="1"/>
    </xf>
    <xf numFmtId="0" fontId="44" fillId="0" borderId="0" xfId="10" applyNumberFormat="1" applyFont="1" applyFill="1" applyBorder="1" applyAlignment="1" applyProtection="1">
      <alignment vertical="center"/>
    </xf>
    <xf numFmtId="0" fontId="41" fillId="3" borderId="82" xfId="10" applyNumberFormat="1" applyFont="1" applyFill="1" applyBorder="1" applyAlignment="1" applyProtection="1">
      <alignment vertical="center"/>
    </xf>
    <xf numFmtId="0" fontId="39" fillId="0" borderId="57" xfId="10" applyNumberFormat="1" applyFont="1" applyFill="1" applyBorder="1" applyAlignment="1" applyProtection="1">
      <alignment vertical="center"/>
    </xf>
    <xf numFmtId="0" fontId="39" fillId="0" borderId="0" xfId="10" applyNumberFormat="1" applyFont="1" applyFill="1" applyBorder="1" applyAlignment="1" applyProtection="1">
      <alignment vertical="center"/>
    </xf>
    <xf numFmtId="0" fontId="39" fillId="0" borderId="57" xfId="10" applyNumberFormat="1" applyFont="1" applyFill="1" applyBorder="1" applyAlignment="1" applyProtection="1">
      <alignment horizontal="center" vertical="center"/>
    </xf>
    <xf numFmtId="0" fontId="39" fillId="0" borderId="0" xfId="10" applyNumberFormat="1" applyFont="1" applyFill="1" applyBorder="1" applyAlignment="1" applyProtection="1">
      <alignment horizontal="center" vertical="center"/>
    </xf>
    <xf numFmtId="0" fontId="44" fillId="0" borderId="57" xfId="10" applyNumberFormat="1" applyFont="1" applyFill="1" applyBorder="1" applyAlignment="1" applyProtection="1">
      <alignment vertical="center"/>
    </xf>
    <xf numFmtId="0" fontId="40" fillId="7" borderId="76" xfId="10" applyNumberFormat="1" applyFont="1" applyFill="1" applyBorder="1" applyAlignment="1" applyProtection="1">
      <alignment vertical="center" wrapText="1"/>
    </xf>
    <xf numFmtId="0" fontId="40" fillId="7" borderId="78" xfId="10" applyNumberFormat="1" applyFont="1" applyFill="1" applyBorder="1" applyAlignment="1" applyProtection="1">
      <alignment vertical="center" wrapText="1"/>
    </xf>
    <xf numFmtId="0" fontId="39" fillId="7" borderId="74" xfId="10" applyNumberFormat="1" applyFont="1" applyFill="1" applyBorder="1" applyAlignment="1" applyProtection="1">
      <alignment horizontal="center" vertical="center" wrapText="1"/>
    </xf>
    <xf numFmtId="169" fontId="20" fillId="0" borderId="0" xfId="1" applyNumberFormat="1" applyFont="1" applyFill="1" applyBorder="1" applyAlignment="1" applyProtection="1">
      <alignment vertical="center"/>
    </xf>
    <xf numFmtId="169" fontId="41" fillId="3" borderId="85" xfId="1" applyNumberFormat="1" applyFont="1" applyFill="1" applyBorder="1" applyAlignment="1" applyProtection="1">
      <alignment horizontal="center" vertical="center" wrapText="1"/>
    </xf>
    <xf numFmtId="169" fontId="41" fillId="3" borderId="86" xfId="1" applyNumberFormat="1" applyFont="1" applyFill="1" applyBorder="1" applyAlignment="1" applyProtection="1">
      <alignment vertical="center"/>
    </xf>
    <xf numFmtId="169" fontId="41" fillId="3" borderId="56" xfId="1" applyNumberFormat="1" applyFont="1" applyFill="1" applyBorder="1" applyAlignment="1" applyProtection="1">
      <alignment horizontal="center" vertical="center"/>
    </xf>
    <xf numFmtId="3" fontId="41" fillId="3" borderId="74" xfId="1" applyNumberFormat="1" applyFont="1" applyFill="1" applyBorder="1" applyAlignment="1" applyProtection="1">
      <alignment horizontal="center" vertical="center"/>
    </xf>
    <xf numFmtId="3" fontId="41" fillId="3" borderId="61" xfId="1" applyNumberFormat="1" applyFont="1" applyFill="1" applyBorder="1" applyAlignment="1" applyProtection="1">
      <alignment vertical="center"/>
    </xf>
    <xf numFmtId="169" fontId="20" fillId="0" borderId="0" xfId="1" applyNumberFormat="1" applyFont="1" applyFill="1" applyBorder="1" applyAlignment="1" applyProtection="1">
      <alignment vertical="center"/>
    </xf>
    <xf numFmtId="3" fontId="20" fillId="0" borderId="0" xfId="1" applyNumberFormat="1" applyFont="1" applyFill="1" applyBorder="1" applyAlignment="1" applyProtection="1">
      <alignment vertical="center"/>
    </xf>
    <xf numFmtId="169" fontId="41" fillId="3" borderId="75" xfId="1" applyNumberFormat="1" applyFont="1" applyFill="1" applyBorder="1" applyAlignment="1" applyProtection="1">
      <alignment horizontal="right" vertical="center"/>
    </xf>
    <xf numFmtId="169" fontId="41" fillId="3" borderId="82" xfId="1" applyNumberFormat="1" applyFont="1" applyFill="1" applyBorder="1" applyAlignment="1" applyProtection="1">
      <alignment vertical="center"/>
    </xf>
    <xf numFmtId="169" fontId="20" fillId="0" borderId="0" xfId="1" applyNumberFormat="1" applyFont="1" applyFill="1" applyBorder="1" applyAlignment="1" applyProtection="1">
      <alignment vertical="center" wrapText="1"/>
    </xf>
    <xf numFmtId="169" fontId="5" fillId="0" borderId="0" xfId="1" applyNumberFormat="1" applyFont="1" applyFill="1" applyBorder="1" applyAlignment="1" applyProtection="1">
      <alignment vertical="center"/>
    </xf>
    <xf numFmtId="0" fontId="20" fillId="0" borderId="0" xfId="7" applyNumberFormat="1" applyFont="1" applyFill="1" applyBorder="1" applyAlignment="1" applyProtection="1">
      <alignment vertical="center"/>
    </xf>
    <xf numFmtId="0" fontId="20" fillId="0" borderId="0" xfId="7" applyNumberFormat="1" applyFont="1" applyFill="1" applyBorder="1" applyAlignment="1" applyProtection="1">
      <alignment vertical="center"/>
    </xf>
    <xf numFmtId="3" fontId="20" fillId="0" borderId="0" xfId="1" applyNumberFormat="1" applyFont="1" applyFill="1" applyBorder="1" applyAlignment="1" applyProtection="1">
      <alignment vertical="center"/>
    </xf>
    <xf numFmtId="0" fontId="46" fillId="3" borderId="82" xfId="7" applyNumberFormat="1" applyFont="1" applyFill="1" applyBorder="1" applyAlignment="1" applyProtection="1">
      <alignment horizontal="center" vertical="center"/>
    </xf>
    <xf numFmtId="0" fontId="39" fillId="0" borderId="0" xfId="10" applyNumberFormat="1" applyFont="1" applyFill="1" applyBorder="1" applyAlignment="1" applyProtection="1">
      <alignment horizontal="left"/>
    </xf>
    <xf numFmtId="0" fontId="21" fillId="0" borderId="54" xfId="7" applyNumberFormat="1" applyFont="1" applyFill="1" applyBorder="1" applyAlignment="1" applyProtection="1">
      <alignment horizontal="centerContinuous" vertical="center"/>
    </xf>
    <xf numFmtId="0" fontId="21" fillId="0" borderId="55" xfId="7" applyNumberFormat="1" applyFont="1" applyFill="1" applyBorder="1" applyAlignment="1" applyProtection="1">
      <alignment horizontal="centerContinuous" vertical="center"/>
    </xf>
    <xf numFmtId="0" fontId="20" fillId="0" borderId="56" xfId="7" applyNumberFormat="1" applyFont="1" applyFill="1" applyBorder="1" applyAlignment="1" applyProtection="1">
      <alignment vertical="center"/>
    </xf>
    <xf numFmtId="0" fontId="20" fillId="0" borderId="55" xfId="7" applyNumberFormat="1" applyFont="1" applyFill="1" applyBorder="1" applyAlignment="1" applyProtection="1">
      <alignment vertical="center"/>
    </xf>
    <xf numFmtId="0" fontId="20" fillId="0" borderId="57" xfId="7" applyNumberFormat="1" applyFont="1" applyFill="1" applyBorder="1" applyAlignment="1" applyProtection="1">
      <alignment vertical="center"/>
    </xf>
    <xf numFmtId="0" fontId="20" fillId="0" borderId="58" xfId="7" applyNumberFormat="1" applyFont="1" applyFill="1" applyBorder="1" applyAlignment="1" applyProtection="1">
      <alignment vertical="center"/>
    </xf>
    <xf numFmtId="0" fontId="23" fillId="0" borderId="57" xfId="7" applyNumberFormat="1" applyFont="1" applyFill="1" applyBorder="1" applyAlignment="1" applyProtection="1">
      <alignment vertical="center"/>
    </xf>
    <xf numFmtId="0" fontId="21" fillId="0" borderId="57" xfId="7" applyNumberFormat="1" applyFont="1" applyFill="1" applyBorder="1" applyAlignment="1" applyProtection="1">
      <alignment vertical="center"/>
    </xf>
    <xf numFmtId="0" fontId="24" fillId="0" borderId="0" xfId="7" applyNumberFormat="1" applyFont="1" applyFill="1" applyBorder="1" applyAlignment="1" applyProtection="1">
      <alignment vertical="center"/>
    </xf>
    <xf numFmtId="0" fontId="24" fillId="0" borderId="58" xfId="7" applyNumberFormat="1" applyFont="1" applyFill="1" applyBorder="1" applyAlignment="1" applyProtection="1">
      <alignment vertical="center"/>
    </xf>
    <xf numFmtId="0" fontId="24" fillId="0" borderId="0" xfId="7" applyNumberFormat="1" applyFont="1" applyFill="1" applyBorder="1" applyAlignment="1" applyProtection="1">
      <alignment vertical="center"/>
    </xf>
    <xf numFmtId="0" fontId="20" fillId="0" borderId="59" xfId="7" applyNumberFormat="1" applyFont="1" applyFill="1" applyBorder="1" applyAlignment="1" applyProtection="1">
      <alignment vertical="center"/>
    </xf>
    <xf numFmtId="0" fontId="20" fillId="0" borderId="60" xfId="7" applyNumberFormat="1" applyFont="1" applyFill="1" applyBorder="1" applyAlignment="1" applyProtection="1">
      <alignment vertical="center"/>
    </xf>
    <xf numFmtId="0" fontId="20" fillId="0" borderId="61" xfId="7" applyNumberFormat="1" applyFont="1" applyFill="1" applyBorder="1" applyAlignment="1" applyProtection="1">
      <alignment vertical="center"/>
    </xf>
    <xf numFmtId="0" fontId="25" fillId="0" borderId="55" xfId="7" applyNumberFormat="1" applyFont="1" applyFill="1" applyBorder="1" applyAlignment="1" applyProtection="1">
      <alignment horizontal="left" vertical="center"/>
    </xf>
    <xf numFmtId="0" fontId="25" fillId="0" borderId="0" xfId="7" applyNumberFormat="1" applyFont="1" applyFill="1" applyBorder="1" applyAlignment="1" applyProtection="1">
      <alignment horizontal="left" vertical="center"/>
    </xf>
    <xf numFmtId="0" fontId="22" fillId="0" borderId="0" xfId="7" applyNumberFormat="1" applyFont="1" applyFill="1" applyBorder="1" applyAlignment="1" applyProtection="1">
      <alignment horizontal="centerContinuous" vertical="center"/>
    </xf>
    <xf numFmtId="0" fontId="20" fillId="0" borderId="0" xfId="7" applyNumberFormat="1" applyFont="1" applyFill="1" applyBorder="1" applyAlignment="1" applyProtection="1">
      <alignment horizontal="left" vertical="center"/>
    </xf>
    <xf numFmtId="0" fontId="20" fillId="0" borderId="0" xfId="7" applyNumberFormat="1" applyFont="1" applyFill="1" applyBorder="1" applyAlignment="1" applyProtection="1">
      <alignment horizontal="left" vertical="center"/>
    </xf>
    <xf numFmtId="3" fontId="20" fillId="0" borderId="0" xfId="7" applyNumberFormat="1" applyFont="1" applyFill="1" applyBorder="1" applyAlignment="1" applyProtection="1">
      <alignment vertical="center"/>
    </xf>
    <xf numFmtId="14" fontId="20" fillId="0" borderId="0" xfId="7" applyNumberFormat="1" applyFont="1" applyFill="1" applyBorder="1" applyAlignment="1" applyProtection="1">
      <alignment vertical="center"/>
    </xf>
    <xf numFmtId="0" fontId="60" fillId="0" borderId="0" xfId="6" applyNumberFormat="1" applyFont="1" applyFill="1" applyBorder="1" applyProtection="1"/>
    <xf numFmtId="0" fontId="61" fillId="0" borderId="90" xfId="6" applyNumberFormat="1" applyFont="1" applyFill="1" applyBorder="1" applyAlignment="1" applyProtection="1">
      <alignment vertical="top"/>
    </xf>
    <xf numFmtId="0" fontId="61" fillId="0" borderId="91" xfId="6" applyNumberFormat="1" applyFont="1" applyFill="1" applyBorder="1" applyAlignment="1" applyProtection="1">
      <alignment vertical="top"/>
    </xf>
    <xf numFmtId="0" fontId="61" fillId="0" borderId="92" xfId="6" applyNumberFormat="1" applyFont="1" applyFill="1" applyBorder="1" applyAlignment="1" applyProtection="1">
      <alignment vertical="top"/>
    </xf>
    <xf numFmtId="0" fontId="60" fillId="0" borderId="0" xfId="6" applyNumberFormat="1" applyFont="1" applyFill="1" applyBorder="1" applyProtection="1"/>
    <xf numFmtId="0" fontId="60" fillId="0" borderId="53" xfId="6" applyNumberFormat="1" applyFont="1" applyFill="1" applyBorder="1" applyAlignment="1" applyProtection="1">
      <alignment vertical="top"/>
    </xf>
    <xf numFmtId="0" fontId="60" fillId="0" borderId="93" xfId="6" applyNumberFormat="1" applyFont="1" applyFill="1" applyBorder="1" applyAlignment="1" applyProtection="1">
      <alignment vertical="top"/>
    </xf>
    <xf numFmtId="0" fontId="61" fillId="0" borderId="93" xfId="6" applyNumberFormat="1" applyFont="1" applyFill="1" applyBorder="1" applyAlignment="1" applyProtection="1">
      <alignment vertical="top"/>
    </xf>
    <xf numFmtId="0" fontId="61" fillId="0" borderId="93" xfId="6" applyNumberFormat="1" applyFont="1" applyFill="1" applyBorder="1" applyAlignment="1" applyProtection="1">
      <alignment horizontal="left" vertical="top"/>
    </xf>
    <xf numFmtId="0" fontId="61" fillId="0" borderId="53" xfId="6" applyNumberFormat="1" applyFont="1" applyFill="1" applyBorder="1" applyAlignment="1" applyProtection="1">
      <alignment vertical="top"/>
    </xf>
    <xf numFmtId="0" fontId="60" fillId="0" borderId="93" xfId="6" applyNumberFormat="1" applyFont="1" applyFill="1" applyBorder="1" applyAlignment="1" applyProtection="1">
      <alignment horizontal="left" vertical="top"/>
    </xf>
    <xf numFmtId="0" fontId="60" fillId="0" borderId="94" xfId="6" applyNumberFormat="1" applyFont="1" applyFill="1" applyBorder="1" applyAlignment="1" applyProtection="1">
      <alignment horizontal="left" vertical="top"/>
    </xf>
    <xf numFmtId="1" fontId="26" fillId="0" borderId="25" xfId="5" applyNumberFormat="1" applyFont="1" applyFill="1" applyBorder="1" applyAlignment="1" applyProtection="1">
      <alignment horizontal="right" vertical="center"/>
    </xf>
    <xf numFmtId="0" fontId="26" fillId="0" borderId="25" xfId="5" applyNumberFormat="1" applyFont="1" applyFill="1" applyBorder="1" applyAlignment="1" applyProtection="1">
      <alignment horizontal="center" vertical="center"/>
    </xf>
    <xf numFmtId="0" fontId="26" fillId="0" borderId="25" xfId="5" applyNumberFormat="1" applyFont="1" applyFill="1" applyBorder="1" applyAlignment="1" applyProtection="1">
      <alignment horizontal="left" vertical="center"/>
    </xf>
    <xf numFmtId="0" fontId="26" fillId="0" borderId="100" xfId="5" applyNumberFormat="1" applyFont="1" applyFill="1" applyBorder="1" applyAlignment="1" applyProtection="1">
      <alignment vertical="center"/>
    </xf>
    <xf numFmtId="1" fontId="29" fillId="0" borderId="100" xfId="5" applyNumberFormat="1" applyFont="1" applyFill="1" applyBorder="1" applyAlignment="1" applyProtection="1">
      <alignment horizontal="center" vertical="center"/>
    </xf>
    <xf numFmtId="0" fontId="26" fillId="0" borderId="0" xfId="5" applyNumberFormat="1" applyFont="1" applyFill="1" applyBorder="1" applyAlignment="1" applyProtection="1"/>
    <xf numFmtId="0" fontId="26" fillId="0" borderId="100" xfId="5" applyNumberFormat="1" applyFont="1" applyFill="1" applyBorder="1" applyAlignment="1" applyProtection="1">
      <alignment horizontal="left" vertical="center"/>
    </xf>
    <xf numFmtId="1" fontId="27" fillId="0" borderId="100" xfId="5" applyNumberFormat="1" applyFont="1" applyFill="1" applyBorder="1" applyAlignment="1" applyProtection="1">
      <alignment horizontal="center" vertical="center"/>
    </xf>
    <xf numFmtId="3" fontId="27" fillId="0" borderId="100" xfId="5" applyNumberFormat="1" applyFont="1" applyFill="1" applyBorder="1" applyAlignment="1" applyProtection="1">
      <alignment vertical="center"/>
    </xf>
    <xf numFmtId="0" fontId="26" fillId="0" borderId="50" xfId="5" applyNumberFormat="1" applyFont="1" applyFill="1" applyBorder="1" applyAlignment="1" applyProtection="1">
      <alignment vertical="center" wrapText="1"/>
    </xf>
    <xf numFmtId="0" fontId="26" fillId="0" borderId="103" xfId="5" applyNumberFormat="1" applyFont="1" applyFill="1" applyBorder="1" applyAlignment="1" applyProtection="1">
      <alignment vertical="center"/>
    </xf>
    <xf numFmtId="0" fontId="26" fillId="0" borderId="14" xfId="5" applyNumberFormat="1" applyFont="1" applyFill="1" applyBorder="1" applyAlignment="1" applyProtection="1">
      <alignment vertical="center"/>
    </xf>
    <xf numFmtId="1" fontId="27" fillId="0" borderId="98" xfId="5" applyNumberFormat="1" applyFont="1" applyFill="1" applyBorder="1" applyAlignment="1" applyProtection="1">
      <alignment horizontal="right" vertical="center"/>
    </xf>
    <xf numFmtId="1" fontId="26" fillId="0" borderId="98" xfId="5" applyNumberFormat="1" applyFont="1" applyFill="1" applyBorder="1" applyAlignment="1" applyProtection="1">
      <alignment horizontal="center" vertical="center"/>
    </xf>
    <xf numFmtId="0" fontId="41" fillId="3" borderId="76" xfId="10" applyNumberFormat="1" applyFont="1" applyFill="1" applyBorder="1" applyAlignment="1" applyProtection="1">
      <alignment vertical="center"/>
    </xf>
    <xf numFmtId="0" fontId="39" fillId="7" borderId="76" xfId="10" applyNumberFormat="1" applyFont="1" applyFill="1" applyBorder="1" applyAlignment="1" applyProtection="1">
      <alignment horizontal="center" vertical="center"/>
    </xf>
    <xf numFmtId="171" fontId="39" fillId="0" borderId="0" xfId="10" applyNumberFormat="1" applyFont="1" applyFill="1" applyBorder="1" applyProtection="1"/>
    <xf numFmtId="171" fontId="41" fillId="3" borderId="78" xfId="10" applyNumberFormat="1" applyFont="1" applyFill="1" applyBorder="1" applyAlignment="1" applyProtection="1">
      <alignment vertical="center"/>
    </xf>
    <xf numFmtId="0" fontId="8" fillId="0" borderId="19" xfId="0" applyNumberFormat="1" applyFont="1" applyFill="1" applyBorder="1" applyAlignment="1" applyProtection="1">
      <alignment vertical="center" wrapText="1"/>
    </xf>
    <xf numFmtId="0" fontId="7" fillId="0" borderId="22" xfId="0" applyNumberFormat="1" applyFont="1" applyFill="1" applyBorder="1" applyAlignment="1" applyProtection="1">
      <alignment horizontal="left" vertical="center"/>
    </xf>
    <xf numFmtId="0" fontId="39" fillId="0" borderId="74" xfId="10" applyNumberFormat="1" applyFont="1" applyFill="1" applyBorder="1" applyAlignment="1" applyProtection="1">
      <alignment vertical="center" wrapText="1"/>
    </xf>
    <xf numFmtId="0" fontId="39" fillId="0" borderId="74" xfId="10" applyNumberFormat="1" applyFont="1" applyFill="1" applyBorder="1" applyAlignment="1" applyProtection="1">
      <alignment vertical="center"/>
    </xf>
    <xf numFmtId="0" fontId="40" fillId="7" borderId="74" xfId="10" applyNumberFormat="1" applyFont="1" applyFill="1" applyBorder="1" applyAlignment="1" applyProtection="1">
      <alignment vertical="center"/>
    </xf>
    <xf numFmtId="0" fontId="39" fillId="0" borderId="76" xfId="10" applyNumberFormat="1" applyFont="1" applyFill="1" applyBorder="1" applyAlignment="1" applyProtection="1">
      <alignment vertical="center"/>
    </xf>
    <xf numFmtId="0" fontId="6" fillId="3" borderId="18" xfId="0" applyNumberFormat="1" applyFont="1" applyFill="1" applyBorder="1" applyAlignment="1" applyProtection="1">
      <alignment horizontal="center" vertical="center"/>
    </xf>
    <xf numFmtId="0" fontId="6" fillId="3" borderId="18" xfId="0" applyNumberFormat="1" applyFont="1" applyFill="1" applyBorder="1" applyAlignment="1" applyProtection="1">
      <alignment vertical="center" wrapText="1"/>
    </xf>
    <xf numFmtId="0" fontId="7" fillId="4" borderId="18" xfId="0" applyNumberFormat="1" applyFont="1" applyFill="1" applyBorder="1" applyAlignment="1" applyProtection="1">
      <alignment horizontal="center" vertical="center"/>
    </xf>
    <xf numFmtId="0" fontId="7" fillId="4" borderId="18" xfId="0" applyNumberFormat="1" applyFont="1" applyFill="1" applyBorder="1" applyAlignment="1" applyProtection="1">
      <alignment vertical="center"/>
    </xf>
    <xf numFmtId="0" fontId="8" fillId="0" borderId="18" xfId="0" applyNumberFormat="1" applyFont="1" applyFill="1" applyBorder="1" applyAlignment="1" applyProtection="1">
      <alignment horizontal="center" vertical="center"/>
    </xf>
    <xf numFmtId="0" fontId="8" fillId="0" borderId="18" xfId="0" applyNumberFormat="1" applyFont="1" applyFill="1" applyBorder="1" applyAlignment="1" applyProtection="1">
      <alignment vertical="center"/>
    </xf>
    <xf numFmtId="0" fontId="8" fillId="0" borderId="18" xfId="0" quotePrefix="1" applyNumberFormat="1" applyFont="1" applyFill="1" applyBorder="1" applyAlignment="1" applyProtection="1">
      <alignment vertical="center"/>
    </xf>
    <xf numFmtId="0" fontId="8" fillId="0" borderId="18" xfId="0" applyNumberFormat="1" applyFont="1" applyFill="1" applyBorder="1" applyAlignment="1" applyProtection="1">
      <alignment vertical="center" wrapText="1"/>
    </xf>
    <xf numFmtId="0" fontId="6" fillId="3" borderId="18" xfId="0" applyNumberFormat="1" applyFont="1" applyFill="1" applyBorder="1" applyAlignment="1" applyProtection="1">
      <alignment vertical="center"/>
    </xf>
    <xf numFmtId="0" fontId="8" fillId="0" borderId="18" xfId="0" quotePrefix="1" applyNumberFormat="1" applyFont="1" applyFill="1" applyBorder="1" applyAlignment="1" applyProtection="1">
      <alignment horizontal="center" vertical="center"/>
    </xf>
    <xf numFmtId="0" fontId="40" fillId="7" borderId="74" xfId="10" applyNumberFormat="1" applyFont="1" applyFill="1" applyBorder="1" applyAlignment="1" applyProtection="1">
      <alignment vertical="center" wrapText="1"/>
    </xf>
    <xf numFmtId="0" fontId="40" fillId="3" borderId="74" xfId="10" applyNumberFormat="1" applyFont="1" applyFill="1" applyBorder="1" applyAlignment="1" applyProtection="1">
      <alignment vertical="center"/>
    </xf>
    <xf numFmtId="0" fontId="40" fillId="0" borderId="0" xfId="10" applyNumberFormat="1" applyFont="1" applyFill="1" applyBorder="1" applyProtection="1"/>
    <xf numFmtId="0" fontId="39" fillId="0" borderId="0" xfId="10" applyNumberFormat="1" applyFont="1" applyFill="1" applyBorder="1" applyProtection="1"/>
    <xf numFmtId="0" fontId="40" fillId="0" borderId="74" xfId="10" applyNumberFormat="1" applyFont="1" applyFill="1" applyBorder="1" applyAlignment="1" applyProtection="1">
      <alignment vertical="center" wrapText="1"/>
    </xf>
    <xf numFmtId="0" fontId="40" fillId="3" borderId="74" xfId="10" applyNumberFormat="1" applyFont="1" applyFill="1" applyBorder="1" applyAlignment="1" applyProtection="1">
      <alignment vertical="center" wrapText="1"/>
    </xf>
    <xf numFmtId="0" fontId="40" fillId="7" borderId="76" xfId="10" applyNumberFormat="1" applyFont="1" applyFill="1" applyBorder="1" applyAlignment="1" applyProtection="1">
      <alignment vertical="center" wrapText="1"/>
    </xf>
    <xf numFmtId="169" fontId="21" fillId="7" borderId="74" xfId="1" applyNumberFormat="1" applyFont="1" applyFill="1" applyBorder="1" applyAlignment="1" applyProtection="1">
      <alignment horizontal="center" vertical="center"/>
    </xf>
    <xf numFmtId="169" fontId="20" fillId="0" borderId="74" xfId="1" applyNumberFormat="1" applyFont="1" applyFill="1" applyBorder="1" applyAlignment="1" applyProtection="1">
      <alignment vertical="center" wrapText="1"/>
    </xf>
    <xf numFmtId="169" fontId="20" fillId="0" borderId="74" xfId="1" applyNumberFormat="1" applyFont="1" applyFill="1" applyBorder="1" applyAlignment="1" applyProtection="1">
      <alignment vertical="center"/>
    </xf>
    <xf numFmtId="169" fontId="20" fillId="0" borderId="0" xfId="1" applyNumberFormat="1" applyFont="1" applyFill="1" applyBorder="1" applyAlignment="1" applyProtection="1">
      <alignment horizontal="center" vertical="center"/>
    </xf>
    <xf numFmtId="169" fontId="20" fillId="0" borderId="0" xfId="1" applyNumberFormat="1" applyFont="1" applyFill="1" applyBorder="1" applyAlignment="1" applyProtection="1">
      <alignment vertical="center"/>
    </xf>
    <xf numFmtId="169" fontId="21" fillId="0" borderId="0" xfId="1" applyNumberFormat="1" applyFont="1" applyFill="1" applyBorder="1" applyAlignment="1" applyProtection="1">
      <alignment vertical="center"/>
    </xf>
    <xf numFmtId="0" fontId="6" fillId="3" borderId="1" xfId="0" applyNumberFormat="1" applyFont="1" applyFill="1" applyBorder="1" applyAlignment="1" applyProtection="1">
      <alignment horizontal="center" vertical="center" wrapText="1"/>
    </xf>
    <xf numFmtId="0" fontId="6" fillId="3" borderId="7" xfId="0" applyNumberFormat="1" applyFont="1" applyFill="1" applyBorder="1" applyAlignment="1" applyProtection="1">
      <alignment horizontal="center" vertical="center"/>
    </xf>
    <xf numFmtId="0" fontId="6" fillId="3" borderId="23" xfId="0" applyNumberFormat="1" applyFont="1" applyFill="1" applyBorder="1" applyAlignment="1" applyProtection="1">
      <alignment horizontal="center" vertical="center"/>
    </xf>
    <xf numFmtId="0" fontId="6" fillId="3" borderId="8" xfId="0" applyNumberFormat="1" applyFont="1" applyFill="1" applyBorder="1" applyAlignment="1" applyProtection="1">
      <alignment horizontal="center" vertical="center"/>
    </xf>
    <xf numFmtId="0" fontId="6" fillId="3" borderId="14" xfId="0" applyNumberFormat="1" applyFont="1" applyFill="1" applyBorder="1" applyAlignment="1" applyProtection="1">
      <alignment horizontal="center" vertical="center"/>
    </xf>
    <xf numFmtId="3" fontId="8" fillId="0" borderId="0" xfId="0" applyNumberFormat="1" applyFont="1" applyFill="1" applyBorder="1" applyAlignment="1">
      <alignment vertical="center"/>
    </xf>
    <xf numFmtId="172" fontId="8" fillId="0" borderId="0" xfId="14" applyNumberFormat="1" applyFont="1" applyFill="1" applyBorder="1" applyAlignment="1">
      <alignment vertical="center" wrapText="1"/>
    </xf>
    <xf numFmtId="166" fontId="39" fillId="0" borderId="0" xfId="10" applyNumberFormat="1" applyFont="1" applyFill="1" applyBorder="1" applyProtection="1"/>
    <xf numFmtId="172" fontId="39" fillId="0" borderId="0" xfId="14" applyNumberFormat="1" applyFont="1" applyFill="1" applyBorder="1" applyProtection="1"/>
    <xf numFmtId="172" fontId="55" fillId="0" borderId="0" xfId="14" applyNumberFormat="1" applyFont="1" applyFill="1" applyBorder="1" applyAlignment="1" applyProtection="1">
      <alignment horizontal="right"/>
    </xf>
    <xf numFmtId="172" fontId="39" fillId="0" borderId="0" xfId="14" applyNumberFormat="1" applyFont="1" applyFill="1" applyBorder="1" applyAlignment="1" applyProtection="1">
      <alignment vertical="center"/>
    </xf>
    <xf numFmtId="1" fontId="14" fillId="0" borderId="100" xfId="5" applyNumberFormat="1" applyFont="1" applyFill="1" applyBorder="1" applyAlignment="1" applyProtection="1">
      <alignment vertical="center"/>
    </xf>
    <xf numFmtId="1" fontId="26" fillId="0" borderId="100" xfId="5" applyNumberFormat="1" applyFont="1" applyFill="1" applyBorder="1" applyAlignment="1" applyProtection="1">
      <alignment vertical="center"/>
    </xf>
    <xf numFmtId="0" fontId="6" fillId="3" borderId="101" xfId="0" applyNumberFormat="1" applyFont="1" applyFill="1" applyBorder="1" applyAlignment="1">
      <alignment horizontal="center" vertical="center" wrapText="1"/>
    </xf>
    <xf numFmtId="172" fontId="40" fillId="0" borderId="111" xfId="14" applyNumberFormat="1" applyFont="1" applyFill="1" applyBorder="1" applyAlignment="1" applyProtection="1"/>
    <xf numFmtId="0" fontId="40" fillId="0" borderId="111" xfId="10" applyNumberFormat="1" applyFont="1" applyFill="1" applyBorder="1" applyAlignment="1" applyProtection="1">
      <alignment vertical="center"/>
    </xf>
    <xf numFmtId="1" fontId="26" fillId="0" borderId="32" xfId="5" applyNumberFormat="1" applyFont="1" applyFill="1" applyBorder="1" applyAlignment="1" applyProtection="1">
      <alignment horizontal="center" vertical="center"/>
    </xf>
    <xf numFmtId="1" fontId="31" fillId="0" borderId="36" xfId="5" applyNumberFormat="1" applyFont="1" applyFill="1" applyBorder="1" applyAlignment="1" applyProtection="1">
      <alignment horizontal="center" vertical="center"/>
    </xf>
    <xf numFmtId="1" fontId="31" fillId="0" borderId="25" xfId="5" applyNumberFormat="1" applyFont="1" applyFill="1" applyBorder="1" applyAlignment="1" applyProtection="1">
      <alignment horizontal="center" vertical="center"/>
    </xf>
    <xf numFmtId="1" fontId="31" fillId="0" borderId="30" xfId="5" applyNumberFormat="1" applyFont="1" applyFill="1" applyBorder="1" applyAlignment="1" applyProtection="1">
      <alignment horizontal="center" vertical="center"/>
    </xf>
    <xf numFmtId="1" fontId="31" fillId="0" borderId="32" xfId="5" applyNumberFormat="1" applyFont="1" applyFill="1" applyBorder="1" applyAlignment="1" applyProtection="1">
      <alignment horizontal="center" vertical="center"/>
    </xf>
    <xf numFmtId="1" fontId="26" fillId="0" borderId="39" xfId="5" applyNumberFormat="1" applyFont="1" applyFill="1" applyBorder="1" applyAlignment="1" applyProtection="1">
      <alignment horizontal="center" vertical="center"/>
    </xf>
    <xf numFmtId="1" fontId="26" fillId="0" borderId="30" xfId="5" applyNumberFormat="1" applyFont="1" applyFill="1" applyBorder="1" applyAlignment="1" applyProtection="1">
      <alignment horizontal="center" vertical="center"/>
    </xf>
    <xf numFmtId="1" fontId="26" fillId="0" borderId="31" xfId="5" applyNumberFormat="1" applyFont="1" applyFill="1" applyBorder="1" applyAlignment="1" applyProtection="1">
      <alignment horizontal="center" vertical="center"/>
    </xf>
    <xf numFmtId="1" fontId="26" fillId="0" borderId="33" xfId="5" applyNumberFormat="1" applyFont="1" applyFill="1" applyBorder="1" applyAlignment="1" applyProtection="1">
      <alignment horizontal="center" vertical="center"/>
    </xf>
    <xf numFmtId="0" fontId="8" fillId="0" borderId="9" xfId="0" applyNumberFormat="1" applyFont="1" applyFill="1" applyBorder="1" applyAlignment="1" applyProtection="1">
      <alignment horizontal="center" vertical="center" wrapText="1"/>
    </xf>
    <xf numFmtId="3" fontId="8" fillId="0" borderId="9" xfId="0" applyNumberFormat="1" applyFont="1" applyFill="1" applyBorder="1" applyAlignment="1" applyProtection="1">
      <alignment horizontal="right" vertical="center" wrapText="1"/>
    </xf>
    <xf numFmtId="0" fontId="39" fillId="0" borderId="0" xfId="10" applyNumberFormat="1" applyFont="1" applyFill="1" applyBorder="1" applyAlignment="1" applyProtection="1">
      <alignment horizontal="center" vertical="center"/>
    </xf>
    <xf numFmtId="0" fontId="41" fillId="3" borderId="73" xfId="10" applyNumberFormat="1" applyFont="1" applyFill="1" applyBorder="1" applyAlignment="1" applyProtection="1">
      <alignment horizontal="center" vertical="center"/>
    </xf>
    <xf numFmtId="0" fontId="41" fillId="3" borderId="75" xfId="10" applyNumberFormat="1" applyFont="1" applyFill="1" applyBorder="1" applyAlignment="1" applyProtection="1">
      <alignment horizontal="center" vertical="center"/>
    </xf>
    <xf numFmtId="0" fontId="41" fillId="3" borderId="74" xfId="10" applyNumberFormat="1" applyFont="1" applyFill="1" applyBorder="1" applyAlignment="1" applyProtection="1">
      <alignment horizontal="center" vertical="center"/>
    </xf>
    <xf numFmtId="14" fontId="40" fillId="0" borderId="111" xfId="10" applyNumberFormat="1" applyFont="1" applyFill="1" applyBorder="1" applyAlignment="1" applyProtection="1">
      <alignment horizontal="center"/>
    </xf>
    <xf numFmtId="0" fontId="41" fillId="3" borderId="78" xfId="10" applyNumberFormat="1" applyFont="1" applyFill="1" applyBorder="1" applyAlignment="1" applyProtection="1">
      <alignment horizontal="center" vertical="center" wrapText="1"/>
    </xf>
    <xf numFmtId="0" fontId="39" fillId="0" borderId="76" xfId="10" applyNumberFormat="1" applyFont="1" applyFill="1" applyBorder="1" applyAlignment="1" applyProtection="1">
      <alignment vertical="center"/>
    </xf>
    <xf numFmtId="0" fontId="39" fillId="0" borderId="77" xfId="10" applyNumberFormat="1" applyFont="1" applyFill="1" applyBorder="1" applyAlignment="1" applyProtection="1">
      <alignment vertical="center"/>
    </xf>
    <xf numFmtId="0" fontId="39" fillId="0" borderId="76" xfId="10" applyNumberFormat="1" applyFont="1" applyFill="1" applyBorder="1" applyAlignment="1" applyProtection="1">
      <alignment vertical="center" wrapText="1"/>
    </xf>
    <xf numFmtId="0" fontId="39" fillId="0" borderId="0" xfId="10" applyNumberFormat="1" applyFont="1" applyFill="1" applyBorder="1" applyAlignment="1" applyProtection="1">
      <alignment horizontal="center"/>
    </xf>
    <xf numFmtId="0" fontId="21" fillId="0" borderId="0" xfId="7" applyNumberFormat="1" applyFont="1" applyFill="1" applyBorder="1" applyAlignment="1" applyProtection="1">
      <alignment horizontal="center" vertical="center"/>
    </xf>
    <xf numFmtId="0" fontId="60" fillId="0" borderId="112" xfId="6" applyNumberFormat="1" applyFont="1" applyFill="1" applyBorder="1" applyAlignment="1" applyProtection="1">
      <alignment vertical="top"/>
    </xf>
    <xf numFmtId="0" fontId="1" fillId="0" borderId="0" xfId="18" applyNumberFormat="1" applyFont="1" applyFill="1" applyBorder="1"/>
    <xf numFmtId="0" fontId="39" fillId="0" borderId="0" xfId="18" applyNumberFormat="1" applyFont="1" applyFill="1" applyBorder="1" applyProtection="1"/>
    <xf numFmtId="0" fontId="40" fillId="0" borderId="0" xfId="18" applyNumberFormat="1" applyFont="1" applyFill="1" applyBorder="1" applyProtection="1"/>
    <xf numFmtId="0" fontId="39" fillId="0" borderId="74" xfId="18" applyNumberFormat="1" applyFont="1" applyFill="1" applyBorder="1" applyAlignment="1" applyProtection="1">
      <alignment vertical="center" wrapText="1"/>
    </xf>
    <xf numFmtId="0" fontId="39" fillId="0" borderId="0" xfId="18" applyNumberFormat="1" applyFont="1" applyFill="1" applyBorder="1" applyAlignment="1" applyProtection="1">
      <alignment horizontal="right"/>
    </xf>
    <xf numFmtId="0" fontId="55" fillId="0" borderId="74" xfId="18" applyNumberFormat="1" applyFont="1" applyFill="1" applyBorder="1" applyAlignment="1" applyProtection="1">
      <alignment vertical="center" wrapText="1"/>
    </xf>
    <xf numFmtId="0" fontId="39" fillId="4" borderId="74" xfId="18" applyNumberFormat="1" applyFont="1" applyFill="1" applyBorder="1" applyAlignment="1" applyProtection="1">
      <alignment vertical="center"/>
    </xf>
    <xf numFmtId="0" fontId="40" fillId="3" borderId="74" xfId="18" applyNumberFormat="1" applyFont="1" applyFill="1" applyBorder="1" applyAlignment="1" applyProtection="1">
      <alignment vertical="center"/>
    </xf>
    <xf numFmtId="0" fontId="14" fillId="0" borderId="0" xfId="5" applyNumberFormat="1" applyFont="1" applyFill="1" applyBorder="1" applyProtection="1"/>
    <xf numFmtId="1" fontId="27" fillId="0" borderId="27" xfId="5" applyNumberFormat="1" applyFont="1" applyFill="1" applyBorder="1" applyAlignment="1" applyProtection="1">
      <alignment horizontal="center" vertical="center"/>
    </xf>
    <xf numFmtId="1" fontId="27" fillId="0" borderId="99" xfId="5" applyNumberFormat="1" applyFont="1" applyFill="1" applyBorder="1" applyAlignment="1" applyProtection="1">
      <alignment horizontal="center" vertical="center"/>
    </xf>
    <xf numFmtId="1" fontId="29" fillId="0" borderId="99" xfId="5" applyNumberFormat="1" applyFont="1" applyFill="1" applyBorder="1" applyAlignment="1" applyProtection="1">
      <alignment horizontal="center" vertical="center"/>
    </xf>
    <xf numFmtId="3" fontId="27" fillId="0" borderId="99" xfId="5" applyNumberFormat="1" applyFont="1" applyFill="1" applyBorder="1" applyAlignment="1" applyProtection="1">
      <alignment horizontal="center" vertical="center"/>
    </xf>
    <xf numFmtId="0" fontId="26" fillId="0" borderId="99" xfId="5" applyNumberFormat="1" applyFont="1" applyFill="1" applyBorder="1" applyAlignment="1" applyProtection="1">
      <alignment vertical="center"/>
    </xf>
    <xf numFmtId="3" fontId="27" fillId="0" borderId="27" xfId="5" applyNumberFormat="1" applyFont="1" applyFill="1" applyBorder="1" applyAlignment="1" applyProtection="1">
      <alignment vertical="center"/>
    </xf>
    <xf numFmtId="3" fontId="27" fillId="0" borderId="99" xfId="5" applyNumberFormat="1" applyFont="1" applyFill="1" applyBorder="1" applyAlignment="1" applyProtection="1">
      <alignment vertical="center"/>
    </xf>
    <xf numFmtId="0" fontId="26" fillId="0" borderId="97" xfId="5" applyNumberFormat="1" applyFont="1" applyFill="1" applyBorder="1" applyAlignment="1" applyProtection="1">
      <alignment vertical="center"/>
    </xf>
    <xf numFmtId="1" fontId="27" fillId="0" borderId="97" xfId="5" applyNumberFormat="1" applyFont="1" applyFill="1" applyBorder="1" applyAlignment="1" applyProtection="1">
      <alignment horizontal="center" vertical="center"/>
    </xf>
    <xf numFmtId="0" fontId="26" fillId="0" borderId="105" xfId="5" applyNumberFormat="1" applyFont="1" applyFill="1" applyBorder="1" applyAlignment="1" applyProtection="1">
      <alignment vertical="center"/>
    </xf>
    <xf numFmtId="1" fontId="29" fillId="0" borderId="105" xfId="5" applyNumberFormat="1" applyFont="1" applyFill="1" applyBorder="1" applyAlignment="1" applyProtection="1">
      <alignment horizontal="center" vertical="center"/>
    </xf>
    <xf numFmtId="1" fontId="26" fillId="0" borderId="105" xfId="5" applyNumberFormat="1" applyFont="1" applyFill="1" applyBorder="1" applyAlignment="1" applyProtection="1">
      <alignment vertical="center"/>
    </xf>
    <xf numFmtId="0" fontId="26" fillId="0" borderId="101" xfId="5" applyNumberFormat="1" applyFont="1" applyFill="1" applyBorder="1" applyAlignment="1" applyProtection="1">
      <alignment vertical="center"/>
    </xf>
    <xf numFmtId="0" fontId="26" fillId="0" borderId="107" xfId="5" applyNumberFormat="1" applyFont="1" applyFill="1" applyBorder="1" applyAlignment="1" applyProtection="1">
      <alignment vertical="center"/>
    </xf>
    <xf numFmtId="1" fontId="27" fillId="0" borderId="107" xfId="5" applyNumberFormat="1" applyFont="1" applyFill="1" applyBorder="1" applyAlignment="1" applyProtection="1">
      <alignment horizontal="center" vertical="center"/>
    </xf>
    <xf numFmtId="1" fontId="29" fillId="0" borderId="107" xfId="5" applyNumberFormat="1" applyFont="1" applyFill="1" applyBorder="1" applyAlignment="1" applyProtection="1">
      <alignment horizontal="center" vertical="center"/>
    </xf>
    <xf numFmtId="1" fontId="26" fillId="0" borderId="107" xfId="5" applyNumberFormat="1" applyFont="1" applyFill="1" applyBorder="1" applyAlignment="1" applyProtection="1">
      <alignment vertical="center"/>
    </xf>
    <xf numFmtId="0" fontId="26" fillId="0" borderId="0" xfId="5" applyNumberFormat="1" applyFont="1" applyFill="1" applyBorder="1" applyAlignment="1" applyProtection="1">
      <alignment vertical="center"/>
    </xf>
    <xf numFmtId="0" fontId="14" fillId="0" borderId="0" xfId="5" applyNumberFormat="1" applyFont="1" applyFill="1" applyBorder="1" applyProtection="1"/>
    <xf numFmtId="0" fontId="26" fillId="0" borderId="106" xfId="5" applyNumberFormat="1" applyFont="1" applyFill="1" applyBorder="1" applyAlignment="1" applyProtection="1">
      <alignment vertical="center"/>
    </xf>
    <xf numFmtId="0" fontId="26" fillId="0" borderId="32" xfId="5" applyNumberFormat="1" applyFont="1" applyFill="1" applyBorder="1" applyAlignment="1" applyProtection="1">
      <alignment vertical="center" wrapText="1"/>
    </xf>
    <xf numFmtId="0" fontId="26" fillId="0" borderId="30" xfId="5" applyNumberFormat="1" applyFont="1" applyFill="1" applyBorder="1" applyAlignment="1" applyProtection="1">
      <alignment horizontal="right" vertical="center"/>
    </xf>
    <xf numFmtId="1" fontId="30" fillId="0" borderId="97" xfId="5" applyNumberFormat="1" applyFont="1" applyFill="1" applyBorder="1" applyAlignment="1" applyProtection="1">
      <alignment vertical="center"/>
    </xf>
    <xf numFmtId="1" fontId="27" fillId="0" borderId="97" xfId="5" applyNumberFormat="1" applyFont="1" applyFill="1" applyBorder="1" applyAlignment="1" applyProtection="1">
      <alignment vertical="center"/>
    </xf>
    <xf numFmtId="1" fontId="26" fillId="0" borderId="97" xfId="5" applyNumberFormat="1" applyFont="1" applyFill="1" applyBorder="1" applyAlignment="1" applyProtection="1">
      <alignment vertical="center"/>
    </xf>
    <xf numFmtId="1" fontId="30" fillId="0" borderId="101" xfId="5" applyNumberFormat="1" applyFont="1" applyFill="1" applyBorder="1" applyAlignment="1" applyProtection="1">
      <alignment vertical="center"/>
    </xf>
    <xf numFmtId="1" fontId="27" fillId="0" borderId="107" xfId="5" applyNumberFormat="1" applyFont="1" applyFill="1" applyBorder="1" applyAlignment="1" applyProtection="1">
      <alignment vertical="center"/>
    </xf>
    <xf numFmtId="1" fontId="26" fillId="0" borderId="0" xfId="5" applyNumberFormat="1" applyFont="1" applyFill="1" applyBorder="1" applyAlignment="1" applyProtection="1">
      <alignment vertical="center"/>
    </xf>
    <xf numFmtId="1" fontId="27" fillId="0" borderId="35" xfId="5" applyNumberFormat="1" applyFont="1" applyFill="1" applyBorder="1" applyAlignment="1" applyProtection="1">
      <alignment horizontal="center" vertical="center"/>
    </xf>
    <xf numFmtId="0" fontId="26" fillId="0" borderId="35" xfId="5" applyNumberFormat="1" applyFont="1" applyFill="1" applyBorder="1" applyAlignment="1" applyProtection="1">
      <alignment vertical="center"/>
    </xf>
    <xf numFmtId="0" fontId="26" fillId="0" borderId="50" xfId="5" applyNumberFormat="1" applyFont="1" applyFill="1" applyBorder="1" applyAlignment="1" applyProtection="1">
      <alignment vertical="center"/>
    </xf>
    <xf numFmtId="0" fontId="26" fillId="0" borderId="44" xfId="5" applyNumberFormat="1" applyFont="1" applyFill="1" applyBorder="1" applyAlignment="1" applyProtection="1">
      <alignment vertical="center"/>
    </xf>
    <xf numFmtId="0" fontId="26" fillId="0" borderId="43" xfId="5" applyNumberFormat="1" applyFont="1" applyFill="1" applyBorder="1" applyAlignment="1" applyProtection="1">
      <alignment vertical="center"/>
    </xf>
    <xf numFmtId="0" fontId="26" fillId="0" borderId="52" xfId="5" applyNumberFormat="1" applyFont="1" applyFill="1" applyBorder="1" applyAlignment="1" applyProtection="1">
      <alignment vertical="center"/>
    </xf>
    <xf numFmtId="0" fontId="31" fillId="0" borderId="97" xfId="5" applyNumberFormat="1" applyFont="1" applyFill="1" applyBorder="1" applyAlignment="1" applyProtection="1">
      <alignment vertical="center"/>
    </xf>
    <xf numFmtId="0" fontId="26" fillId="0" borderId="102" xfId="5" applyNumberFormat="1" applyFont="1" applyFill="1" applyBorder="1" applyAlignment="1" applyProtection="1">
      <alignment horizontal="center" vertical="center"/>
    </xf>
    <xf numFmtId="1" fontId="27" fillId="0" borderId="36" xfId="5" applyNumberFormat="1" applyFont="1" applyFill="1" applyBorder="1" applyAlignment="1" applyProtection="1">
      <alignment vertical="center"/>
    </xf>
    <xf numFmtId="1" fontId="27" fillId="0" borderId="35" xfId="5" applyNumberFormat="1" applyFont="1" applyFill="1" applyBorder="1" applyAlignment="1" applyProtection="1">
      <alignment vertical="center"/>
    </xf>
    <xf numFmtId="0" fontId="62" fillId="0" borderId="36" xfId="5" applyNumberFormat="1" applyFont="1" applyFill="1" applyBorder="1" applyAlignment="1" applyProtection="1">
      <alignment vertical="center"/>
    </xf>
    <xf numFmtId="1" fontId="26" fillId="0" borderId="18" xfId="5" applyNumberFormat="1" applyFont="1" applyFill="1" applyBorder="1" applyAlignment="1" applyProtection="1">
      <alignment horizontal="center" vertical="center"/>
    </xf>
    <xf numFmtId="1" fontId="62" fillId="0" borderId="30" xfId="5" applyNumberFormat="1" applyFont="1" applyFill="1" applyBorder="1" applyAlignment="1" applyProtection="1">
      <alignment horizontal="left" vertical="center" wrapText="1"/>
    </xf>
    <xf numFmtId="0" fontId="26" fillId="0" borderId="18" xfId="5" applyNumberFormat="1" applyFont="1" applyFill="1" applyBorder="1" applyAlignment="1" applyProtection="1">
      <alignment horizontal="center" vertical="center"/>
    </xf>
    <xf numFmtId="1" fontId="26" fillId="0" borderId="50" xfId="5" applyNumberFormat="1" applyFont="1" applyFill="1" applyBorder="1" applyAlignment="1" applyProtection="1">
      <alignment vertical="center"/>
    </xf>
    <xf numFmtId="0" fontId="14" fillId="0" borderId="10" xfId="5" applyNumberFormat="1" applyFont="1" applyFill="1" applyBorder="1" applyProtection="1"/>
    <xf numFmtId="1" fontId="27" fillId="0" borderId="37" xfId="5" applyNumberFormat="1" applyFont="1" applyFill="1" applyBorder="1" applyAlignment="1" applyProtection="1">
      <alignment vertical="center"/>
    </xf>
    <xf numFmtId="1" fontId="26" fillId="0" borderId="98" xfId="5" applyNumberFormat="1" applyFont="1" applyFill="1" applyBorder="1" applyAlignment="1" applyProtection="1">
      <alignment vertical="center"/>
    </xf>
    <xf numFmtId="0" fontId="26" fillId="0" borderId="104" xfId="5" applyNumberFormat="1" applyFont="1" applyFill="1" applyBorder="1" applyAlignment="1" applyProtection="1">
      <alignment vertical="center"/>
    </xf>
    <xf numFmtId="0" fontId="39" fillId="0" borderId="0" xfId="10" applyNumberFormat="1" applyFont="1" applyFill="1" applyBorder="1" applyAlignment="1" applyProtection="1">
      <alignment horizontal="left"/>
    </xf>
    <xf numFmtId="0" fontId="40" fillId="0" borderId="0" xfId="10" applyNumberFormat="1" applyFont="1" applyFill="1" applyBorder="1" applyAlignment="1" applyProtection="1">
      <alignment horizontal="left"/>
    </xf>
    <xf numFmtId="1" fontId="16" fillId="0" borderId="25" xfId="5" applyNumberFormat="1" applyFont="1" applyFill="1" applyBorder="1" applyAlignment="1" applyProtection="1">
      <alignment horizontal="center" vertical="center"/>
    </xf>
    <xf numFmtId="0" fontId="17" fillId="0" borderId="25" xfId="5" applyNumberFormat="1" applyFont="1" applyFill="1" applyBorder="1" applyAlignment="1" applyProtection="1">
      <alignment horizontal="center" vertical="center"/>
    </xf>
    <xf numFmtId="1" fontId="17" fillId="0" borderId="25" xfId="5" applyNumberFormat="1" applyFont="1" applyFill="1" applyBorder="1" applyAlignment="1" applyProtection="1">
      <alignment horizontal="center" vertical="center"/>
    </xf>
    <xf numFmtId="0" fontId="16" fillId="0" borderId="50" xfId="5" applyNumberFormat="1" applyFont="1" applyFill="1" applyBorder="1" applyAlignment="1" applyProtection="1">
      <alignment horizontal="center" vertical="center"/>
    </xf>
    <xf numFmtId="0" fontId="16" fillId="0" borderId="51" xfId="5" applyNumberFormat="1" applyFont="1" applyFill="1" applyBorder="1" applyAlignment="1" applyProtection="1">
      <alignment horizontal="center" vertical="center"/>
    </xf>
    <xf numFmtId="0" fontId="16" fillId="0" borderId="52" xfId="5" applyNumberFormat="1" applyFont="1" applyFill="1" applyBorder="1" applyAlignment="1" applyProtection="1">
      <alignment horizontal="center" vertical="center"/>
    </xf>
    <xf numFmtId="0" fontId="41" fillId="3" borderId="77" xfId="10" applyNumberFormat="1" applyFont="1" applyFill="1" applyBorder="1" applyAlignment="1" applyProtection="1">
      <alignment horizontal="center" vertical="center"/>
    </xf>
    <xf numFmtId="0" fontId="41" fillId="3" borderId="73" xfId="10" applyNumberFormat="1" applyFont="1" applyFill="1" applyBorder="1" applyAlignment="1" applyProtection="1">
      <alignment horizontal="center" vertical="center" wrapText="1"/>
    </xf>
    <xf numFmtId="0" fontId="41" fillId="3" borderId="75" xfId="10" applyNumberFormat="1" applyFont="1" applyFill="1" applyBorder="1" applyAlignment="1" applyProtection="1">
      <alignment horizontal="center" vertical="center" wrapText="1"/>
    </xf>
    <xf numFmtId="0" fontId="41" fillId="3" borderId="82" xfId="10" applyNumberFormat="1" applyFont="1" applyFill="1" applyBorder="1" applyAlignment="1" applyProtection="1">
      <alignment horizontal="center" vertical="center" wrapText="1"/>
    </xf>
    <xf numFmtId="0" fontId="41" fillId="3" borderId="78" xfId="10" applyNumberFormat="1" applyFont="1" applyFill="1" applyBorder="1" applyAlignment="1" applyProtection="1">
      <alignment horizontal="center" vertical="center" wrapText="1"/>
    </xf>
    <xf numFmtId="0" fontId="39" fillId="0" borderId="76" xfId="10" applyNumberFormat="1" applyFont="1" applyFill="1" applyBorder="1" applyAlignment="1" applyProtection="1">
      <alignment vertical="center"/>
    </xf>
    <xf numFmtId="0" fontId="39" fillId="0" borderId="77" xfId="10" applyNumberFormat="1" applyFont="1" applyFill="1" applyBorder="1" applyAlignment="1" applyProtection="1">
      <alignment vertical="center"/>
    </xf>
    <xf numFmtId="0" fontId="39" fillId="0" borderId="78" xfId="10" applyNumberFormat="1" applyFont="1" applyFill="1" applyBorder="1" applyAlignment="1" applyProtection="1">
      <alignment vertical="center"/>
    </xf>
    <xf numFmtId="0" fontId="41" fillId="3" borderId="55" xfId="10" applyNumberFormat="1" applyFont="1" applyFill="1" applyBorder="1" applyAlignment="1" applyProtection="1">
      <alignment horizontal="center" vertical="center" wrapText="1"/>
    </xf>
    <xf numFmtId="0" fontId="41" fillId="3" borderId="60" xfId="10" applyNumberFormat="1" applyFont="1" applyFill="1" applyBorder="1" applyAlignment="1" applyProtection="1">
      <alignment horizontal="center" vertical="center" wrapText="1"/>
    </xf>
    <xf numFmtId="0" fontId="39" fillId="0" borderId="76" xfId="10" applyNumberFormat="1" applyFont="1" applyFill="1" applyBorder="1" applyAlignment="1" applyProtection="1">
      <alignment horizontal="center" vertical="center"/>
    </xf>
    <xf numFmtId="0" fontId="39" fillId="0" borderId="78" xfId="10" applyNumberFormat="1" applyFont="1" applyFill="1" applyBorder="1" applyAlignment="1" applyProtection="1">
      <alignment horizontal="center" vertical="center"/>
    </xf>
    <xf numFmtId="0" fontId="39" fillId="0" borderId="74" xfId="18" applyNumberFormat="1" applyFont="1" applyFill="1" applyBorder="1" applyAlignment="1" applyProtection="1">
      <alignment horizontal="center" vertical="center"/>
    </xf>
    <xf numFmtId="169" fontId="41" fillId="3" borderId="74" xfId="1" applyNumberFormat="1" applyFont="1" applyFill="1" applyBorder="1" applyAlignment="1" applyProtection="1">
      <alignment horizontal="center" vertical="center"/>
    </xf>
    <xf numFmtId="1" fontId="14" fillId="0" borderId="114" xfId="5" applyNumberFormat="1" applyFont="1" applyFill="1" applyBorder="1" applyAlignment="1" applyProtection="1">
      <alignment vertical="center"/>
    </xf>
    <xf numFmtId="1" fontId="14" fillId="0" borderId="115" xfId="5" applyNumberFormat="1" applyFont="1" applyFill="1" applyBorder="1" applyAlignment="1" applyProtection="1">
      <alignment vertical="center"/>
    </xf>
    <xf numFmtId="1" fontId="14" fillId="0" borderId="116" xfId="5" applyNumberFormat="1" applyFont="1" applyFill="1" applyBorder="1" applyAlignment="1" applyProtection="1">
      <alignment vertical="center"/>
    </xf>
    <xf numFmtId="1" fontId="14" fillId="0" borderId="117" xfId="5" applyNumberFormat="1" applyFont="1" applyFill="1" applyBorder="1" applyAlignment="1" applyProtection="1">
      <alignment vertical="center"/>
    </xf>
    <xf numFmtId="1" fontId="14" fillId="0" borderId="118" xfId="5" applyNumberFormat="1" applyFont="1" applyFill="1" applyBorder="1" applyAlignment="1" applyProtection="1">
      <alignment vertical="center"/>
    </xf>
    <xf numFmtId="0" fontId="16" fillId="0" borderId="117" xfId="5" applyNumberFormat="1" applyFont="1" applyFill="1" applyBorder="1" applyAlignment="1" applyProtection="1">
      <alignment vertical="center"/>
    </xf>
    <xf numFmtId="1" fontId="16" fillId="0" borderId="118" xfId="5" applyNumberFormat="1" applyFont="1" applyFill="1" applyBorder="1" applyAlignment="1" applyProtection="1">
      <alignment vertical="center"/>
    </xf>
    <xf numFmtId="0" fontId="16" fillId="0" borderId="117" xfId="5" applyNumberFormat="1" applyFont="1" applyFill="1" applyBorder="1" applyAlignment="1" applyProtection="1">
      <alignment horizontal="center" vertical="center"/>
    </xf>
    <xf numFmtId="1" fontId="16" fillId="0" borderId="118" xfId="5" applyNumberFormat="1" applyFont="1" applyFill="1" applyBorder="1" applyAlignment="1" applyProtection="1">
      <alignment horizontal="center" vertical="center"/>
    </xf>
    <xf numFmtId="0" fontId="16" fillId="0" borderId="119" xfId="5" applyNumberFormat="1" applyFont="1" applyFill="1" applyBorder="1" applyAlignment="1" applyProtection="1">
      <alignment vertical="center"/>
    </xf>
    <xf numFmtId="1" fontId="16" fillId="0" borderId="120" xfId="5" applyNumberFormat="1" applyFont="1" applyFill="1" applyBorder="1" applyAlignment="1" applyProtection="1">
      <alignment vertical="center"/>
    </xf>
    <xf numFmtId="1" fontId="14" fillId="0" borderId="121" xfId="5" applyNumberFormat="1" applyFont="1" applyFill="1" applyBorder="1" applyAlignment="1" applyProtection="1">
      <alignment vertical="center"/>
    </xf>
    <xf numFmtId="1" fontId="14" fillId="0" borderId="122" xfId="5" applyNumberFormat="1" applyFont="1" applyFill="1" applyBorder="1" applyAlignment="1" applyProtection="1">
      <alignment vertical="center"/>
    </xf>
    <xf numFmtId="1" fontId="14" fillId="0" borderId="123" xfId="5" applyNumberFormat="1" applyFont="1" applyFill="1" applyBorder="1" applyAlignment="1" applyProtection="1">
      <alignment vertical="center"/>
    </xf>
    <xf numFmtId="1" fontId="14" fillId="0" borderId="124" xfId="5" applyNumberFormat="1" applyFont="1" applyFill="1" applyBorder="1" applyAlignment="1" applyProtection="1">
      <alignment vertical="center"/>
    </xf>
    <xf numFmtId="0" fontId="41" fillId="3" borderId="74" xfId="18" applyNumberFormat="1" applyFont="1" applyFill="1" applyBorder="1" applyAlignment="1" applyProtection="1">
      <alignment horizontal="center" vertical="center" wrapText="1"/>
    </xf>
    <xf numFmtId="0" fontId="39" fillId="0" borderId="74" xfId="18" applyNumberFormat="1" applyFont="1" applyFill="1" applyBorder="1" applyAlignment="1" applyProtection="1">
      <alignment vertical="center" wrapText="1"/>
    </xf>
    <xf numFmtId="0" fontId="40" fillId="7" borderId="74" xfId="18" applyNumberFormat="1" applyFont="1" applyFill="1" applyBorder="1" applyAlignment="1" applyProtection="1">
      <alignment vertical="center" wrapText="1"/>
    </xf>
    <xf numFmtId="0" fontId="39" fillId="0" borderId="74" xfId="18" applyNumberFormat="1" applyFont="1" applyFill="1" applyBorder="1" applyAlignment="1" applyProtection="1">
      <alignment vertical="center"/>
    </xf>
    <xf numFmtId="0" fontId="40" fillId="3" borderId="74" xfId="18" applyNumberFormat="1" applyFont="1" applyFill="1" applyBorder="1" applyAlignment="1" applyProtection="1">
      <alignment vertical="center"/>
    </xf>
    <xf numFmtId="0" fontId="39" fillId="0" borderId="56" xfId="10" applyNumberFormat="1" applyFont="1" applyFill="1" applyBorder="1" applyProtection="1"/>
    <xf numFmtId="0" fontId="41" fillId="3" borderId="78" xfId="10" applyNumberFormat="1" applyFont="1" applyFill="1" applyBorder="1" applyAlignment="1" applyProtection="1">
      <alignment horizontal="center" vertical="center"/>
    </xf>
    <xf numFmtId="0" fontId="39" fillId="0" borderId="126" xfId="10" applyNumberFormat="1" applyFont="1" applyFill="1" applyBorder="1" applyProtection="1"/>
    <xf numFmtId="0" fontId="39" fillId="0" borderId="74" xfId="10" applyNumberFormat="1" applyFont="1" applyFill="1" applyBorder="1" applyAlignment="1" applyProtection="1">
      <alignment horizontal="center" vertical="center"/>
    </xf>
    <xf numFmtId="0" fontId="45" fillId="0" borderId="57" xfId="0" applyNumberFormat="1" applyFont="1" applyFill="1" applyBorder="1" applyAlignment="1">
      <alignment vertical="center" wrapText="1"/>
    </xf>
    <xf numFmtId="0" fontId="49" fillId="2" borderId="0" xfId="10" applyNumberFormat="1" applyFont="1" applyFill="1" applyBorder="1" applyAlignment="1" applyProtection="1">
      <alignment horizontal="center" vertical="center" wrapText="1"/>
    </xf>
    <xf numFmtId="0" fontId="44" fillId="0" borderId="0" xfId="10" applyNumberFormat="1" applyFont="1" applyFill="1" applyBorder="1" applyAlignment="1" applyProtection="1">
      <alignment vertical="center" wrapText="1"/>
    </xf>
    <xf numFmtId="0" fontId="41" fillId="2" borderId="0" xfId="10" applyNumberFormat="1" applyFont="1" applyFill="1" applyBorder="1" applyAlignment="1" applyProtection="1">
      <alignment horizontal="center" vertical="center" wrapText="1"/>
    </xf>
    <xf numFmtId="0" fontId="39" fillId="2" borderId="0" xfId="10" applyNumberFormat="1" applyFont="1" applyFill="1" applyBorder="1" applyAlignment="1" applyProtection="1">
      <alignment horizontal="center" vertical="center"/>
    </xf>
    <xf numFmtId="0" fontId="45" fillId="0" borderId="57" xfId="0" applyNumberFormat="1" applyFont="1" applyFill="1" applyBorder="1"/>
    <xf numFmtId="3" fontId="41" fillId="3" borderId="126" xfId="1" applyNumberFormat="1" applyFont="1" applyFill="1" applyBorder="1" applyAlignment="1" applyProtection="1">
      <alignment horizontal="center" vertical="center" wrapText="1"/>
    </xf>
    <xf numFmtId="169" fontId="21" fillId="7" borderId="113" xfId="1" applyNumberFormat="1" applyFont="1" applyFill="1" applyBorder="1" applyAlignment="1" applyProtection="1">
      <alignment horizontal="center" vertical="center"/>
    </xf>
    <xf numFmtId="169" fontId="20" fillId="0" borderId="113" xfId="1" applyNumberFormat="1" applyFont="1" applyFill="1" applyBorder="1" applyAlignment="1" applyProtection="1">
      <alignment vertical="center" wrapText="1"/>
    </xf>
    <xf numFmtId="169" fontId="20" fillId="0" borderId="113" xfId="1" applyNumberFormat="1" applyFont="1" applyFill="1" applyBorder="1" applyAlignment="1" applyProtection="1">
      <alignment vertical="center"/>
    </xf>
    <xf numFmtId="3" fontId="21" fillId="7" borderId="113" xfId="1" applyNumberFormat="1" applyFont="1" applyFill="1" applyBorder="1" applyAlignment="1" applyProtection="1">
      <alignment horizontal="center" vertical="center"/>
    </xf>
    <xf numFmtId="169" fontId="21" fillId="0" borderId="113" xfId="1" applyNumberFormat="1" applyFont="1" applyFill="1" applyBorder="1" applyAlignment="1" applyProtection="1">
      <alignment vertical="center"/>
    </xf>
    <xf numFmtId="169" fontId="41" fillId="3" borderId="131" xfId="1" applyNumberFormat="1" applyFont="1" applyFill="1" applyBorder="1" applyAlignment="1" applyProtection="1">
      <alignment horizontal="right" vertical="center"/>
    </xf>
    <xf numFmtId="169" fontId="41" fillId="3" borderId="132" xfId="1" applyNumberFormat="1" applyFont="1" applyFill="1" applyBorder="1" applyAlignment="1" applyProtection="1">
      <alignment horizontal="center" vertical="center"/>
    </xf>
    <xf numFmtId="169" fontId="41" fillId="3" borderId="135" xfId="1" applyNumberFormat="1" applyFont="1" applyFill="1" applyBorder="1" applyAlignment="1" applyProtection="1">
      <alignment horizontal="center" vertical="center"/>
    </xf>
    <xf numFmtId="169" fontId="53" fillId="3" borderId="133" xfId="1" applyNumberFormat="1" applyFont="1" applyFill="1" applyBorder="1" applyAlignment="1" applyProtection="1">
      <alignment horizontal="center" vertical="center" wrapText="1"/>
    </xf>
    <xf numFmtId="169" fontId="53" fillId="3" borderId="134" xfId="1" applyNumberFormat="1" applyFont="1" applyFill="1" applyBorder="1" applyAlignment="1" applyProtection="1">
      <alignment horizontal="center" vertical="center" wrapText="1"/>
    </xf>
    <xf numFmtId="169" fontId="53" fillId="3" borderId="132" xfId="1" applyNumberFormat="1" applyFont="1" applyFill="1" applyBorder="1" applyAlignment="1" applyProtection="1">
      <alignment horizontal="center" vertical="center" wrapText="1"/>
    </xf>
    <xf numFmtId="169" fontId="20" fillId="0" borderId="134" xfId="1" applyNumberFormat="1" applyFont="1" applyFill="1" applyBorder="1" applyAlignment="1" applyProtection="1">
      <alignment vertical="center" wrapText="1"/>
    </xf>
    <xf numFmtId="169" fontId="21" fillId="7" borderId="134" xfId="1" applyNumberFormat="1" applyFont="1" applyFill="1" applyBorder="1" applyAlignment="1" applyProtection="1">
      <alignment vertical="center" wrapText="1"/>
    </xf>
    <xf numFmtId="169" fontId="21" fillId="0" borderId="134" xfId="1" applyNumberFormat="1" applyFont="1" applyFill="1" applyBorder="1" applyAlignment="1" applyProtection="1">
      <alignment vertical="center" wrapText="1"/>
    </xf>
    <xf numFmtId="169" fontId="21" fillId="3" borderId="134" xfId="1" applyNumberFormat="1" applyFont="1" applyFill="1" applyBorder="1" applyAlignment="1" applyProtection="1">
      <alignment vertical="center"/>
    </xf>
    <xf numFmtId="0" fontId="39" fillId="0" borderId="134" xfId="10" applyNumberFormat="1" applyFont="1" applyFill="1" applyBorder="1" applyAlignment="1" applyProtection="1">
      <alignment vertical="center" wrapText="1"/>
    </xf>
    <xf numFmtId="0" fontId="40" fillId="7" borderId="134" xfId="10" applyNumberFormat="1" applyFont="1" applyFill="1" applyBorder="1" applyAlignment="1" applyProtection="1">
      <alignment vertical="center"/>
    </xf>
    <xf numFmtId="0" fontId="40" fillId="3" borderId="134" xfId="10" applyNumberFormat="1" applyFont="1" applyFill="1" applyBorder="1" applyAlignment="1" applyProtection="1">
      <alignment vertical="center"/>
    </xf>
    <xf numFmtId="0" fontId="40" fillId="0" borderId="134" xfId="10" applyNumberFormat="1" applyFont="1" applyFill="1" applyBorder="1" applyAlignment="1" applyProtection="1">
      <alignment vertical="center" wrapText="1"/>
    </xf>
    <xf numFmtId="0" fontId="21" fillId="7" borderId="136" xfId="7" applyNumberFormat="1" applyFont="1" applyFill="1" applyBorder="1" applyAlignment="1" applyProtection="1">
      <alignment vertical="center" wrapText="1"/>
    </xf>
    <xf numFmtId="0" fontId="51" fillId="0" borderId="136" xfId="7" applyNumberFormat="1" applyFont="1" applyFill="1" applyBorder="1" applyAlignment="1" applyProtection="1">
      <alignment vertical="center" wrapText="1"/>
    </xf>
    <xf numFmtId="0" fontId="51" fillId="0" borderId="136" xfId="7" quotePrefix="1" applyNumberFormat="1" applyFont="1" applyFill="1" applyBorder="1" applyAlignment="1" applyProtection="1">
      <alignment horizontal="left" vertical="center" wrapText="1"/>
    </xf>
    <xf numFmtId="0" fontId="20" fillId="0" borderId="136" xfId="7" applyNumberFormat="1" applyFont="1" applyFill="1" applyBorder="1" applyAlignment="1" applyProtection="1">
      <alignment vertical="center" wrapText="1"/>
    </xf>
    <xf numFmtId="0" fontId="20" fillId="0" borderId="57" xfId="7" applyNumberFormat="1" applyFont="1" applyFill="1" applyBorder="1" applyAlignment="1" applyProtection="1">
      <alignment vertical="center"/>
    </xf>
    <xf numFmtId="3" fontId="20" fillId="0" borderId="126" xfId="1" applyNumberFormat="1" applyFont="1" applyFill="1" applyBorder="1" applyAlignment="1" applyProtection="1">
      <alignment vertical="center"/>
    </xf>
    <xf numFmtId="0" fontId="54" fillId="0" borderId="136" xfId="7" applyNumberFormat="1" applyFont="1" applyFill="1" applyBorder="1" applyAlignment="1" applyProtection="1">
      <alignment vertical="center"/>
    </xf>
    <xf numFmtId="0" fontId="20" fillId="0" borderId="135" xfId="7" applyNumberFormat="1" applyFont="1" applyFill="1" applyBorder="1" applyAlignment="1" applyProtection="1">
      <alignment vertical="center"/>
    </xf>
    <xf numFmtId="0" fontId="20" fillId="0" borderId="137" xfId="7" applyNumberFormat="1" applyFont="1" applyFill="1" applyBorder="1" applyAlignment="1" applyProtection="1">
      <alignment vertical="center"/>
    </xf>
    <xf numFmtId="0" fontId="20" fillId="0" borderId="136" xfId="7" applyNumberFormat="1" applyFont="1" applyFill="1" applyBorder="1" applyAlignment="1" applyProtection="1">
      <alignment vertical="center"/>
    </xf>
    <xf numFmtId="0" fontId="23" fillId="0" borderId="136" xfId="7" applyNumberFormat="1" applyFont="1" applyFill="1" applyBorder="1" applyAlignment="1" applyProtection="1">
      <alignment vertical="center" wrapText="1"/>
    </xf>
    <xf numFmtId="0" fontId="23" fillId="0" borderId="136" xfId="7" quotePrefix="1" applyNumberFormat="1" applyFont="1" applyFill="1" applyBorder="1" applyAlignment="1" applyProtection="1">
      <alignment horizontal="left" vertical="center" wrapText="1"/>
    </xf>
    <xf numFmtId="0" fontId="40" fillId="4" borderId="134" xfId="10" applyNumberFormat="1" applyFont="1" applyFill="1" applyBorder="1" applyAlignment="1" applyProtection="1">
      <alignment horizontal="center" vertical="center"/>
    </xf>
    <xf numFmtId="172" fontId="40" fillId="4" borderId="136" xfId="14" applyNumberFormat="1" applyFont="1" applyFill="1" applyBorder="1" applyAlignment="1" applyProtection="1">
      <alignment horizontal="center" vertical="center" wrapText="1"/>
    </xf>
    <xf numFmtId="172" fontId="40" fillId="4" borderId="134" xfId="14" applyNumberFormat="1" applyFont="1" applyFill="1" applyBorder="1" applyAlignment="1" applyProtection="1">
      <alignment horizontal="center" vertical="center" wrapText="1"/>
    </xf>
    <xf numFmtId="0" fontId="40" fillId="4" borderId="134" xfId="10" applyNumberFormat="1" applyFont="1" applyFill="1" applyBorder="1" applyAlignment="1" applyProtection="1">
      <alignment vertical="center"/>
    </xf>
    <xf numFmtId="0" fontId="39" fillId="0" borderId="134" xfId="10" quotePrefix="1" applyNumberFormat="1" applyFont="1" applyFill="1" applyBorder="1" applyAlignment="1" applyProtection="1">
      <alignment horizontal="left" vertical="center" wrapText="1"/>
    </xf>
    <xf numFmtId="0" fontId="40" fillId="7" borderId="134" xfId="10" quotePrefix="1" applyNumberFormat="1" applyFont="1" applyFill="1" applyBorder="1" applyAlignment="1" applyProtection="1">
      <alignment horizontal="left" vertical="center" wrapText="1"/>
    </xf>
    <xf numFmtId="0" fontId="40" fillId="0" borderId="134" xfId="10" quotePrefix="1" applyNumberFormat="1" applyFont="1" applyFill="1" applyBorder="1" applyAlignment="1" applyProtection="1">
      <alignment horizontal="left" vertical="center" wrapText="1"/>
    </xf>
    <xf numFmtId="0" fontId="39" fillId="0" borderId="134" xfId="10" applyNumberFormat="1" applyFont="1" applyFill="1" applyBorder="1" applyAlignment="1" applyProtection="1">
      <alignment horizontal="left" vertical="center" wrapText="1"/>
    </xf>
    <xf numFmtId="0" fontId="40" fillId="0" borderId="134" xfId="10" applyNumberFormat="1" applyFont="1" applyFill="1" applyBorder="1" applyAlignment="1" applyProtection="1">
      <alignment horizontal="left" vertical="center" wrapText="1"/>
    </xf>
    <xf numFmtId="0" fontId="56" fillId="3" borderId="134" xfId="10" quotePrefix="1" applyNumberFormat="1" applyFont="1" applyFill="1" applyBorder="1" applyAlignment="1" applyProtection="1">
      <alignment horizontal="left" vertical="center"/>
    </xf>
    <xf numFmtId="0" fontId="26" fillId="2" borderId="62" xfId="5" applyNumberFormat="1" applyFont="1" applyFill="1" applyBorder="1" applyAlignment="1" applyProtection="1">
      <alignment vertical="center"/>
    </xf>
    <xf numFmtId="0" fontId="39" fillId="0" borderId="78" xfId="10" applyNumberFormat="1" applyFont="1" applyFill="1" applyBorder="1" applyAlignment="1" applyProtection="1">
      <alignment vertical="center"/>
    </xf>
    <xf numFmtId="0" fontId="39" fillId="0" borderId="77" xfId="10" applyNumberFormat="1" applyFont="1" applyFill="1" applyBorder="1" applyAlignment="1" applyProtection="1">
      <alignment horizontal="center" vertical="center"/>
    </xf>
    <xf numFmtId="0" fontId="39" fillId="7" borderId="78" xfId="10" applyNumberFormat="1" applyFont="1" applyFill="1" applyBorder="1" applyAlignment="1" applyProtection="1">
      <alignment vertical="center"/>
    </xf>
    <xf numFmtId="171" fontId="40" fillId="4" borderId="74" xfId="10" applyNumberFormat="1" applyFont="1" applyFill="1" applyBorder="1" applyAlignment="1" applyProtection="1">
      <alignment horizontal="right" vertical="center"/>
    </xf>
    <xf numFmtId="0" fontId="40" fillId="4" borderId="74" xfId="10" applyNumberFormat="1" applyFont="1" applyFill="1" applyBorder="1" applyAlignment="1" applyProtection="1">
      <alignment horizontal="right" vertical="center"/>
    </xf>
    <xf numFmtId="171" fontId="39" fillId="0" borderId="74" xfId="10" applyNumberFormat="1" applyFont="1" applyFill="1" applyBorder="1" applyAlignment="1" applyProtection="1">
      <alignment horizontal="right" vertical="center"/>
    </xf>
    <xf numFmtId="0" fontId="39" fillId="0" borderId="74" xfId="10" applyNumberFormat="1" applyFont="1" applyFill="1" applyBorder="1" applyAlignment="1" applyProtection="1">
      <alignment horizontal="right" vertical="center"/>
    </xf>
    <xf numFmtId="0" fontId="39" fillId="7" borderId="74" xfId="10" applyNumberFormat="1" applyFont="1" applyFill="1" applyBorder="1" applyAlignment="1" applyProtection="1">
      <alignment horizontal="right" vertical="center"/>
    </xf>
    <xf numFmtId="0" fontId="40" fillId="7" borderId="74" xfId="10" applyNumberFormat="1" applyFont="1" applyFill="1" applyBorder="1" applyAlignment="1" applyProtection="1">
      <alignment horizontal="right" vertical="center"/>
    </xf>
    <xf numFmtId="171" fontId="39" fillId="0" borderId="78" xfId="10" applyNumberFormat="1" applyFont="1" applyFill="1" applyBorder="1" applyAlignment="1" applyProtection="1">
      <alignment horizontal="right" vertical="center"/>
    </xf>
    <xf numFmtId="0" fontId="39" fillId="0" borderId="77" xfId="10" applyNumberFormat="1" applyFont="1" applyFill="1" applyBorder="1" applyAlignment="1" applyProtection="1">
      <alignment horizontal="right" vertical="center"/>
    </xf>
    <xf numFmtId="171" fontId="41" fillId="3" borderId="78" xfId="10" applyNumberFormat="1" applyFont="1" applyFill="1" applyBorder="1" applyAlignment="1" applyProtection="1">
      <alignment horizontal="right" vertical="center"/>
    </xf>
    <xf numFmtId="0" fontId="41" fillId="3" borderId="77" xfId="10" applyNumberFormat="1" applyFont="1" applyFill="1" applyBorder="1" applyAlignment="1" applyProtection="1">
      <alignment horizontal="right" vertical="center"/>
    </xf>
    <xf numFmtId="0" fontId="39" fillId="0" borderId="78" xfId="10" applyNumberFormat="1" applyFont="1" applyFill="1" applyBorder="1" applyAlignment="1" applyProtection="1">
      <alignment horizontal="right" vertical="center"/>
    </xf>
    <xf numFmtId="0" fontId="40" fillId="3" borderId="74" xfId="10" applyNumberFormat="1" applyFont="1" applyFill="1" applyBorder="1" applyAlignment="1" applyProtection="1">
      <alignment horizontal="right" vertical="center"/>
    </xf>
    <xf numFmtId="0" fontId="39" fillId="0" borderId="74" xfId="18" applyNumberFormat="1" applyFont="1" applyFill="1" applyBorder="1" applyAlignment="1" applyProtection="1">
      <alignment horizontal="right" vertical="center"/>
    </xf>
    <xf numFmtId="0" fontId="39" fillId="0" borderId="54" xfId="10" applyNumberFormat="1" applyFont="1" applyFill="1" applyBorder="1" applyAlignment="1" applyProtection="1">
      <alignment horizontal="right" vertical="center" wrapText="1"/>
    </xf>
    <xf numFmtId="0" fontId="39" fillId="0" borderId="73" xfId="10" applyNumberFormat="1" applyFont="1" applyFill="1" applyBorder="1" applyAlignment="1" applyProtection="1">
      <alignment horizontal="right" vertical="center" wrapText="1"/>
    </xf>
    <xf numFmtId="0" fontId="39" fillId="0" borderId="57" xfId="10" applyNumberFormat="1" applyFont="1" applyFill="1" applyBorder="1" applyAlignment="1" applyProtection="1">
      <alignment horizontal="right" vertical="center" wrapText="1"/>
    </xf>
    <xf numFmtId="0" fontId="39" fillId="0" borderId="75" xfId="10" applyNumberFormat="1" applyFont="1" applyFill="1" applyBorder="1" applyAlignment="1" applyProtection="1">
      <alignment horizontal="right" vertical="center" wrapText="1"/>
    </xf>
    <xf numFmtId="0" fontId="39" fillId="0" borderId="59" xfId="10" applyNumberFormat="1" applyFont="1" applyFill="1" applyBorder="1" applyAlignment="1" applyProtection="1">
      <alignment horizontal="right" vertical="center" wrapText="1"/>
    </xf>
    <xf numFmtId="0" fontId="39" fillId="0" borderId="82" xfId="10" applyNumberFormat="1" applyFont="1" applyFill="1" applyBorder="1" applyAlignment="1" applyProtection="1">
      <alignment horizontal="right" vertical="center" wrapText="1"/>
    </xf>
    <xf numFmtId="0" fontId="39" fillId="0" borderId="54" xfId="10" applyNumberFormat="1" applyFont="1" applyFill="1" applyBorder="1" applyAlignment="1" applyProtection="1">
      <alignment horizontal="left" vertical="center" wrapText="1"/>
    </xf>
    <xf numFmtId="0" fontId="39" fillId="0" borderId="57" xfId="10" applyNumberFormat="1" applyFont="1" applyFill="1" applyBorder="1" applyAlignment="1" applyProtection="1">
      <alignment horizontal="left" vertical="center" wrapText="1"/>
    </xf>
    <xf numFmtId="0" fontId="39" fillId="0" borderId="59" xfId="10" applyNumberFormat="1" applyFont="1" applyFill="1" applyBorder="1" applyAlignment="1" applyProtection="1">
      <alignment horizontal="left" vertical="center" wrapText="1"/>
    </xf>
    <xf numFmtId="0" fontId="39" fillId="0" borderId="74" xfId="10" applyNumberFormat="1" applyFont="1" applyFill="1" applyBorder="1" applyAlignment="1" applyProtection="1">
      <alignment horizontal="left" vertical="center" wrapText="1"/>
    </xf>
    <xf numFmtId="0" fontId="39" fillId="0" borderId="74" xfId="10" applyNumberFormat="1" applyFont="1" applyFill="1" applyBorder="1" applyAlignment="1" applyProtection="1">
      <alignment horizontal="left" vertical="center"/>
    </xf>
    <xf numFmtId="0" fontId="39" fillId="3" borderId="77" xfId="10" applyNumberFormat="1" applyFont="1" applyFill="1" applyBorder="1" applyAlignment="1" applyProtection="1">
      <alignment horizontal="right" vertical="center"/>
    </xf>
    <xf numFmtId="0" fontId="39" fillId="0" borderId="76" xfId="10" applyNumberFormat="1" applyFont="1" applyFill="1" applyBorder="1" applyAlignment="1" applyProtection="1">
      <alignment horizontal="right" vertical="center"/>
    </xf>
    <xf numFmtId="0" fontId="39" fillId="3" borderId="76" xfId="10" applyNumberFormat="1" applyFont="1" applyFill="1" applyBorder="1" applyAlignment="1" applyProtection="1">
      <alignment horizontal="right" vertical="center"/>
    </xf>
    <xf numFmtId="0" fontId="39" fillId="7" borderId="83" xfId="10" applyNumberFormat="1" applyFont="1" applyFill="1" applyBorder="1" applyAlignment="1" applyProtection="1">
      <alignment horizontal="right" vertical="center"/>
    </xf>
    <xf numFmtId="169" fontId="20" fillId="0" borderId="74" xfId="1" applyNumberFormat="1" applyFont="1" applyFill="1" applyBorder="1" applyAlignment="1" applyProtection="1">
      <alignment horizontal="right" vertical="center"/>
    </xf>
    <xf numFmtId="169" fontId="20" fillId="0" borderId="87" xfId="1" applyNumberFormat="1" applyFont="1" applyFill="1" applyBorder="1" applyAlignment="1" applyProtection="1">
      <alignment horizontal="right" vertical="center"/>
    </xf>
    <xf numFmtId="169" fontId="20" fillId="0" borderId="78" xfId="1" applyNumberFormat="1" applyFont="1" applyFill="1" applyBorder="1" applyAlignment="1" applyProtection="1">
      <alignment horizontal="right" vertical="center"/>
    </xf>
    <xf numFmtId="3" fontId="20" fillId="0" borderId="74" xfId="1" applyNumberFormat="1" applyFont="1" applyFill="1" applyBorder="1" applyAlignment="1" applyProtection="1">
      <alignment horizontal="right" vertical="center"/>
    </xf>
    <xf numFmtId="169" fontId="20" fillId="0" borderId="127" xfId="1" applyNumberFormat="1" applyFont="1" applyFill="1" applyBorder="1" applyAlignment="1" applyProtection="1">
      <alignment horizontal="right" vertical="center"/>
    </xf>
    <xf numFmtId="169" fontId="20" fillId="0" borderId="113" xfId="1" applyNumberFormat="1" applyFont="1" applyFill="1" applyBorder="1" applyAlignment="1" applyProtection="1">
      <alignment horizontal="right" vertical="center"/>
    </xf>
    <xf numFmtId="169" fontId="20" fillId="0" borderId="128" xfId="1" applyNumberFormat="1" applyFont="1" applyFill="1" applyBorder="1" applyAlignment="1" applyProtection="1">
      <alignment horizontal="right" vertical="center"/>
    </xf>
    <xf numFmtId="169" fontId="20" fillId="7" borderId="88" xfId="1" applyNumberFormat="1" applyFont="1" applyFill="1" applyBorder="1" applyAlignment="1" applyProtection="1">
      <alignment horizontal="right" vertical="center"/>
    </xf>
    <xf numFmtId="169" fontId="20" fillId="7" borderId="83" xfId="1" applyNumberFormat="1" applyFont="1" applyFill="1" applyBorder="1" applyAlignment="1" applyProtection="1">
      <alignment horizontal="right" vertical="center"/>
    </xf>
    <xf numFmtId="170" fontId="21" fillId="0" borderId="132" xfId="1" applyNumberFormat="1" applyFont="1" applyFill="1" applyBorder="1" applyAlignment="1" applyProtection="1">
      <alignment horizontal="right" vertical="center" wrapText="1"/>
    </xf>
    <xf numFmtId="170" fontId="21" fillId="0" borderId="133" xfId="1" applyNumberFormat="1" applyFont="1" applyFill="1" applyBorder="1" applyAlignment="1" applyProtection="1">
      <alignment horizontal="right" vertical="center" wrapText="1"/>
    </xf>
    <xf numFmtId="170" fontId="21" fillId="0" borderId="134" xfId="1" applyNumberFormat="1" applyFont="1" applyFill="1" applyBorder="1" applyAlignment="1" applyProtection="1">
      <alignment horizontal="right" vertical="center" wrapText="1"/>
    </xf>
    <xf numFmtId="170" fontId="21" fillId="0" borderId="135" xfId="1" applyNumberFormat="1" applyFont="1" applyFill="1" applyBorder="1" applyAlignment="1" applyProtection="1">
      <alignment horizontal="right" vertical="center" wrapText="1"/>
    </xf>
    <xf numFmtId="0" fontId="39" fillId="0" borderId="136" xfId="10" applyNumberFormat="1" applyFont="1" applyFill="1" applyBorder="1" applyAlignment="1" applyProtection="1">
      <alignment horizontal="right" vertical="center"/>
    </xf>
    <xf numFmtId="0" fontId="39" fillId="0" borderId="134" xfId="10" applyNumberFormat="1" applyFont="1" applyFill="1" applyBorder="1" applyAlignment="1" applyProtection="1">
      <alignment horizontal="right" vertical="center"/>
    </xf>
    <xf numFmtId="0" fontId="39" fillId="7" borderId="134" xfId="10" applyNumberFormat="1" applyFont="1" applyFill="1" applyBorder="1" applyAlignment="1" applyProtection="1">
      <alignment horizontal="right" vertical="center"/>
    </xf>
    <xf numFmtId="3" fontId="20" fillId="7" borderId="134" xfId="1" applyNumberFormat="1" applyFont="1" applyFill="1" applyBorder="1" applyAlignment="1" applyProtection="1">
      <alignment horizontal="right" vertical="center"/>
    </xf>
    <xf numFmtId="3" fontId="23" fillId="0" borderId="134" xfId="1" applyNumberFormat="1" applyFont="1" applyFill="1" applyBorder="1" applyAlignment="1" applyProtection="1">
      <alignment horizontal="right" vertical="center"/>
    </xf>
    <xf numFmtId="3" fontId="23" fillId="7" borderId="134" xfId="1" applyNumberFormat="1" applyFont="1" applyFill="1" applyBorder="1" applyAlignment="1" applyProtection="1">
      <alignment horizontal="right" vertical="center"/>
    </xf>
    <xf numFmtId="3" fontId="23" fillId="0" borderId="134" xfId="1" applyNumberFormat="1" applyFont="1" applyFill="1" applyBorder="1" applyAlignment="1" applyProtection="1">
      <alignment horizontal="center" vertical="center"/>
    </xf>
    <xf numFmtId="172" fontId="40" fillId="4" borderId="136" xfId="14" applyNumberFormat="1" applyFont="1" applyFill="1" applyBorder="1" applyAlignment="1" applyProtection="1">
      <alignment horizontal="right" vertical="center"/>
    </xf>
    <xf numFmtId="172" fontId="40" fillId="4" borderId="134" xfId="14" applyNumberFormat="1" applyFont="1" applyFill="1" applyBorder="1" applyAlignment="1" applyProtection="1">
      <alignment horizontal="right" vertical="center"/>
    </xf>
    <xf numFmtId="0" fontId="63" fillId="4" borderId="134" xfId="10" applyNumberFormat="1" applyFont="1" applyFill="1" applyBorder="1" applyAlignment="1" applyProtection="1">
      <alignment horizontal="right" vertical="center" wrapText="1"/>
    </xf>
    <xf numFmtId="172" fontId="39" fillId="0" borderId="134" xfId="14" applyNumberFormat="1" applyFont="1" applyFill="1" applyBorder="1" applyAlignment="1" applyProtection="1">
      <alignment horizontal="right" vertical="center"/>
    </xf>
    <xf numFmtId="172" fontId="39" fillId="7" borderId="134" xfId="14" applyNumberFormat="1" applyFont="1" applyFill="1" applyBorder="1" applyAlignment="1" applyProtection="1">
      <alignment horizontal="right" vertical="center"/>
    </xf>
    <xf numFmtId="0" fontId="36" fillId="0" borderId="0" xfId="10" applyNumberFormat="1" applyFont="1" applyFill="1" applyBorder="1" applyAlignment="1" applyProtection="1">
      <alignment horizontal="center" vertical="center"/>
    </xf>
    <xf numFmtId="2" fontId="39" fillId="0" borderId="134" xfId="10" applyNumberFormat="1" applyFont="1" applyFill="1" applyBorder="1" applyAlignment="1" applyProtection="1">
      <alignment horizontal="right" vertical="center"/>
    </xf>
    <xf numFmtId="0" fontId="26" fillId="0" borderId="99" xfId="5" applyNumberFormat="1" applyFont="1" applyFill="1" applyBorder="1" applyAlignment="1" applyProtection="1">
      <alignment horizontal="center" vertical="center"/>
    </xf>
    <xf numFmtId="0" fontId="26" fillId="0" borderId="103" xfId="5" applyNumberFormat="1" applyFont="1" applyFill="1" applyBorder="1" applyAlignment="1" applyProtection="1">
      <alignment horizontal="center" vertical="center"/>
    </xf>
    <xf numFmtId="0" fontId="26" fillId="0" borderId="37" xfId="5" applyNumberFormat="1" applyFont="1" applyFill="1" applyBorder="1" applyAlignment="1" applyProtection="1">
      <alignment vertical="center"/>
    </xf>
    <xf numFmtId="0" fontId="26" fillId="0" borderId="29" xfId="5" applyNumberFormat="1" applyFont="1" applyFill="1" applyBorder="1" applyAlignment="1" applyProtection="1">
      <alignment vertical="center"/>
    </xf>
    <xf numFmtId="0" fontId="26" fillId="0" borderId="38" xfId="5" applyNumberFormat="1" applyFont="1" applyFill="1" applyBorder="1" applyAlignment="1" applyProtection="1">
      <alignment vertical="center"/>
    </xf>
    <xf numFmtId="2" fontId="26" fillId="0" borderId="46" xfId="5" applyNumberFormat="1" applyFont="1" applyFill="1" applyBorder="1" applyAlignment="1" applyProtection="1">
      <alignment vertical="center"/>
    </xf>
    <xf numFmtId="2" fontId="26" fillId="0" borderId="38" xfId="5" applyNumberFormat="1" applyFont="1" applyFill="1" applyBorder="1" applyAlignment="1" applyProtection="1">
      <alignment vertical="center"/>
    </xf>
    <xf numFmtId="0" fontId="26" fillId="0" borderId="35" xfId="5" applyNumberFormat="1" applyFont="1" applyFill="1" applyBorder="1" applyAlignment="1" applyProtection="1">
      <alignment horizontal="left" vertical="center"/>
    </xf>
    <xf numFmtId="1" fontId="26" fillId="0" borderId="138" xfId="5" applyNumberFormat="1" applyFont="1" applyFill="1" applyBorder="1" applyAlignment="1" applyProtection="1">
      <alignment vertical="center"/>
    </xf>
    <xf numFmtId="0" fontId="26" fillId="0" borderId="0" xfId="5" applyNumberFormat="1" applyFont="1" applyFill="1" applyBorder="1" applyAlignment="1" applyProtection="1">
      <alignment horizontal="center" vertical="center"/>
    </xf>
    <xf numFmtId="1" fontId="26" fillId="0" borderId="139" xfId="5" applyNumberFormat="1" applyFont="1" applyFill="1" applyBorder="1" applyAlignment="1" applyProtection="1">
      <alignment vertical="center"/>
    </xf>
    <xf numFmtId="1" fontId="26" fillId="0" borderId="140" xfId="5" applyNumberFormat="1" applyFont="1" applyFill="1" applyBorder="1" applyAlignment="1" applyProtection="1">
      <alignment vertical="center"/>
    </xf>
    <xf numFmtId="1" fontId="26" fillId="0" borderId="141" xfId="5" applyNumberFormat="1" applyFont="1" applyFill="1" applyBorder="1" applyAlignment="1" applyProtection="1">
      <alignment vertical="center"/>
    </xf>
    <xf numFmtId="1" fontId="26" fillId="0" borderId="100" xfId="5" applyNumberFormat="1" applyFont="1" applyFill="1" applyBorder="1" applyAlignment="1" applyProtection="1">
      <alignment horizontal="center" vertical="center"/>
    </xf>
    <xf numFmtId="1" fontId="26" fillId="0" borderId="62" xfId="5" applyNumberFormat="1" applyFont="1" applyFill="1" applyBorder="1" applyAlignment="1" applyProtection="1">
      <alignment vertical="center"/>
    </xf>
    <xf numFmtId="166" fontId="26" fillId="0" borderId="30" xfId="14" applyNumberFormat="1" applyFont="1" applyFill="1" applyBorder="1" applyAlignment="1" applyProtection="1">
      <alignment vertical="center"/>
    </xf>
    <xf numFmtId="0" fontId="26" fillId="2" borderId="35" xfId="5" applyNumberFormat="1" applyFont="1" applyFill="1" applyBorder="1" applyAlignment="1" applyProtection="1">
      <alignment vertical="center"/>
    </xf>
    <xf numFmtId="0" fontId="26" fillId="0" borderId="46" xfId="5" applyNumberFormat="1" applyFont="1" applyFill="1" applyBorder="1" applyAlignment="1" applyProtection="1">
      <alignment vertical="center"/>
    </xf>
    <xf numFmtId="0" fontId="26" fillId="2" borderId="33" xfId="5" applyNumberFormat="1" applyFont="1" applyFill="1" applyBorder="1" applyAlignment="1" applyProtection="1">
      <alignment vertical="center"/>
    </xf>
    <xf numFmtId="0" fontId="26" fillId="2" borderId="36" xfId="5" applyNumberFormat="1" applyFont="1" applyFill="1" applyBorder="1" applyAlignment="1" applyProtection="1">
      <alignment vertical="center"/>
    </xf>
    <xf numFmtId="0" fontId="26" fillId="2" borderId="30" xfId="5" applyNumberFormat="1" applyFont="1" applyFill="1" applyBorder="1" applyAlignment="1" applyProtection="1">
      <alignment vertical="center"/>
    </xf>
    <xf numFmtId="14" fontId="66" fillId="0" borderId="142" xfId="0" applyNumberFormat="1" applyFont="1" applyFill="1" applyBorder="1" applyAlignment="1" applyProtection="1">
      <alignment horizontal="center" vertical="center"/>
    </xf>
    <xf numFmtId="14" fontId="67" fillId="0" borderId="142" xfId="0" applyNumberFormat="1" applyFont="1" applyFill="1" applyBorder="1" applyAlignment="1" applyProtection="1">
      <alignment horizontal="center" vertical="center"/>
    </xf>
    <xf numFmtId="0" fontId="67" fillId="0" borderId="18" xfId="0" applyNumberFormat="1" applyFont="1" applyFill="1" applyBorder="1" applyAlignment="1" applyProtection="1">
      <alignment horizontal="center" vertical="center"/>
    </xf>
    <xf numFmtId="0" fontId="69" fillId="0" borderId="18" xfId="0" applyNumberFormat="1" applyFont="1" applyFill="1" applyBorder="1" applyAlignment="1" applyProtection="1">
      <alignment horizontal="left" vertical="center"/>
    </xf>
    <xf numFmtId="0" fontId="69" fillId="0" borderId="18" xfId="0" applyNumberFormat="1" applyFont="1" applyFill="1" applyBorder="1" applyAlignment="1" applyProtection="1">
      <alignment horizontal="center" vertical="center"/>
    </xf>
    <xf numFmtId="0" fontId="69" fillId="8" borderId="0" xfId="0" applyNumberFormat="1" applyFont="1" applyFill="1" applyBorder="1" applyAlignment="1" applyProtection="1">
      <alignment horizontal="center" vertical="center"/>
    </xf>
    <xf numFmtId="0" fontId="69" fillId="8" borderId="25" xfId="0" applyNumberFormat="1" applyFont="1" applyFill="1" applyBorder="1" applyAlignment="1" applyProtection="1">
      <alignment horizontal="left" vertical="center"/>
    </xf>
    <xf numFmtId="2" fontId="69" fillId="0" borderId="25" xfId="0" applyNumberFormat="1" applyFont="1" applyFill="1" applyBorder="1" applyAlignment="1" applyProtection="1">
      <alignment horizontal="left" vertical="center"/>
    </xf>
    <xf numFmtId="0" fontId="67" fillId="0" borderId="142" xfId="0" applyNumberFormat="1" applyFont="1" applyFill="1" applyBorder="1" applyAlignment="1" applyProtection="1">
      <alignment horizontal="center" vertical="center"/>
    </xf>
    <xf numFmtId="0" fontId="70" fillId="0" borderId="0" xfId="0" applyNumberFormat="1" applyFont="1" applyFill="1" applyBorder="1" applyAlignment="1" applyProtection="1">
      <alignment horizontal="center" vertical="center"/>
    </xf>
    <xf numFmtId="0" fontId="71" fillId="0" borderId="0" xfId="0" applyNumberFormat="1" applyFont="1" applyFill="1" applyBorder="1" applyAlignment="1" applyProtection="1">
      <alignment horizontal="center" vertical="center"/>
    </xf>
    <xf numFmtId="3" fontId="67" fillId="9" borderId="18" xfId="0" applyNumberFormat="1" applyFont="1" applyFill="1" applyBorder="1" applyAlignment="1" applyProtection="1">
      <alignment horizontal="right" vertical="center" wrapText="1"/>
    </xf>
    <xf numFmtId="172" fontId="69" fillId="0" borderId="18" xfId="0" applyNumberFormat="1" applyFont="1" applyFill="1" applyBorder="1" applyAlignment="1" applyProtection="1">
      <alignment horizontal="right" vertical="center" wrapText="1"/>
    </xf>
    <xf numFmtId="3" fontId="69" fillId="0" borderId="18" xfId="0" applyNumberFormat="1" applyFont="1" applyFill="1" applyBorder="1" applyAlignment="1" applyProtection="1">
      <alignment horizontal="right" vertical="center" wrapText="1"/>
    </xf>
    <xf numFmtId="3" fontId="69" fillId="0" borderId="19" xfId="0" applyNumberFormat="1" applyFont="1" applyFill="1" applyBorder="1" applyAlignment="1" applyProtection="1">
      <alignment horizontal="right" vertical="center" wrapText="1"/>
    </xf>
    <xf numFmtId="3" fontId="69" fillId="0" borderId="5" xfId="0" applyNumberFormat="1" applyFont="1" applyFill="1" applyBorder="1" applyAlignment="1" applyProtection="1">
      <alignment horizontal="right" vertical="center" wrapText="1"/>
    </xf>
    <xf numFmtId="172" fontId="72" fillId="0" borderId="18" xfId="0" applyNumberFormat="1" applyFont="1" applyFill="1" applyBorder="1" applyAlignment="1" applyProtection="1">
      <alignment horizontal="right" vertical="center" wrapText="1"/>
    </xf>
    <xf numFmtId="3" fontId="69" fillId="0" borderId="1" xfId="0" applyNumberFormat="1" applyFont="1" applyFill="1" applyBorder="1" applyAlignment="1" applyProtection="1">
      <alignment horizontal="right" vertical="center" wrapText="1"/>
    </xf>
    <xf numFmtId="3" fontId="69" fillId="0" borderId="3" xfId="0" applyNumberFormat="1" applyFont="1" applyFill="1" applyBorder="1" applyAlignment="1" applyProtection="1">
      <alignment horizontal="right" vertical="center" wrapText="1"/>
    </xf>
    <xf numFmtId="3" fontId="69" fillId="0" borderId="6" xfId="0" applyNumberFormat="1" applyFont="1" applyFill="1" applyBorder="1" applyAlignment="1" applyProtection="1">
      <alignment horizontal="right" vertical="center" wrapText="1"/>
    </xf>
    <xf numFmtId="3" fontId="69" fillId="0" borderId="2" xfId="0" applyNumberFormat="1" applyFont="1" applyFill="1" applyBorder="1" applyAlignment="1" applyProtection="1">
      <alignment horizontal="right" vertical="center" wrapText="1"/>
    </xf>
    <xf numFmtId="172" fontId="69" fillId="0" borderId="4" xfId="0" applyNumberFormat="1" applyFont="1" applyFill="1" applyBorder="1" applyAlignment="1" applyProtection="1">
      <alignment horizontal="right" vertical="center" wrapText="1"/>
    </xf>
    <xf numFmtId="3" fontId="69" fillId="0" borderId="4" xfId="0" applyNumberFormat="1" applyFont="1" applyFill="1" applyBorder="1" applyAlignment="1" applyProtection="1">
      <alignment horizontal="right" vertical="center" wrapText="1"/>
    </xf>
    <xf numFmtId="3" fontId="67" fillId="9" borderId="18" xfId="0" applyNumberFormat="1" applyFont="1" applyFill="1" applyBorder="1" applyAlignment="1" applyProtection="1">
      <alignment horizontal="right" vertical="center"/>
    </xf>
    <xf numFmtId="3" fontId="73" fillId="10" borderId="18" xfId="0" applyNumberFormat="1" applyFont="1" applyFill="1" applyBorder="1" applyAlignment="1" applyProtection="1">
      <alignment horizontal="right" vertical="center" wrapText="1"/>
    </xf>
    <xf numFmtId="3" fontId="73" fillId="10" borderId="18" xfId="0" applyNumberFormat="1" applyFont="1" applyFill="1" applyBorder="1" applyAlignment="1" applyProtection="1">
      <alignment horizontal="right" vertical="center"/>
    </xf>
    <xf numFmtId="3" fontId="69" fillId="8" borderId="18" xfId="0" applyNumberFormat="1" applyFont="1" applyFill="1" applyBorder="1" applyAlignment="1" applyProtection="1">
      <alignment horizontal="right" vertical="center" wrapText="1"/>
    </xf>
    <xf numFmtId="3" fontId="67" fillId="0" borderId="18" xfId="0" applyNumberFormat="1" applyFont="1" applyFill="1" applyBorder="1" applyAlignment="1" applyProtection="1">
      <alignment horizontal="right" vertical="center" wrapText="1"/>
    </xf>
    <xf numFmtId="3" fontId="73" fillId="10" borderId="19" xfId="0" applyNumberFormat="1" applyFont="1" applyFill="1" applyBorder="1" applyAlignment="1" applyProtection="1">
      <alignment horizontal="right" vertical="center" wrapText="1"/>
    </xf>
    <xf numFmtId="3" fontId="69" fillId="0" borderId="18" xfId="0" applyNumberFormat="1" applyFont="1" applyFill="1" applyBorder="1" applyAlignment="1" applyProtection="1">
      <alignment horizontal="right" vertical="center"/>
    </xf>
    <xf numFmtId="0" fontId="67" fillId="9" borderId="18" xfId="0" applyNumberFormat="1" applyFont="1" applyFill="1" applyBorder="1" applyAlignment="1" applyProtection="1">
      <alignment horizontal="right" vertical="center"/>
    </xf>
    <xf numFmtId="14" fontId="21" fillId="0" borderId="109" xfId="0" applyNumberFormat="1" applyFont="1" applyFill="1" applyBorder="1" applyAlignment="1" applyProtection="1">
      <alignment horizontal="center" vertical="center"/>
    </xf>
    <xf numFmtId="0" fontId="12" fillId="0" borderId="0" xfId="0" applyNumberFormat="1" applyFont="1" applyFill="1" applyBorder="1" applyAlignment="1" applyProtection="1">
      <alignment horizontal="left"/>
    </xf>
    <xf numFmtId="171" fontId="12" fillId="0" borderId="18" xfId="0" applyNumberFormat="1" applyFont="1" applyFill="1" applyBorder="1" applyAlignment="1" applyProtection="1">
      <alignment horizontal="right" vertical="center"/>
    </xf>
    <xf numFmtId="0" fontId="12" fillId="0" borderId="18" xfId="0" applyNumberFormat="1" applyFont="1" applyFill="1" applyBorder="1" applyAlignment="1" applyProtection="1">
      <alignment horizontal="right" vertical="center"/>
    </xf>
    <xf numFmtId="171" fontId="12" fillId="11" borderId="18" xfId="0" applyNumberFormat="1" applyFont="1" applyFill="1" applyBorder="1" applyAlignment="1" applyProtection="1">
      <alignment horizontal="right" vertical="center"/>
    </xf>
    <xf numFmtId="0" fontId="12" fillId="11" borderId="18" xfId="0" applyNumberFormat="1" applyFont="1" applyFill="1" applyBorder="1" applyAlignment="1" applyProtection="1">
      <alignment horizontal="right" vertical="center"/>
    </xf>
    <xf numFmtId="171" fontId="21" fillId="9" borderId="18" xfId="0" applyNumberFormat="1" applyFont="1" applyFill="1" applyBorder="1" applyAlignment="1" applyProtection="1">
      <alignment horizontal="right" vertical="center"/>
    </xf>
    <xf numFmtId="0" fontId="21" fillId="9" borderId="18" xfId="0" applyNumberFormat="1" applyFont="1" applyFill="1" applyBorder="1" applyAlignment="1" applyProtection="1">
      <alignment horizontal="right" vertical="center"/>
    </xf>
    <xf numFmtId="171" fontId="21" fillId="11" borderId="18" xfId="0" applyNumberFormat="1" applyFont="1" applyFill="1" applyBorder="1" applyAlignment="1" applyProtection="1">
      <alignment horizontal="right" vertical="center"/>
    </xf>
    <xf numFmtId="0" fontId="21" fillId="11" borderId="18" xfId="0" applyNumberFormat="1" applyFont="1" applyFill="1" applyBorder="1" applyAlignment="1" applyProtection="1">
      <alignment horizontal="right" vertical="center"/>
    </xf>
    <xf numFmtId="3" fontId="12" fillId="0" borderId="18" xfId="0" applyNumberFormat="1" applyFont="1" applyFill="1" applyBorder="1" applyAlignment="1" applyProtection="1">
      <alignment horizontal="right" vertical="center"/>
    </xf>
    <xf numFmtId="171" fontId="74" fillId="10" borderId="18" xfId="0" applyNumberFormat="1" applyFont="1" applyFill="1" applyBorder="1" applyAlignment="1" applyProtection="1">
      <alignment horizontal="left" vertical="center"/>
    </xf>
    <xf numFmtId="0" fontId="74" fillId="10" borderId="18" xfId="0" applyNumberFormat="1" applyFont="1" applyFill="1" applyBorder="1" applyAlignment="1" applyProtection="1">
      <alignment horizontal="left" vertical="center"/>
    </xf>
    <xf numFmtId="0" fontId="74" fillId="10" borderId="18" xfId="0" applyNumberFormat="1" applyFont="1" applyFill="1" applyBorder="1" applyAlignment="1" applyProtection="1">
      <alignment horizontal="right" vertical="center"/>
    </xf>
    <xf numFmtId="0" fontId="21" fillId="0" borderId="108" xfId="0" applyNumberFormat="1" applyFont="1" applyFill="1" applyBorder="1" applyAlignment="1" applyProtection="1">
      <alignment horizontal="left"/>
    </xf>
    <xf numFmtId="14" fontId="12" fillId="0" borderId="0" xfId="0" applyNumberFormat="1" applyFont="1" applyFill="1" applyBorder="1" applyAlignment="1" applyProtection="1">
      <alignment horizontal="left"/>
    </xf>
    <xf numFmtId="14" fontId="21" fillId="0" borderId="109" xfId="0" applyNumberFormat="1" applyFont="1" applyFill="1" applyBorder="1" applyAlignment="1" applyProtection="1">
      <alignment horizontal="center"/>
    </xf>
    <xf numFmtId="172" fontId="21" fillId="11" borderId="18" xfId="0" applyNumberFormat="1" applyFont="1" applyFill="1" applyBorder="1" applyAlignment="1" applyProtection="1">
      <alignment horizontal="right" vertical="center"/>
    </xf>
    <xf numFmtId="172" fontId="12" fillId="0" borderId="18" xfId="0" applyNumberFormat="1" applyFont="1" applyFill="1" applyBorder="1" applyAlignment="1" applyProtection="1">
      <alignment horizontal="right" vertical="center"/>
    </xf>
    <xf numFmtId="172" fontId="21" fillId="10" borderId="18" xfId="0" applyNumberFormat="1" applyFont="1" applyFill="1" applyBorder="1" applyAlignment="1" applyProtection="1">
      <alignment horizontal="right" vertical="center"/>
    </xf>
    <xf numFmtId="0" fontId="21" fillId="0" borderId="145" xfId="0" applyNumberFormat="1" applyFont="1" applyFill="1" applyBorder="1" applyAlignment="1" applyProtection="1">
      <alignment horizontal="left" vertical="center"/>
    </xf>
    <xf numFmtId="0" fontId="12" fillId="0" borderId="18" xfId="0" applyNumberFormat="1" applyFont="1" applyFill="1" applyBorder="1" applyAlignment="1" applyProtection="1">
      <alignment horizontal="center" vertical="center"/>
    </xf>
    <xf numFmtId="0" fontId="21" fillId="11" borderId="18" xfId="0" applyNumberFormat="1" applyFont="1" applyFill="1" applyBorder="1" applyAlignment="1" applyProtection="1">
      <alignment horizontal="center" vertical="center"/>
    </xf>
    <xf numFmtId="0" fontId="21" fillId="10" borderId="18" xfId="0" applyNumberFormat="1" applyFont="1" applyFill="1" applyBorder="1" applyAlignment="1" applyProtection="1">
      <alignment horizontal="center" vertical="center"/>
    </xf>
    <xf numFmtId="0" fontId="21" fillId="10" borderId="18" xfId="0" applyNumberFormat="1" applyFont="1" applyFill="1" applyBorder="1" applyAlignment="1" applyProtection="1">
      <alignment horizontal="right" vertical="center"/>
    </xf>
    <xf numFmtId="0" fontId="75" fillId="0" borderId="0" xfId="0" applyNumberFormat="1" applyFont="1" applyFill="1" applyBorder="1" applyAlignment="1" applyProtection="1">
      <alignment horizontal="left"/>
    </xf>
    <xf numFmtId="2" fontId="12" fillId="0" borderId="18" xfId="0" applyNumberFormat="1" applyFont="1" applyFill="1" applyBorder="1" applyAlignment="1" applyProtection="1">
      <alignment horizontal="right" vertical="center"/>
    </xf>
    <xf numFmtId="0" fontId="76" fillId="0" borderId="18" xfId="0" applyNumberFormat="1" applyFont="1" applyFill="1" applyBorder="1" applyAlignment="1" applyProtection="1">
      <alignment horizontal="right" vertical="center"/>
    </xf>
    <xf numFmtId="0" fontId="12" fillId="0" borderId="0" xfId="0" applyNumberFormat="1" applyFont="1" applyFill="1" applyBorder="1" applyAlignment="1" applyProtection="1">
      <alignment horizontal="right"/>
    </xf>
    <xf numFmtId="0" fontId="12" fillId="0" borderId="4" xfId="0" applyNumberFormat="1" applyFont="1" applyFill="1" applyBorder="1" applyAlignment="1" applyProtection="1">
      <alignment horizontal="right" vertical="center"/>
    </xf>
    <xf numFmtId="0" fontId="12" fillId="0" borderId="5" xfId="0" applyNumberFormat="1" applyFont="1" applyFill="1" applyBorder="1" applyAlignment="1" applyProtection="1">
      <alignment horizontal="right" vertical="center"/>
    </xf>
    <xf numFmtId="0" fontId="12" fillId="10" borderId="4" xfId="0" applyNumberFormat="1" applyFont="1" applyFill="1" applyBorder="1" applyAlignment="1" applyProtection="1">
      <alignment horizontal="right" vertical="center"/>
    </xf>
    <xf numFmtId="3" fontId="12" fillId="0" borderId="4" xfId="0" applyNumberFormat="1" applyFont="1" applyFill="1" applyBorder="1" applyAlignment="1" applyProtection="1">
      <alignment horizontal="right" vertical="center"/>
    </xf>
    <xf numFmtId="172" fontId="12" fillId="0" borderId="4" xfId="0" applyNumberFormat="1" applyFont="1" applyFill="1" applyBorder="1" applyAlignment="1" applyProtection="1">
      <alignment horizontal="right" vertical="center"/>
    </xf>
    <xf numFmtId="172" fontId="12" fillId="11" borderId="4" xfId="0" applyNumberFormat="1" applyFont="1" applyFill="1" applyBorder="1" applyAlignment="1" applyProtection="1">
      <alignment horizontal="right" vertical="center"/>
    </xf>
    <xf numFmtId="2" fontId="12" fillId="11" borderId="18" xfId="0" applyNumberFormat="1" applyFont="1" applyFill="1" applyBorder="1" applyAlignment="1" applyProtection="1">
      <alignment horizontal="right" vertical="center"/>
    </xf>
    <xf numFmtId="0" fontId="12" fillId="10" borderId="18" xfId="0" applyNumberFormat="1" applyFont="1" applyFill="1" applyBorder="1" applyAlignment="1" applyProtection="1">
      <alignment horizontal="right" vertical="center"/>
    </xf>
    <xf numFmtId="2" fontId="12" fillId="10" borderId="18" xfId="0" applyNumberFormat="1" applyFont="1" applyFill="1" applyBorder="1" applyAlignment="1" applyProtection="1">
      <alignment horizontal="right" vertical="center"/>
    </xf>
    <xf numFmtId="2" fontId="76" fillId="0" borderId="18" xfId="0" applyNumberFormat="1" applyFont="1" applyFill="1" applyBorder="1" applyAlignment="1" applyProtection="1">
      <alignment horizontal="right" vertical="center"/>
    </xf>
    <xf numFmtId="0" fontId="12" fillId="0" borderId="18" xfId="0" applyNumberFormat="1" applyFont="1" applyFill="1" applyBorder="1" applyAlignment="1" applyProtection="1">
      <alignment horizontal="left" vertical="center" wrapText="1"/>
    </xf>
    <xf numFmtId="0" fontId="12" fillId="0" borderId="19" xfId="0" applyNumberFormat="1" applyFont="1" applyFill="1" applyBorder="1" applyAlignment="1" applyProtection="1">
      <alignment horizontal="right" vertical="center"/>
    </xf>
    <xf numFmtId="0" fontId="76" fillId="10" borderId="19" xfId="0" applyNumberFormat="1" applyFont="1" applyFill="1" applyBorder="1" applyAlignment="1" applyProtection="1">
      <alignment horizontal="right" vertical="center"/>
    </xf>
    <xf numFmtId="0" fontId="76" fillId="10" borderId="18" xfId="0" applyNumberFormat="1" applyFont="1" applyFill="1" applyBorder="1" applyAlignment="1" applyProtection="1">
      <alignment horizontal="right" vertical="center"/>
    </xf>
    <xf numFmtId="0" fontId="77" fillId="0" borderId="0" xfId="0" applyNumberFormat="1" applyFont="1" applyFill="1" applyBorder="1" applyAlignment="1" applyProtection="1">
      <alignment horizontal="left"/>
    </xf>
    <xf numFmtId="0" fontId="12" fillId="11" borderId="4" xfId="0" applyNumberFormat="1" applyFont="1" applyFill="1" applyBorder="1" applyAlignment="1" applyProtection="1">
      <alignment horizontal="right" vertical="center"/>
    </xf>
    <xf numFmtId="0" fontId="12" fillId="0" borderId="0" xfId="0" applyNumberFormat="1" applyFont="1" applyFill="1" applyBorder="1" applyAlignment="1" applyProtection="1">
      <alignment horizontal="left" vertical="center"/>
    </xf>
    <xf numFmtId="0" fontId="12" fillId="0" borderId="18" xfId="0" applyNumberFormat="1" applyFont="1" applyFill="1" applyBorder="1" applyAlignment="1" applyProtection="1">
      <alignment horizontal="left"/>
    </xf>
    <xf numFmtId="0" fontId="76" fillId="0" borderId="4" xfId="0" applyNumberFormat="1" applyFont="1" applyFill="1" applyBorder="1" applyAlignment="1" applyProtection="1">
      <alignment horizontal="right" vertical="center"/>
    </xf>
    <xf numFmtId="0" fontId="12" fillId="0" borderId="0" xfId="0" applyNumberFormat="1" applyFont="1" applyFill="1" applyBorder="1" applyAlignment="1" applyProtection="1">
      <alignment horizontal="center" vertical="center"/>
    </xf>
    <xf numFmtId="0" fontId="12" fillId="11" borderId="19" xfId="0" applyNumberFormat="1" applyFont="1" applyFill="1" applyBorder="1" applyAlignment="1" applyProtection="1">
      <alignment horizontal="right" vertical="center"/>
    </xf>
    <xf numFmtId="0" fontId="12" fillId="11" borderId="18" xfId="0" applyNumberFormat="1" applyFont="1" applyFill="1" applyBorder="1" applyAlignment="1" applyProtection="1">
      <alignment horizontal="right" vertical="center" wrapText="1"/>
    </xf>
    <xf numFmtId="9" fontId="12" fillId="0" borderId="18" xfId="0" applyNumberFormat="1" applyFont="1" applyFill="1" applyBorder="1" applyAlignment="1" applyProtection="1">
      <alignment horizontal="right" vertical="center"/>
    </xf>
    <xf numFmtId="9" fontId="12" fillId="11" borderId="18" xfId="0" applyNumberFormat="1" applyFont="1" applyFill="1" applyBorder="1" applyAlignment="1" applyProtection="1">
      <alignment horizontal="right" vertical="center"/>
    </xf>
    <xf numFmtId="9" fontId="12" fillId="10" borderId="18" xfId="0" applyNumberFormat="1" applyFont="1" applyFill="1" applyBorder="1" applyAlignment="1" applyProtection="1">
      <alignment horizontal="right" vertical="center"/>
    </xf>
    <xf numFmtId="169" fontId="76" fillId="0" borderId="18" xfId="0" applyNumberFormat="1" applyFont="1" applyFill="1" applyBorder="1" applyAlignment="1" applyProtection="1">
      <alignment horizontal="right" vertical="center"/>
    </xf>
    <xf numFmtId="169" fontId="76" fillId="0" borderId="19" xfId="0" applyNumberFormat="1" applyFont="1" applyFill="1" applyBorder="1" applyAlignment="1" applyProtection="1">
      <alignment horizontal="right" vertical="center"/>
    </xf>
    <xf numFmtId="3" fontId="76" fillId="0" borderId="18" xfId="0" applyNumberFormat="1" applyFont="1" applyFill="1" applyBorder="1" applyAlignment="1" applyProtection="1">
      <alignment horizontal="right" vertical="center"/>
    </xf>
    <xf numFmtId="3" fontId="78" fillId="0" borderId="18" xfId="0" applyNumberFormat="1" applyFont="1" applyFill="1" applyBorder="1" applyAlignment="1" applyProtection="1">
      <alignment horizontal="right" vertical="center"/>
    </xf>
    <xf numFmtId="168" fontId="76" fillId="0" borderId="18" xfId="0" applyNumberFormat="1" applyFont="1" applyFill="1" applyBorder="1" applyAlignment="1" applyProtection="1">
      <alignment horizontal="right" vertical="center"/>
    </xf>
    <xf numFmtId="169" fontId="79" fillId="0" borderId="18" xfId="0" applyNumberFormat="1" applyFont="1" applyFill="1" applyBorder="1" applyAlignment="1" applyProtection="1">
      <alignment horizontal="right" vertical="center"/>
    </xf>
    <xf numFmtId="169" fontId="76" fillId="11" borderId="18" xfId="0" applyNumberFormat="1" applyFont="1" applyFill="1" applyBorder="1" applyAlignment="1" applyProtection="1">
      <alignment horizontal="right" vertical="center"/>
    </xf>
    <xf numFmtId="170" fontId="79" fillId="0" borderId="18" xfId="0" applyNumberFormat="1" applyFont="1" applyFill="1" applyBorder="1" applyAlignment="1" applyProtection="1">
      <alignment horizontal="right" vertical="center" wrapText="1"/>
    </xf>
    <xf numFmtId="170" fontId="79" fillId="0" borderId="19" xfId="0" applyNumberFormat="1" applyFont="1" applyFill="1" applyBorder="1" applyAlignment="1" applyProtection="1">
      <alignment horizontal="right" vertical="center" wrapText="1"/>
    </xf>
    <xf numFmtId="169" fontId="80" fillId="0" borderId="0" xfId="0" applyNumberFormat="1" applyFont="1" applyFill="1" applyBorder="1" applyAlignment="1" applyProtection="1">
      <alignment horizontal="left" vertical="center"/>
    </xf>
    <xf numFmtId="170" fontId="79" fillId="11" borderId="18" xfId="0" applyNumberFormat="1" applyFont="1" applyFill="1" applyBorder="1" applyAlignment="1" applyProtection="1">
      <alignment horizontal="right" vertical="center" wrapText="1"/>
    </xf>
    <xf numFmtId="170" fontId="79" fillId="11" borderId="19" xfId="0" applyNumberFormat="1" applyFont="1" applyFill="1" applyBorder="1" applyAlignment="1" applyProtection="1">
      <alignment horizontal="right" vertical="center" wrapText="1"/>
    </xf>
    <xf numFmtId="170" fontId="79" fillId="10" borderId="18" xfId="0" applyNumberFormat="1" applyFont="1" applyFill="1" applyBorder="1" applyAlignment="1" applyProtection="1">
      <alignment horizontal="right" vertical="center"/>
    </xf>
    <xf numFmtId="170" fontId="79" fillId="10" borderId="19" xfId="0" applyNumberFormat="1" applyFont="1" applyFill="1" applyBorder="1" applyAlignment="1" applyProtection="1">
      <alignment horizontal="right" vertical="center"/>
    </xf>
    <xf numFmtId="0" fontId="76" fillId="0" borderId="18" xfId="0" applyNumberFormat="1" applyFont="1" applyFill="1" applyBorder="1" applyAlignment="1" applyProtection="1">
      <alignment horizontal="left" vertical="center" wrapText="1"/>
    </xf>
    <xf numFmtId="3" fontId="76" fillId="11" borderId="18" xfId="0" applyNumberFormat="1" applyFont="1" applyFill="1" applyBorder="1" applyAlignment="1" applyProtection="1">
      <alignment horizontal="right" vertical="center"/>
    </xf>
    <xf numFmtId="0" fontId="76" fillId="0" borderId="0" xfId="0" applyNumberFormat="1" applyFont="1" applyFill="1" applyBorder="1" applyAlignment="1" applyProtection="1">
      <alignment horizontal="left" vertical="center"/>
    </xf>
    <xf numFmtId="0" fontId="81" fillId="0" borderId="4" xfId="0" applyNumberFormat="1" applyFont="1" applyFill="1" applyBorder="1" applyAlignment="1" applyProtection="1">
      <alignment horizontal="left" vertical="center" wrapText="1"/>
    </xf>
    <xf numFmtId="3" fontId="81" fillId="0" borderId="18" xfId="0" applyNumberFormat="1" applyFont="1" applyFill="1" applyBorder="1" applyAlignment="1" applyProtection="1">
      <alignment horizontal="center" vertical="center"/>
    </xf>
    <xf numFmtId="3" fontId="81" fillId="0" borderId="18" xfId="0" applyNumberFormat="1" applyFont="1" applyFill="1" applyBorder="1" applyAlignment="1" applyProtection="1">
      <alignment horizontal="right" vertical="center"/>
    </xf>
    <xf numFmtId="3" fontId="81" fillId="11" borderId="18" xfId="0" applyNumberFormat="1" applyFont="1" applyFill="1" applyBorder="1" applyAlignment="1" applyProtection="1">
      <alignment horizontal="right" vertical="center"/>
    </xf>
    <xf numFmtId="0" fontId="21" fillId="0" borderId="109" xfId="0" applyNumberFormat="1" applyFont="1" applyFill="1" applyBorder="1" applyAlignment="1" applyProtection="1">
      <alignment horizontal="center"/>
    </xf>
    <xf numFmtId="172" fontId="76" fillId="0" borderId="18" xfId="0" applyNumberFormat="1" applyFont="1" applyFill="1" applyBorder="1" applyAlignment="1" applyProtection="1">
      <alignment horizontal="right" vertical="center"/>
    </xf>
    <xf numFmtId="168" fontId="12" fillId="0" borderId="4" xfId="0" applyNumberFormat="1" applyFont="1" applyFill="1" applyBorder="1" applyAlignment="1" applyProtection="1">
      <alignment horizontal="right" vertical="center"/>
    </xf>
    <xf numFmtId="168" fontId="12" fillId="11" borderId="4" xfId="0" applyNumberFormat="1" applyFont="1" applyFill="1" applyBorder="1" applyAlignment="1" applyProtection="1">
      <alignment horizontal="right" vertical="center"/>
    </xf>
    <xf numFmtId="168" fontId="12" fillId="10" borderId="4" xfId="0" applyNumberFormat="1" applyFont="1" applyFill="1" applyBorder="1" applyAlignment="1" applyProtection="1">
      <alignment horizontal="right" vertical="center"/>
    </xf>
    <xf numFmtId="0" fontId="69" fillId="0" borderId="146" xfId="0" applyNumberFormat="1" applyFont="1" applyFill="1" applyBorder="1" applyAlignment="1" applyProtection="1">
      <alignment horizontal="left" vertical="center"/>
    </xf>
    <xf numFmtId="0" fontId="69" fillId="0" borderId="147" xfId="0" applyNumberFormat="1" applyFont="1" applyFill="1" applyBorder="1" applyAlignment="1" applyProtection="1">
      <alignment horizontal="left" vertical="center"/>
    </xf>
    <xf numFmtId="0" fontId="69" fillId="0" borderId="148" xfId="0" applyNumberFormat="1" applyFont="1" applyFill="1" applyBorder="1" applyAlignment="1" applyProtection="1">
      <alignment horizontal="left" vertical="center"/>
    </xf>
    <xf numFmtId="1" fontId="26" fillId="0" borderId="52" xfId="5" applyNumberFormat="1" applyFont="1" applyFill="1" applyBorder="1" applyAlignment="1" applyProtection="1">
      <alignment vertical="center"/>
    </xf>
    <xf numFmtId="1" fontId="26" fillId="0" borderId="104" xfId="5" applyNumberFormat="1" applyFont="1" applyFill="1" applyBorder="1" applyAlignment="1" applyProtection="1">
      <alignment vertical="center"/>
    </xf>
    <xf numFmtId="0" fontId="69" fillId="0" borderId="44" xfId="0" applyNumberFormat="1" applyFont="1" applyFill="1" applyBorder="1" applyAlignment="1" applyProtection="1">
      <alignment horizontal="left" vertical="center"/>
    </xf>
    <xf numFmtId="0" fontId="26" fillId="0" borderId="121" xfId="5" applyNumberFormat="1" applyFont="1" applyFill="1" applyBorder="1" applyAlignment="1" applyProtection="1">
      <alignment horizontal="left" vertical="center"/>
    </xf>
    <xf numFmtId="0" fontId="26" fillId="0" borderId="121" xfId="5" applyNumberFormat="1" applyFont="1" applyFill="1" applyBorder="1" applyAlignment="1" applyProtection="1">
      <alignment vertical="center"/>
    </xf>
    <xf numFmtId="1" fontId="26" fillId="0" borderId="121" xfId="5" applyNumberFormat="1" applyFont="1" applyFill="1" applyBorder="1" applyAlignment="1" applyProtection="1">
      <alignment vertical="center"/>
    </xf>
    <xf numFmtId="1" fontId="26" fillId="0" borderId="150" xfId="5" applyNumberFormat="1" applyFont="1" applyFill="1" applyBorder="1" applyAlignment="1" applyProtection="1">
      <alignment vertical="center"/>
    </xf>
    <xf numFmtId="1" fontId="26" fillId="0" borderId="151" xfId="5" applyNumberFormat="1" applyFont="1" applyFill="1" applyBorder="1" applyAlignment="1" applyProtection="1">
      <alignment vertical="center"/>
    </xf>
    <xf numFmtId="0" fontId="69" fillId="0" borderId="25" xfId="0" applyNumberFormat="1" applyFont="1" applyFill="1" applyBorder="1" applyAlignment="1" applyProtection="1">
      <alignment vertical="center"/>
    </xf>
    <xf numFmtId="0" fontId="26" fillId="0" borderId="33" xfId="5" applyNumberFormat="1" applyFont="1" applyFill="1" applyBorder="1" applyAlignment="1" applyProtection="1">
      <alignment vertical="center"/>
    </xf>
    <xf numFmtId="0" fontId="69" fillId="0" borderId="97" xfId="0" applyNumberFormat="1" applyFont="1" applyFill="1" applyBorder="1" applyAlignment="1" applyProtection="1">
      <alignment vertical="center"/>
    </xf>
    <xf numFmtId="0" fontId="26" fillId="0" borderId="149" xfId="5" applyNumberFormat="1" applyFont="1" applyFill="1" applyBorder="1" applyAlignment="1" applyProtection="1">
      <alignment vertical="center"/>
    </xf>
    <xf numFmtId="3" fontId="21" fillId="11" borderId="18" xfId="0" applyNumberFormat="1" applyFont="1" applyFill="1" applyBorder="1" applyAlignment="1" applyProtection="1">
      <alignment horizontal="right" vertical="center"/>
    </xf>
    <xf numFmtId="3" fontId="21" fillId="10" borderId="18" xfId="0" applyNumberFormat="1" applyFont="1" applyFill="1" applyBorder="1" applyAlignment="1" applyProtection="1">
      <alignment horizontal="right" vertical="center"/>
    </xf>
    <xf numFmtId="0" fontId="40" fillId="7" borderId="0" xfId="10" applyNumberFormat="1" applyFont="1" applyFill="1" applyBorder="1" applyAlignment="1" applyProtection="1">
      <alignment vertical="center" wrapText="1"/>
    </xf>
    <xf numFmtId="172" fontId="21" fillId="11" borderId="0" xfId="0" applyNumberFormat="1" applyFont="1" applyFill="1" applyBorder="1" applyAlignment="1" applyProtection="1">
      <alignment horizontal="right" vertical="center"/>
    </xf>
    <xf numFmtId="0" fontId="21" fillId="11" borderId="0" xfId="0" applyNumberFormat="1" applyFont="1" applyFill="1" applyBorder="1" applyAlignment="1" applyProtection="1">
      <alignment horizontal="right" vertical="center"/>
    </xf>
    <xf numFmtId="9" fontId="21" fillId="11" borderId="0" xfId="0" applyNumberFormat="1" applyFont="1" applyFill="1" applyBorder="1" applyAlignment="1" applyProtection="1">
      <alignment horizontal="right" vertical="center"/>
    </xf>
    <xf numFmtId="0" fontId="40" fillId="3" borderId="0" xfId="10" applyNumberFormat="1" applyFont="1" applyFill="1" applyBorder="1" applyAlignment="1" applyProtection="1">
      <alignment vertical="center"/>
    </xf>
    <xf numFmtId="0" fontId="12" fillId="10" borderId="0" xfId="0" applyNumberFormat="1" applyFont="1" applyFill="1" applyBorder="1" applyAlignment="1" applyProtection="1">
      <alignment horizontal="right" vertical="center"/>
    </xf>
    <xf numFmtId="0" fontId="39" fillId="3" borderId="0" xfId="10" applyNumberFormat="1" applyFont="1" applyFill="1" applyBorder="1" applyAlignment="1" applyProtection="1">
      <alignment horizontal="right" vertical="center"/>
    </xf>
    <xf numFmtId="3" fontId="39" fillId="0" borderId="74" xfId="10" applyNumberFormat="1" applyFont="1" applyFill="1" applyBorder="1" applyAlignment="1" applyProtection="1">
      <alignment horizontal="right" vertical="center"/>
    </xf>
    <xf numFmtId="0" fontId="83" fillId="0" borderId="74" xfId="10" applyNumberFormat="1" applyFont="1" applyFill="1" applyBorder="1" applyAlignment="1" applyProtection="1">
      <alignment vertical="center" wrapText="1"/>
    </xf>
    <xf numFmtId="0" fontId="83" fillId="0" borderId="74" xfId="10" applyNumberFormat="1" applyFont="1" applyFill="1" applyBorder="1" applyAlignment="1" applyProtection="1">
      <alignment horizontal="center" vertical="center"/>
    </xf>
    <xf numFmtId="0" fontId="82" fillId="0" borderId="18" xfId="0" applyNumberFormat="1" applyFont="1" applyFill="1" applyBorder="1" applyAlignment="1" applyProtection="1">
      <alignment horizontal="center" vertical="center"/>
    </xf>
    <xf numFmtId="3" fontId="12" fillId="11" borderId="18" xfId="0" applyNumberFormat="1" applyFont="1" applyFill="1" applyBorder="1" applyAlignment="1" applyProtection="1">
      <alignment horizontal="right" vertical="center"/>
    </xf>
    <xf numFmtId="3" fontId="12" fillId="11" borderId="4" xfId="0" applyNumberFormat="1" applyFont="1" applyFill="1" applyBorder="1" applyAlignment="1" applyProtection="1">
      <alignment horizontal="right" vertical="center"/>
    </xf>
    <xf numFmtId="3" fontId="39" fillId="0" borderId="76" xfId="10" applyNumberFormat="1" applyFont="1" applyFill="1" applyBorder="1" applyAlignment="1" applyProtection="1">
      <alignment horizontal="right" vertical="center"/>
    </xf>
    <xf numFmtId="3" fontId="12" fillId="10" borderId="4" xfId="0" applyNumberFormat="1" applyFont="1" applyFill="1" applyBorder="1" applyAlignment="1" applyProtection="1">
      <alignment horizontal="right" vertical="center"/>
    </xf>
    <xf numFmtId="3" fontId="12" fillId="10" borderId="18" xfId="0" applyNumberFormat="1" applyFont="1" applyFill="1" applyBorder="1" applyAlignment="1" applyProtection="1">
      <alignment horizontal="right" vertical="center"/>
    </xf>
    <xf numFmtId="0" fontId="57" fillId="0" borderId="0" xfId="6" applyFont="1" applyProtection="1"/>
    <xf numFmtId="0" fontId="57" fillId="0" borderId="89" xfId="6" applyFont="1" applyBorder="1" applyAlignment="1" applyProtection="1">
      <alignment vertical="top"/>
    </xf>
    <xf numFmtId="0" fontId="39" fillId="0" borderId="0" xfId="20" applyFont="1" applyAlignment="1" applyProtection="1"/>
    <xf numFmtId="0" fontId="39" fillId="0" borderId="0" xfId="20" applyFont="1" applyProtection="1"/>
    <xf numFmtId="0" fontId="21" fillId="0" borderId="109" xfId="0" applyFont="1" applyBorder="1" applyAlignment="1" applyProtection="1">
      <alignment horizontal="left"/>
    </xf>
    <xf numFmtId="0" fontId="40" fillId="0" borderId="0" xfId="20" applyFont="1" applyAlignment="1" applyProtection="1">
      <alignment vertical="center"/>
    </xf>
    <xf numFmtId="0" fontId="21" fillId="0" borderId="108" xfId="0" applyFont="1" applyBorder="1" applyAlignment="1" applyProtection="1">
      <alignment horizontal="left"/>
    </xf>
    <xf numFmtId="0" fontId="39" fillId="0" borderId="0" xfId="20" applyFont="1" applyAlignment="1" applyProtection="1">
      <alignment horizontal="center" vertical="center"/>
    </xf>
    <xf numFmtId="0" fontId="40" fillId="0" borderId="0" xfId="20" applyFont="1" applyAlignment="1" applyProtection="1">
      <alignment horizontal="left" vertical="center"/>
    </xf>
    <xf numFmtId="0" fontId="58" fillId="0" borderId="0" xfId="6" applyFont="1" applyAlignment="1" applyProtection="1">
      <alignment horizontal="center" vertical="top"/>
    </xf>
    <xf numFmtId="0" fontId="59" fillId="3" borderId="54" xfId="6" applyFont="1" applyFill="1" applyBorder="1" applyAlignment="1" applyProtection="1">
      <alignment vertical="top"/>
    </xf>
    <xf numFmtId="0" fontId="59" fillId="3" borderId="55" xfId="6" applyFont="1" applyFill="1" applyBorder="1" applyAlignment="1" applyProtection="1">
      <alignment vertical="top"/>
    </xf>
    <xf numFmtId="0" fontId="59" fillId="3" borderId="56" xfId="6" applyFont="1" applyFill="1" applyBorder="1" applyAlignment="1" applyProtection="1">
      <alignment vertical="top"/>
    </xf>
    <xf numFmtId="0" fontId="58" fillId="7" borderId="57" xfId="6" applyFont="1" applyFill="1" applyBorder="1" applyAlignment="1" applyProtection="1">
      <alignment horizontal="center" vertical="top"/>
    </xf>
    <xf numFmtId="0" fontId="58" fillId="7" borderId="0" xfId="6" applyFont="1" applyFill="1" applyAlignment="1" applyProtection="1">
      <alignment horizontal="center" vertical="top"/>
    </xf>
    <xf numFmtId="0" fontId="58" fillId="7" borderId="126" xfId="6" applyFont="1" applyFill="1" applyBorder="1" applyAlignment="1" applyProtection="1">
      <alignment horizontal="center" vertical="top"/>
    </xf>
    <xf numFmtId="3" fontId="73" fillId="3" borderId="18" xfId="0" applyNumberFormat="1" applyFont="1" applyFill="1" applyBorder="1" applyAlignment="1">
      <alignment horizontal="right" vertical="center"/>
    </xf>
    <xf numFmtId="3" fontId="7" fillId="4" borderId="18" xfId="0" applyNumberFormat="1" applyFont="1" applyFill="1" applyBorder="1" applyAlignment="1">
      <alignment horizontal="right" vertical="center"/>
    </xf>
    <xf numFmtId="3" fontId="69" fillId="0" borderId="18" xfId="0" applyNumberFormat="1" applyFont="1" applyBorder="1" applyAlignment="1">
      <alignment horizontal="right" vertical="center"/>
    </xf>
    <xf numFmtId="3" fontId="50" fillId="12" borderId="0" xfId="0" applyNumberFormat="1" applyFont="1" applyFill="1"/>
    <xf numFmtId="3" fontId="67" fillId="12" borderId="18" xfId="0" applyNumberFormat="1" applyFont="1" applyFill="1" applyBorder="1" applyAlignment="1">
      <alignment horizontal="right" vertical="center"/>
    </xf>
    <xf numFmtId="3" fontId="69" fillId="2" borderId="134" xfId="0" applyNumberFormat="1" applyFont="1" applyFill="1" applyBorder="1" applyAlignment="1">
      <alignment horizontal="right" vertical="center"/>
    </xf>
    <xf numFmtId="3" fontId="73" fillId="3" borderId="134" xfId="0" applyNumberFormat="1" applyFont="1" applyFill="1" applyBorder="1" applyAlignment="1">
      <alignment horizontal="right" vertical="center"/>
    </xf>
    <xf numFmtId="3" fontId="50" fillId="12" borderId="134" xfId="0" applyNumberFormat="1" applyFont="1" applyFill="1" applyBorder="1"/>
    <xf numFmtId="3" fontId="39" fillId="0" borderId="0" xfId="10" applyNumberFormat="1" applyFont="1" applyFill="1" applyBorder="1" applyProtection="1"/>
    <xf numFmtId="3" fontId="39" fillId="0" borderId="0" xfId="10" applyNumberFormat="1" applyFont="1" applyFill="1" applyBorder="1" applyAlignment="1" applyProtection="1"/>
    <xf numFmtId="3" fontId="12" fillId="0" borderId="4" xfId="0" applyNumberFormat="1" applyFont="1" applyFill="1" applyBorder="1" applyAlignment="1" applyProtection="1">
      <alignment horizontal="right" vertical="center"/>
    </xf>
    <xf numFmtId="3" fontId="76" fillId="0" borderId="4" xfId="0" applyNumberFormat="1" applyFont="1" applyFill="1" applyBorder="1" applyAlignment="1" applyProtection="1">
      <alignment horizontal="right" vertical="center"/>
    </xf>
    <xf numFmtId="3" fontId="39" fillId="0" borderId="136" xfId="10" applyNumberFormat="1" applyFont="1" applyFill="1" applyBorder="1" applyAlignment="1" applyProtection="1">
      <alignment horizontal="right" vertical="center"/>
    </xf>
    <xf numFmtId="3" fontId="39" fillId="0" borderId="134" xfId="10" applyNumberFormat="1" applyFont="1" applyFill="1" applyBorder="1" applyAlignment="1" applyProtection="1">
      <alignment horizontal="right" vertical="center"/>
    </xf>
    <xf numFmtId="0" fontId="69" fillId="0" borderId="18" xfId="0" applyNumberFormat="1" applyFont="1" applyFill="1" applyBorder="1" applyAlignment="1" applyProtection="1">
      <alignment horizontal="center" vertical="center"/>
    </xf>
    <xf numFmtId="0" fontId="39" fillId="0" borderId="0" xfId="10" applyNumberFormat="1" applyFont="1" applyFill="1" applyBorder="1" applyAlignment="1" applyProtection="1">
      <alignment vertical="top"/>
    </xf>
    <xf numFmtId="3" fontId="12" fillId="0" borderId="4" xfId="0" applyNumberFormat="1" applyFont="1" applyFill="1" applyBorder="1" applyAlignment="1" applyProtection="1">
      <alignment horizontal="right" vertical="center"/>
    </xf>
    <xf numFmtId="3" fontId="39" fillId="0" borderId="78" xfId="10" applyNumberFormat="1" applyFont="1" applyFill="1" applyBorder="1" applyAlignment="1" applyProtection="1">
      <alignment horizontal="right" vertical="center"/>
    </xf>
    <xf numFmtId="3" fontId="39" fillId="0" borderId="76" xfId="10" applyNumberFormat="1" applyFont="1" applyFill="1" applyBorder="1" applyAlignment="1" applyProtection="1">
      <alignment horizontal="right" vertical="center"/>
    </xf>
    <xf numFmtId="0" fontId="39" fillId="0" borderId="77" xfId="10" applyNumberFormat="1" applyFont="1" applyFill="1" applyBorder="1" applyAlignment="1" applyProtection="1">
      <alignment vertical="center"/>
    </xf>
    <xf numFmtId="172" fontId="69" fillId="0" borderId="25" xfId="0" applyNumberFormat="1" applyFont="1" applyFill="1" applyBorder="1" applyAlignment="1" applyProtection="1">
      <alignment horizontal="left" vertical="center"/>
    </xf>
    <xf numFmtId="172" fontId="69" fillId="0" borderId="156" xfId="0" applyNumberFormat="1" applyFont="1" applyFill="1" applyBorder="1" applyAlignment="1" applyProtection="1">
      <alignment horizontal="left" vertical="center"/>
    </xf>
    <xf numFmtId="1" fontId="69" fillId="0" borderId="155" xfId="0" applyNumberFormat="1" applyFont="1" applyFill="1" applyBorder="1" applyAlignment="1" applyProtection="1">
      <alignment horizontal="left" vertical="center"/>
    </xf>
    <xf numFmtId="0" fontId="69" fillId="8" borderId="156" xfId="0" applyNumberFormat="1" applyFont="1" applyFill="1" applyBorder="1" applyAlignment="1" applyProtection="1">
      <alignment horizontal="left" vertical="center"/>
    </xf>
    <xf numFmtId="0" fontId="69" fillId="8" borderId="157" xfId="0" applyNumberFormat="1" applyFont="1" applyFill="1" applyBorder="1" applyAlignment="1" applyProtection="1">
      <alignment horizontal="left" vertical="center"/>
    </xf>
    <xf numFmtId="0" fontId="69" fillId="8" borderId="158" xfId="0" applyNumberFormat="1" applyFont="1" applyFill="1" applyBorder="1" applyAlignment="1" applyProtection="1">
      <alignment horizontal="left" vertical="center"/>
    </xf>
    <xf numFmtId="0" fontId="69" fillId="8" borderId="159" xfId="0" applyNumberFormat="1" applyFont="1" applyFill="1" applyBorder="1" applyAlignment="1" applyProtection="1">
      <alignment horizontal="left" vertical="center"/>
    </xf>
    <xf numFmtId="0" fontId="69" fillId="8" borderId="160" xfId="0" applyNumberFormat="1" applyFont="1" applyFill="1" applyBorder="1" applyAlignment="1" applyProtection="1">
      <alignment horizontal="left" vertical="center"/>
    </xf>
    <xf numFmtId="0" fontId="69" fillId="8" borderId="161" xfId="0" applyNumberFormat="1" applyFont="1" applyFill="1" applyBorder="1" applyAlignment="1" applyProtection="1">
      <alignment horizontal="left" vertical="center"/>
    </xf>
    <xf numFmtId="0" fontId="69" fillId="8" borderId="162" xfId="0" applyNumberFormat="1" applyFont="1" applyFill="1" applyBorder="1" applyAlignment="1" applyProtection="1">
      <alignment horizontal="left" vertical="center" wrapText="1"/>
    </xf>
    <xf numFmtId="3" fontId="8" fillId="0" borderId="18" xfId="0" applyNumberFormat="1" applyFont="1" applyFill="1" applyBorder="1" applyAlignment="1" applyProtection="1">
      <alignment horizontal="right" vertical="center" wrapText="1"/>
    </xf>
    <xf numFmtId="172" fontId="8" fillId="0" borderId="18" xfId="0" applyNumberFormat="1" applyFont="1" applyFill="1" applyBorder="1" applyAlignment="1" applyProtection="1">
      <alignment horizontal="right" vertical="center" wrapText="1"/>
    </xf>
    <xf numFmtId="3" fontId="8" fillId="0" borderId="18" xfId="0" applyNumberFormat="1" applyFont="1" applyFill="1" applyBorder="1" applyAlignment="1" applyProtection="1">
      <alignment horizontal="right" vertical="center"/>
    </xf>
    <xf numFmtId="3" fontId="40" fillId="3" borderId="74" xfId="10" applyNumberFormat="1" applyFont="1" applyFill="1" applyBorder="1" applyAlignment="1" applyProtection="1">
      <alignment vertical="center"/>
    </xf>
    <xf numFmtId="3" fontId="39" fillId="0" borderId="77" xfId="10" applyNumberFormat="1" applyFont="1" applyFill="1" applyBorder="1" applyAlignment="1" applyProtection="1">
      <alignment horizontal="right" vertical="center"/>
    </xf>
    <xf numFmtId="1" fontId="12" fillId="0" borderId="18" xfId="0" applyNumberFormat="1" applyFont="1" applyFill="1" applyBorder="1" applyAlignment="1" applyProtection="1">
      <alignment horizontal="right" vertical="center"/>
    </xf>
    <xf numFmtId="0" fontId="12" fillId="0" borderId="74" xfId="10" applyNumberFormat="1" applyFont="1" applyFill="1" applyBorder="1" applyAlignment="1" applyProtection="1">
      <alignment vertical="center" wrapText="1"/>
    </xf>
    <xf numFmtId="1" fontId="76" fillId="0" borderId="18" xfId="0" applyNumberFormat="1" applyFont="1" applyFill="1" applyBorder="1" applyAlignment="1" applyProtection="1">
      <alignment horizontal="right" vertical="center"/>
    </xf>
    <xf numFmtId="1" fontId="21" fillId="11" borderId="18" xfId="0" applyNumberFormat="1" applyFont="1" applyFill="1" applyBorder="1" applyAlignment="1" applyProtection="1">
      <alignment horizontal="right" vertical="center"/>
    </xf>
    <xf numFmtId="1" fontId="21" fillId="10" borderId="18" xfId="0" applyNumberFormat="1" applyFont="1" applyFill="1" applyBorder="1" applyAlignment="1" applyProtection="1">
      <alignment horizontal="right" vertical="center"/>
    </xf>
    <xf numFmtId="1" fontId="12" fillId="0" borderId="19" xfId="0" applyNumberFormat="1" applyFont="1" applyFill="1" applyBorder="1" applyAlignment="1" applyProtection="1">
      <alignment horizontal="right" vertical="center"/>
    </xf>
    <xf numFmtId="1" fontId="12" fillId="11" borderId="19" xfId="0" applyNumberFormat="1" applyFont="1" applyFill="1" applyBorder="1" applyAlignment="1" applyProtection="1">
      <alignment horizontal="right" vertical="center"/>
    </xf>
    <xf numFmtId="1" fontId="39" fillId="0" borderId="78" xfId="10" applyNumberFormat="1" applyFont="1" applyFill="1" applyBorder="1" applyAlignment="1" applyProtection="1">
      <alignment horizontal="right" vertical="center"/>
    </xf>
    <xf numFmtId="1" fontId="12" fillId="10" borderId="19" xfId="0" applyNumberFormat="1" applyFont="1" applyFill="1" applyBorder="1" applyAlignment="1" applyProtection="1">
      <alignment horizontal="right" vertical="center"/>
    </xf>
    <xf numFmtId="1" fontId="12" fillId="11" borderId="18" xfId="0" applyNumberFormat="1" applyFont="1" applyFill="1" applyBorder="1" applyAlignment="1" applyProtection="1">
      <alignment horizontal="right" vertical="center"/>
    </xf>
    <xf numFmtId="1" fontId="39" fillId="0" borderId="74" xfId="10" applyNumberFormat="1" applyFont="1" applyFill="1" applyBorder="1" applyAlignment="1" applyProtection="1">
      <alignment horizontal="right" vertical="center"/>
    </xf>
    <xf numFmtId="1" fontId="12" fillId="10" borderId="18" xfId="0" applyNumberFormat="1" applyFont="1" applyFill="1" applyBorder="1" applyAlignment="1" applyProtection="1">
      <alignment horizontal="right" vertical="center"/>
    </xf>
    <xf numFmtId="3" fontId="39" fillId="7" borderId="78" xfId="10" applyNumberFormat="1" applyFont="1" applyFill="1" applyBorder="1" applyAlignment="1" applyProtection="1">
      <alignment horizontal="right" vertical="center"/>
    </xf>
    <xf numFmtId="3" fontId="12" fillId="11" borderId="5" xfId="0" applyNumberFormat="1" applyFont="1" applyFill="1" applyBorder="1" applyAlignment="1" applyProtection="1">
      <alignment horizontal="right" vertical="center"/>
    </xf>
    <xf numFmtId="1" fontId="39" fillId="0" borderId="0" xfId="10" applyNumberFormat="1" applyFont="1" applyFill="1" applyBorder="1" applyProtection="1"/>
    <xf numFmtId="1" fontId="39" fillId="0" borderId="74" xfId="15" applyNumberFormat="1" applyFont="1" applyFill="1" applyBorder="1" applyAlignment="1" applyProtection="1">
      <alignment horizontal="right" vertical="center"/>
    </xf>
    <xf numFmtId="168" fontId="12" fillId="0" borderId="4" xfId="0" applyNumberFormat="1" applyFont="1" applyBorder="1" applyAlignment="1" applyProtection="1">
      <alignment horizontal="right" vertical="center"/>
    </xf>
    <xf numFmtId="172" fontId="12" fillId="0" borderId="163" xfId="0" applyNumberFormat="1" applyFont="1" applyBorder="1" applyAlignment="1" applyProtection="1">
      <alignment horizontal="right" vertical="center"/>
    </xf>
    <xf numFmtId="172" fontId="57" fillId="13" borderId="76" xfId="14" applyNumberFormat="1" applyFont="1" applyFill="1" applyBorder="1" applyAlignment="1" applyProtection="1">
      <alignment horizontal="right" vertical="center"/>
    </xf>
    <xf numFmtId="172" fontId="12" fillId="14" borderId="163" xfId="0" applyNumberFormat="1" applyFont="1" applyFill="1" applyBorder="1" applyAlignment="1" applyProtection="1">
      <alignment horizontal="right" vertical="center"/>
    </xf>
    <xf numFmtId="172" fontId="57" fillId="0" borderId="163" xfId="0" applyNumberFormat="1" applyFont="1" applyBorder="1" applyAlignment="1" applyProtection="1">
      <alignment horizontal="right" vertical="center"/>
    </xf>
    <xf numFmtId="168" fontId="12" fillId="0" borderId="163" xfId="0" applyNumberFormat="1" applyFont="1" applyBorder="1" applyAlignment="1" applyProtection="1">
      <alignment horizontal="right" vertical="center"/>
    </xf>
    <xf numFmtId="9" fontId="12" fillId="0" borderId="4" xfId="0" applyNumberFormat="1" applyFont="1" applyBorder="1" applyAlignment="1" applyProtection="1">
      <alignment horizontal="right" vertical="center"/>
    </xf>
    <xf numFmtId="168" fontId="12" fillId="14" borderId="163" xfId="0" applyNumberFormat="1" applyFont="1" applyFill="1" applyBorder="1" applyAlignment="1" applyProtection="1">
      <alignment horizontal="right" vertical="center"/>
    </xf>
    <xf numFmtId="172" fontId="57" fillId="0" borderId="76" xfId="14" applyNumberFormat="1" applyFont="1" applyFill="1" applyBorder="1" applyAlignment="1" applyProtection="1">
      <alignment horizontal="right" vertical="center"/>
    </xf>
    <xf numFmtId="0" fontId="12" fillId="0" borderId="18" xfId="0" applyNumberFormat="1" applyFont="1" applyFill="1" applyBorder="1" applyAlignment="1" applyProtection="1">
      <alignment horizontal="right" vertical="center"/>
    </xf>
    <xf numFmtId="0" fontId="12" fillId="0" borderId="18" xfId="0" applyNumberFormat="1" applyFont="1" applyFill="1" applyBorder="1" applyAlignment="1" applyProtection="1">
      <alignment horizontal="center" vertical="center"/>
    </xf>
    <xf numFmtId="173" fontId="12" fillId="11" borderId="4" xfId="15" applyNumberFormat="1" applyFont="1" applyFill="1" applyBorder="1" applyAlignment="1" applyProtection="1">
      <alignment horizontal="right" vertical="center"/>
    </xf>
    <xf numFmtId="9" fontId="12" fillId="11" borderId="4" xfId="15" applyNumberFormat="1" applyFont="1" applyFill="1" applyBorder="1" applyAlignment="1" applyProtection="1">
      <alignment horizontal="right" vertical="center"/>
    </xf>
    <xf numFmtId="9" fontId="12" fillId="10" borderId="4" xfId="15" applyNumberFormat="1" applyFont="1" applyFill="1" applyBorder="1" applyAlignment="1" applyProtection="1">
      <alignment horizontal="right" vertical="center"/>
    </xf>
    <xf numFmtId="9" fontId="39" fillId="0" borderId="0" xfId="15" applyFont="1" applyFill="1" applyBorder="1" applyProtection="1"/>
    <xf numFmtId="168" fontId="12" fillId="2" borderId="163" xfId="0" applyNumberFormat="1" applyFont="1" applyFill="1" applyBorder="1" applyAlignment="1" applyProtection="1">
      <alignment horizontal="right" vertical="center"/>
    </xf>
    <xf numFmtId="168" fontId="12" fillId="2" borderId="4" xfId="0" applyNumberFormat="1" applyFont="1" applyFill="1" applyBorder="1" applyAlignment="1" applyProtection="1">
      <alignment horizontal="right" vertical="center"/>
    </xf>
    <xf numFmtId="9" fontId="8" fillId="0" borderId="0" xfId="15" applyFont="1" applyFill="1" applyBorder="1" applyAlignment="1" applyProtection="1">
      <alignment vertical="center"/>
    </xf>
    <xf numFmtId="9" fontId="39" fillId="0" borderId="74" xfId="15" applyFont="1" applyFill="1" applyBorder="1" applyAlignment="1" applyProtection="1">
      <alignment horizontal="right" vertical="center"/>
    </xf>
    <xf numFmtId="9" fontId="12" fillId="10" borderId="18" xfId="15" applyFont="1" applyFill="1" applyBorder="1" applyAlignment="1" applyProtection="1">
      <alignment horizontal="right" vertical="center"/>
    </xf>
    <xf numFmtId="9" fontId="12" fillId="0" borderId="18" xfId="15" applyFont="1" applyFill="1" applyBorder="1" applyAlignment="1" applyProtection="1">
      <alignment horizontal="right" vertical="center"/>
    </xf>
    <xf numFmtId="1" fontId="14" fillId="0" borderId="50" xfId="5" applyNumberFormat="1" applyFont="1" applyFill="1" applyBorder="1" applyAlignment="1" applyProtection="1">
      <alignment horizontal="center" vertical="center"/>
    </xf>
    <xf numFmtId="1" fontId="14" fillId="0" borderId="51" xfId="5" applyNumberFormat="1" applyFont="1" applyFill="1" applyBorder="1" applyAlignment="1" applyProtection="1">
      <alignment horizontal="center" vertical="center"/>
    </xf>
    <xf numFmtId="1" fontId="14" fillId="0" borderId="52" xfId="5" applyNumberFormat="1" applyFont="1" applyFill="1" applyBorder="1" applyAlignment="1" applyProtection="1">
      <alignment horizontal="center" vertical="center"/>
    </xf>
    <xf numFmtId="1" fontId="14" fillId="0" borderId="67" xfId="5" applyNumberFormat="1" applyFont="1" applyFill="1" applyBorder="1" applyAlignment="1" applyProtection="1">
      <alignment horizontal="center" vertical="center"/>
    </xf>
    <xf numFmtId="1" fontId="14" fillId="0" borderId="69" xfId="5" applyNumberFormat="1" applyFont="1" applyFill="1" applyBorder="1" applyAlignment="1" applyProtection="1">
      <alignment horizontal="center" vertical="center"/>
    </xf>
    <xf numFmtId="1" fontId="14" fillId="0" borderId="95" xfId="5" applyNumberFormat="1" applyFont="1" applyFill="1" applyBorder="1" applyAlignment="1" applyProtection="1">
      <alignment horizontal="center" vertical="center"/>
    </xf>
    <xf numFmtId="1" fontId="14" fillId="0" borderId="96" xfId="5" applyNumberFormat="1" applyFont="1" applyFill="1" applyBorder="1" applyAlignment="1" applyProtection="1">
      <alignment horizontal="center" vertical="center"/>
    </xf>
    <xf numFmtId="1" fontId="14" fillId="0" borderId="65" xfId="5" applyNumberFormat="1" applyFont="1" applyFill="1" applyBorder="1" applyAlignment="1" applyProtection="1">
      <alignment horizontal="center" vertical="center"/>
    </xf>
    <xf numFmtId="1" fontId="14" fillId="0" borderId="66" xfId="5" applyNumberFormat="1" applyFont="1" applyFill="1" applyBorder="1" applyAlignment="1" applyProtection="1">
      <alignment horizontal="center" vertical="center"/>
    </xf>
    <xf numFmtId="0" fontId="16" fillId="0" borderId="117" xfId="5" applyNumberFormat="1" applyFont="1" applyFill="1" applyBorder="1" applyAlignment="1" applyProtection="1">
      <alignment horizontal="center" vertical="center"/>
    </xf>
    <xf numFmtId="1" fontId="16" fillId="0" borderId="25" xfId="5" applyNumberFormat="1" applyFont="1" applyFill="1" applyBorder="1" applyAlignment="1" applyProtection="1">
      <alignment horizontal="center" vertical="center"/>
    </xf>
    <xf numFmtId="1" fontId="16" fillId="0" borderId="118" xfId="5" applyNumberFormat="1" applyFont="1" applyFill="1" applyBorder="1" applyAlignment="1" applyProtection="1">
      <alignment horizontal="center" vertical="center"/>
    </xf>
    <xf numFmtId="0" fontId="17" fillId="0" borderId="25" xfId="5" applyNumberFormat="1" applyFont="1" applyFill="1" applyBorder="1" applyAlignment="1" applyProtection="1">
      <alignment horizontal="center" vertical="center"/>
    </xf>
    <xf numFmtId="1" fontId="17" fillId="0" borderId="25" xfId="5" applyNumberFormat="1" applyFont="1" applyFill="1" applyBorder="1" applyAlignment="1" applyProtection="1">
      <alignment horizontal="center" vertical="center"/>
    </xf>
    <xf numFmtId="0" fontId="16" fillId="0" borderId="25" xfId="5" applyNumberFormat="1" applyFont="1" applyFill="1" applyBorder="1" applyAlignment="1" applyProtection="1">
      <alignment horizontal="center" vertical="center"/>
    </xf>
    <xf numFmtId="0" fontId="14" fillId="0" borderId="36" xfId="5" applyNumberFormat="1" applyFont="1" applyFill="1" applyBorder="1" applyAlignment="1" applyProtection="1">
      <alignment horizontal="center" vertical="center"/>
    </xf>
    <xf numFmtId="1" fontId="14" fillId="0" borderId="25" xfId="5" applyNumberFormat="1" applyFont="1" applyFill="1" applyBorder="1" applyAlignment="1" applyProtection="1">
      <alignment horizontal="center" vertical="center"/>
    </xf>
    <xf numFmtId="1" fontId="14" fillId="0" borderId="30" xfId="5" applyNumberFormat="1" applyFont="1" applyFill="1" applyBorder="1" applyAlignment="1" applyProtection="1">
      <alignment horizontal="center" vertical="center"/>
    </xf>
    <xf numFmtId="0" fontId="65" fillId="0" borderId="50" xfId="0" applyNumberFormat="1" applyFont="1" applyFill="1" applyBorder="1" applyAlignment="1" applyProtection="1">
      <alignment horizontal="center" vertical="center"/>
    </xf>
    <xf numFmtId="0" fontId="16" fillId="0" borderId="51" xfId="5" applyNumberFormat="1" applyFont="1" applyFill="1" applyBorder="1" applyAlignment="1" applyProtection="1">
      <alignment horizontal="center" vertical="center"/>
    </xf>
    <xf numFmtId="0" fontId="16" fillId="0" borderId="52" xfId="5" applyNumberFormat="1" applyFont="1" applyFill="1" applyBorder="1" applyAlignment="1" applyProtection="1">
      <alignment horizontal="center" vertical="center"/>
    </xf>
    <xf numFmtId="0" fontId="65" fillId="8" borderId="50" xfId="0" applyNumberFormat="1" applyFont="1" applyFill="1" applyBorder="1" applyAlignment="1" applyProtection="1">
      <alignment horizontal="center" vertical="center"/>
    </xf>
    <xf numFmtId="0" fontId="16" fillId="2" borderId="51" xfId="5" applyNumberFormat="1" applyFont="1" applyFill="1" applyBorder="1" applyAlignment="1" applyProtection="1">
      <alignment horizontal="center" vertical="center"/>
    </xf>
    <xf numFmtId="0" fontId="16" fillId="2" borderId="52" xfId="5" applyNumberFormat="1" applyFont="1" applyFill="1" applyBorder="1" applyAlignment="1" applyProtection="1">
      <alignment horizontal="center" vertical="center"/>
    </xf>
    <xf numFmtId="0" fontId="14" fillId="0" borderId="31" xfId="5" applyNumberFormat="1" applyFont="1" applyFill="1" applyBorder="1" applyAlignment="1" applyProtection="1">
      <alignment horizontal="center" vertical="center"/>
    </xf>
    <xf numFmtId="1" fontId="14" fillId="0" borderId="32" xfId="5" applyNumberFormat="1" applyFont="1" applyFill="1" applyBorder="1" applyAlignment="1" applyProtection="1">
      <alignment horizontal="center" vertical="center"/>
    </xf>
    <xf numFmtId="1" fontId="14" fillId="0" borderId="33" xfId="5" applyNumberFormat="1" applyFont="1" applyFill="1" applyBorder="1" applyAlignment="1" applyProtection="1">
      <alignment horizontal="center" vertical="center"/>
    </xf>
    <xf numFmtId="1" fontId="14" fillId="0" borderId="36" xfId="5" applyNumberFormat="1" applyFont="1" applyFill="1" applyBorder="1" applyAlignment="1" applyProtection="1">
      <alignment horizontal="center" vertical="center"/>
    </xf>
    <xf numFmtId="49" fontId="65" fillId="8" borderId="51" xfId="0" applyNumberFormat="1" applyFont="1" applyFill="1" applyBorder="1" applyAlignment="1" applyProtection="1">
      <alignment horizontal="center" vertical="center"/>
    </xf>
    <xf numFmtId="49" fontId="0" fillId="2" borderId="51" xfId="0" applyNumberFormat="1" applyFont="1" applyFill="1" applyBorder="1" applyAlignment="1">
      <alignment horizontal="center" vertical="center"/>
    </xf>
    <xf numFmtId="0" fontId="0" fillId="2" borderId="51" xfId="0" applyNumberFormat="1" applyFont="1" applyFill="1" applyBorder="1" applyAlignment="1">
      <alignment horizontal="center" vertical="center"/>
    </xf>
    <xf numFmtId="0" fontId="0" fillId="2" borderId="52" xfId="0" applyNumberFormat="1" applyFont="1" applyFill="1" applyBorder="1" applyAlignment="1">
      <alignment horizontal="center" vertical="center"/>
    </xf>
    <xf numFmtId="0" fontId="16" fillId="0" borderId="26" xfId="5" applyNumberFormat="1" applyFont="1" applyFill="1" applyBorder="1" applyAlignment="1" applyProtection="1">
      <alignment horizontal="left" vertical="center"/>
    </xf>
    <xf numFmtId="1" fontId="16" fillId="0" borderId="26" xfId="5" applyNumberFormat="1" applyFont="1" applyFill="1" applyBorder="1" applyAlignment="1" applyProtection="1">
      <alignment horizontal="left" vertical="center"/>
    </xf>
    <xf numFmtId="1" fontId="16" fillId="0" borderId="51" xfId="5" applyNumberFormat="1" applyFont="1" applyFill="1" applyBorder="1" applyAlignment="1" applyProtection="1">
      <alignment horizontal="center" vertical="center"/>
    </xf>
    <xf numFmtId="14" fontId="65" fillId="8" borderId="51" xfId="0" applyNumberFormat="1" applyFont="1" applyFill="1" applyBorder="1" applyAlignment="1" applyProtection="1">
      <alignment horizontal="center" vertical="center"/>
    </xf>
    <xf numFmtId="14" fontId="16" fillId="2" borderId="51" xfId="5" applyNumberFormat="1" applyFont="1" applyFill="1" applyBorder="1" applyAlignment="1" applyProtection="1">
      <alignment horizontal="center" vertical="center"/>
    </xf>
    <xf numFmtId="0" fontId="67" fillId="0" borderId="18" xfId="0" applyNumberFormat="1" applyFont="1" applyFill="1" applyBorder="1" applyAlignment="1" applyProtection="1">
      <alignment horizontal="center" vertical="center"/>
    </xf>
    <xf numFmtId="1" fontId="31" fillId="0" borderId="29" xfId="5" applyNumberFormat="1" applyFont="1" applyFill="1" applyBorder="1" applyAlignment="1" applyProtection="1">
      <alignment horizontal="center" vertical="center"/>
    </xf>
    <xf numFmtId="1" fontId="31" fillId="0" borderId="38" xfId="5" applyNumberFormat="1" applyFont="1" applyFill="1" applyBorder="1" applyAlignment="1" applyProtection="1">
      <alignment horizontal="center" vertical="center"/>
    </xf>
    <xf numFmtId="0" fontId="31" fillId="0" borderId="29" xfId="5" applyNumberFormat="1" applyFont="1" applyFill="1" applyBorder="1" applyAlignment="1" applyProtection="1">
      <alignment horizontal="center" vertical="center"/>
    </xf>
    <xf numFmtId="0" fontId="31" fillId="0" borderId="38" xfId="5" applyNumberFormat="1" applyFont="1" applyFill="1" applyBorder="1" applyAlignment="1" applyProtection="1">
      <alignment horizontal="center" vertical="center"/>
    </xf>
    <xf numFmtId="0" fontId="66" fillId="0" borderId="142" xfId="0" applyNumberFormat="1" applyFont="1" applyFill="1" applyBorder="1" applyAlignment="1" applyProtection="1">
      <alignment horizontal="center" vertical="center"/>
    </xf>
    <xf numFmtId="0" fontId="28" fillId="0" borderId="26" xfId="5" applyNumberFormat="1" applyFont="1" applyFill="1" applyBorder="1" applyAlignment="1" applyProtection="1">
      <alignment horizontal="center" vertical="center"/>
    </xf>
    <xf numFmtId="1" fontId="28" fillId="0" borderId="26" xfId="5" applyNumberFormat="1" applyFont="1" applyFill="1" applyBorder="1" applyAlignment="1" applyProtection="1">
      <alignment horizontal="center" vertical="center"/>
    </xf>
    <xf numFmtId="49" fontId="66" fillId="0" borderId="142" xfId="0" applyNumberFormat="1" applyFont="1" applyFill="1" applyBorder="1" applyAlignment="1" applyProtection="1">
      <alignment horizontal="center" vertical="center"/>
    </xf>
    <xf numFmtId="14" fontId="66" fillId="0" borderId="142" xfId="0" applyNumberFormat="1" applyFont="1" applyFill="1" applyBorder="1" applyAlignment="1" applyProtection="1">
      <alignment horizontal="center" vertical="center"/>
    </xf>
    <xf numFmtId="14" fontId="67" fillId="0" borderId="142" xfId="0" applyNumberFormat="1" applyFont="1" applyFill="1" applyBorder="1" applyAlignment="1" applyProtection="1">
      <alignment horizontal="center" vertical="center"/>
    </xf>
    <xf numFmtId="14" fontId="31" fillId="0" borderId="26" xfId="5" applyNumberFormat="1" applyFont="1" applyFill="1" applyBorder="1" applyAlignment="1" applyProtection="1">
      <alignment horizontal="center" vertical="center"/>
    </xf>
    <xf numFmtId="1" fontId="31" fillId="0" borderId="26" xfId="5" applyNumberFormat="1" applyFont="1" applyFill="1" applyBorder="1" applyAlignment="1" applyProtection="1">
      <alignment horizontal="center" vertical="center"/>
    </xf>
    <xf numFmtId="14" fontId="67" fillId="0" borderId="18" xfId="0" applyNumberFormat="1" applyFont="1" applyFill="1" applyBorder="1" applyAlignment="1" applyProtection="1">
      <alignment horizontal="center" vertical="center"/>
    </xf>
    <xf numFmtId="1" fontId="67" fillId="0" borderId="18" xfId="0" applyNumberFormat="1" applyFont="1" applyFill="1" applyBorder="1" applyAlignment="1" applyProtection="1">
      <alignment horizontal="center" vertical="center"/>
    </xf>
    <xf numFmtId="0" fontId="26" fillId="0" borderId="32" xfId="5" applyNumberFormat="1" applyFont="1" applyFill="1" applyBorder="1" applyAlignment="1" applyProtection="1">
      <alignment horizontal="center" vertical="center"/>
    </xf>
    <xf numFmtId="1" fontId="26" fillId="0" borderId="32" xfId="5" applyNumberFormat="1" applyFont="1" applyFill="1" applyBorder="1" applyAlignment="1" applyProtection="1">
      <alignment horizontal="center" vertical="center"/>
    </xf>
    <xf numFmtId="0" fontId="26" fillId="0" borderId="67" xfId="5" applyNumberFormat="1" applyFont="1" applyFill="1" applyBorder="1" applyAlignment="1" applyProtection="1">
      <alignment horizontal="center" vertical="center"/>
    </xf>
    <xf numFmtId="0" fontId="26" fillId="0" borderId="69" xfId="5" applyNumberFormat="1" applyFont="1" applyFill="1" applyBorder="1" applyAlignment="1" applyProtection="1">
      <alignment horizontal="center" vertical="center"/>
    </xf>
    <xf numFmtId="0" fontId="26" fillId="0" borderId="68" xfId="5" applyNumberFormat="1" applyFont="1" applyFill="1" applyBorder="1" applyAlignment="1" applyProtection="1">
      <alignment horizontal="center" vertical="center"/>
    </xf>
    <xf numFmtId="0" fontId="66" fillId="0" borderId="18" xfId="0" applyNumberFormat="1" applyFont="1" applyFill="1" applyBorder="1" applyAlignment="1" applyProtection="1">
      <alignment horizontal="center" vertical="center"/>
    </xf>
    <xf numFmtId="1" fontId="28" fillId="0" borderId="29" xfId="5" applyNumberFormat="1" applyFont="1" applyFill="1" applyBorder="1" applyAlignment="1" applyProtection="1">
      <alignment horizontal="center" vertical="center"/>
    </xf>
    <xf numFmtId="1" fontId="28" fillId="0" borderId="38" xfId="5" applyNumberFormat="1" applyFont="1" applyFill="1" applyBorder="1" applyAlignment="1" applyProtection="1">
      <alignment horizontal="center" vertical="center"/>
    </xf>
    <xf numFmtId="3" fontId="67" fillId="8" borderId="18" xfId="0" applyNumberFormat="1" applyFont="1" applyFill="1" applyBorder="1" applyAlignment="1" applyProtection="1">
      <alignment horizontal="center" vertical="center"/>
    </xf>
    <xf numFmtId="1" fontId="31" fillId="2" borderId="29" xfId="5" applyNumberFormat="1" applyFont="1" applyFill="1" applyBorder="1" applyAlignment="1" applyProtection="1">
      <alignment horizontal="center" vertical="center"/>
    </xf>
    <xf numFmtId="1" fontId="31" fillId="2" borderId="38" xfId="5" applyNumberFormat="1" applyFont="1" applyFill="1" applyBorder="1" applyAlignment="1" applyProtection="1">
      <alignment horizontal="center" vertical="center"/>
    </xf>
    <xf numFmtId="0" fontId="67" fillId="8" borderId="18" xfId="0" applyNumberFormat="1" applyFont="1" applyFill="1" applyBorder="1" applyAlignment="1" applyProtection="1">
      <alignment horizontal="center" vertical="center"/>
    </xf>
    <xf numFmtId="0" fontId="31" fillId="2" borderId="29" xfId="5" applyNumberFormat="1" applyFont="1" applyFill="1" applyBorder="1" applyAlignment="1" applyProtection="1">
      <alignment horizontal="center" vertical="center"/>
    </xf>
    <xf numFmtId="0" fontId="31" fillId="2" borderId="38" xfId="5" applyNumberFormat="1" applyFont="1" applyFill="1" applyBorder="1" applyAlignment="1" applyProtection="1">
      <alignment horizontal="center" vertical="center"/>
    </xf>
    <xf numFmtId="0" fontId="26" fillId="0" borderId="32" xfId="5" applyNumberFormat="1" applyFont="1" applyFill="1" applyBorder="1" applyAlignment="1" applyProtection="1">
      <alignment horizontal="center" vertical="center" wrapText="1"/>
    </xf>
    <xf numFmtId="1" fontId="26" fillId="0" borderId="32" xfId="5" applyNumberFormat="1" applyFont="1" applyFill="1" applyBorder="1" applyAlignment="1" applyProtection="1">
      <alignment horizontal="center" vertical="center" wrapText="1"/>
    </xf>
    <xf numFmtId="0" fontId="62" fillId="0" borderId="36" xfId="5" applyNumberFormat="1" applyFont="1" applyFill="1" applyBorder="1" applyAlignment="1" applyProtection="1">
      <alignment horizontal="center" vertical="center" wrapText="1"/>
    </xf>
    <xf numFmtId="1" fontId="62" fillId="0" borderId="25" xfId="5" applyNumberFormat="1" applyFont="1" applyFill="1" applyBorder="1" applyAlignment="1" applyProtection="1">
      <alignment horizontal="center" vertical="center" wrapText="1"/>
    </xf>
    <xf numFmtId="0" fontId="30" fillId="0" borderId="32" xfId="5" applyNumberFormat="1" applyFont="1" applyFill="1" applyBorder="1" applyAlignment="1" applyProtection="1">
      <alignment horizontal="center" vertical="center"/>
    </xf>
    <xf numFmtId="1" fontId="30" fillId="0" borderId="32" xfId="5" applyNumberFormat="1" applyFont="1" applyFill="1" applyBorder="1" applyAlignment="1" applyProtection="1">
      <alignment horizontal="center" vertical="center"/>
    </xf>
    <xf numFmtId="0" fontId="30" fillId="0" borderId="32" xfId="5" applyNumberFormat="1" applyFont="1" applyFill="1" applyBorder="1" applyAlignment="1" applyProtection="1">
      <alignment horizontal="center" vertical="center" wrapText="1"/>
    </xf>
    <xf numFmtId="1" fontId="30" fillId="0" borderId="32" xfId="5" applyNumberFormat="1" applyFont="1" applyFill="1" applyBorder="1" applyAlignment="1" applyProtection="1">
      <alignment horizontal="center" vertical="center" wrapText="1"/>
    </xf>
    <xf numFmtId="0" fontId="31" fillId="0" borderId="4" xfId="5" applyNumberFormat="1" applyFont="1" applyFill="1" applyBorder="1" applyAlignment="1" applyProtection="1">
      <alignment horizontal="center" vertical="center"/>
    </xf>
    <xf numFmtId="0" fontId="31" fillId="0" borderId="5" xfId="5" applyNumberFormat="1" applyFont="1" applyFill="1" applyBorder="1" applyAlignment="1" applyProtection="1">
      <alignment horizontal="center" vertical="center"/>
    </xf>
    <xf numFmtId="0" fontId="31" fillId="0" borderId="19" xfId="5" applyNumberFormat="1" applyFont="1" applyFill="1" applyBorder="1" applyAlignment="1" applyProtection="1">
      <alignment horizontal="center" vertical="center"/>
    </xf>
    <xf numFmtId="14" fontId="67" fillId="8" borderId="18" xfId="0" applyNumberFormat="1" applyFont="1" applyFill="1" applyBorder="1" applyAlignment="1" applyProtection="1">
      <alignment horizontal="center" vertical="center"/>
    </xf>
    <xf numFmtId="0" fontId="69" fillId="0" borderId="25" xfId="0" applyNumberFormat="1" applyFont="1" applyFill="1" applyBorder="1" applyAlignment="1" applyProtection="1">
      <alignment horizontal="left" vertical="center"/>
    </xf>
    <xf numFmtId="0" fontId="26" fillId="0" borderId="25" xfId="5" applyNumberFormat="1" applyFont="1" applyFill="1" applyBorder="1" applyAlignment="1" applyProtection="1">
      <alignment horizontal="left" vertical="center"/>
    </xf>
    <xf numFmtId="0" fontId="26" fillId="0" borderId="30" xfId="5" applyNumberFormat="1" applyFont="1" applyFill="1" applyBorder="1" applyAlignment="1" applyProtection="1">
      <alignment horizontal="left" vertical="center"/>
    </xf>
    <xf numFmtId="0" fontId="69" fillId="8" borderId="25" xfId="0" applyNumberFormat="1" applyFont="1" applyFill="1" applyBorder="1" applyAlignment="1" applyProtection="1">
      <alignment horizontal="left" vertical="center"/>
    </xf>
    <xf numFmtId="0" fontId="26" fillId="2" borderId="32" xfId="5" applyNumberFormat="1" applyFont="1" applyFill="1" applyBorder="1" applyAlignment="1" applyProtection="1">
      <alignment horizontal="left" vertical="center"/>
    </xf>
    <xf numFmtId="0" fontId="26" fillId="2" borderId="33" xfId="5" applyNumberFormat="1" applyFont="1" applyFill="1" applyBorder="1" applyAlignment="1" applyProtection="1">
      <alignment horizontal="left" vertical="center"/>
    </xf>
    <xf numFmtId="0" fontId="26" fillId="2" borderId="25" xfId="5" applyNumberFormat="1" applyFont="1" applyFill="1" applyBorder="1" applyAlignment="1" applyProtection="1">
      <alignment horizontal="left" vertical="center"/>
    </xf>
    <xf numFmtId="0" fontId="26" fillId="2" borderId="30" xfId="5" applyNumberFormat="1" applyFont="1" applyFill="1" applyBorder="1" applyAlignment="1" applyProtection="1">
      <alignment horizontal="left" vertical="center"/>
    </xf>
    <xf numFmtId="0" fontId="26" fillId="0" borderId="4" xfId="5" applyNumberFormat="1" applyFont="1" applyFill="1" applyBorder="1" applyAlignment="1" applyProtection="1">
      <alignment horizontal="center" vertical="center"/>
    </xf>
    <xf numFmtId="0" fontId="26" fillId="0" borderId="5" xfId="5" applyNumberFormat="1" applyFont="1" applyFill="1" applyBorder="1" applyAlignment="1" applyProtection="1">
      <alignment horizontal="center" vertical="center"/>
    </xf>
    <xf numFmtId="0" fontId="26" fillId="0" borderId="19" xfId="5" applyNumberFormat="1" applyFont="1" applyFill="1" applyBorder="1" applyAlignment="1" applyProtection="1">
      <alignment horizontal="center" vertical="center"/>
    </xf>
    <xf numFmtId="0" fontId="26" fillId="0" borderId="2" xfId="5" applyNumberFormat="1" applyFont="1" applyFill="1" applyBorder="1" applyAlignment="1" applyProtection="1">
      <alignment horizontal="center" vertical="center"/>
    </xf>
    <xf numFmtId="0" fontId="26" fillId="0" borderId="6" xfId="5" applyNumberFormat="1" applyFont="1" applyFill="1" applyBorder="1" applyAlignment="1" applyProtection="1">
      <alignment horizontal="center" vertical="center"/>
    </xf>
    <xf numFmtId="0" fontId="26" fillId="0" borderId="3" xfId="5" applyNumberFormat="1" applyFont="1" applyFill="1" applyBorder="1" applyAlignment="1" applyProtection="1">
      <alignment horizontal="center" vertical="center"/>
    </xf>
    <xf numFmtId="0" fontId="26" fillId="0" borderId="14" xfId="5" applyNumberFormat="1" applyFont="1" applyFill="1" applyBorder="1" applyAlignment="1" applyProtection="1">
      <alignment horizontal="center" vertical="center"/>
    </xf>
    <xf numFmtId="0" fontId="26" fillId="0" borderId="0" xfId="5" applyNumberFormat="1" applyFont="1" applyFill="1" applyBorder="1" applyAlignment="1" applyProtection="1">
      <alignment horizontal="center" vertical="center"/>
    </xf>
    <xf numFmtId="0" fontId="26" fillId="0" borderId="10" xfId="5" applyNumberFormat="1" applyFont="1" applyFill="1" applyBorder="1" applyAlignment="1" applyProtection="1">
      <alignment horizontal="center" vertical="center"/>
    </xf>
    <xf numFmtId="0" fontId="26" fillId="0" borderId="23" xfId="5" applyNumberFormat="1" applyFont="1" applyFill="1" applyBorder="1" applyAlignment="1" applyProtection="1">
      <alignment horizontal="center" vertical="center"/>
    </xf>
    <xf numFmtId="0" fontId="26" fillId="0" borderId="101" xfId="5" applyNumberFormat="1" applyFont="1" applyFill="1" applyBorder="1" applyAlignment="1" applyProtection="1">
      <alignment horizontal="center" vertical="center"/>
    </xf>
    <xf numFmtId="0" fontId="26" fillId="0" borderId="8" xfId="5" applyNumberFormat="1" applyFont="1" applyFill="1" applyBorder="1" applyAlignment="1" applyProtection="1">
      <alignment horizontal="center" vertical="center"/>
    </xf>
    <xf numFmtId="0" fontId="69" fillId="0" borderId="50" xfId="0" applyNumberFormat="1" applyFont="1" applyFill="1" applyBorder="1" applyAlignment="1" applyProtection="1">
      <alignment horizontal="left" vertical="center"/>
    </xf>
    <xf numFmtId="0" fontId="26" fillId="0" borderId="51" xfId="5" applyNumberFormat="1" applyFont="1" applyFill="1" applyBorder="1" applyAlignment="1" applyProtection="1">
      <alignment horizontal="left" vertical="center"/>
    </xf>
    <xf numFmtId="0" fontId="26" fillId="0" borderId="63" xfId="5" applyNumberFormat="1" applyFont="1" applyFill="1" applyBorder="1" applyAlignment="1" applyProtection="1">
      <alignment horizontal="left" vertical="center"/>
    </xf>
    <xf numFmtId="0" fontId="26" fillId="0" borderId="62" xfId="5" applyNumberFormat="1" applyFont="1" applyFill="1" applyBorder="1" applyAlignment="1" applyProtection="1">
      <alignment horizontal="left" vertical="center"/>
    </xf>
    <xf numFmtId="0" fontId="68" fillId="0" borderId="4" xfId="0" applyNumberFormat="1" applyFont="1" applyFill="1" applyBorder="1" applyAlignment="1" applyProtection="1">
      <alignment horizontal="center" vertical="center"/>
    </xf>
    <xf numFmtId="0" fontId="32" fillId="0" borderId="65" xfId="5" applyNumberFormat="1" applyFont="1" applyFill="1" applyBorder="1" applyAlignment="1" applyProtection="1">
      <alignment horizontal="center" vertical="center"/>
    </xf>
    <xf numFmtId="0" fontId="32" fillId="0" borderId="66" xfId="5" applyNumberFormat="1" applyFont="1" applyFill="1" applyBorder="1" applyAlignment="1" applyProtection="1">
      <alignment horizontal="center" vertical="center"/>
    </xf>
    <xf numFmtId="0" fontId="67" fillId="0" borderId="4" xfId="0" applyNumberFormat="1" applyFont="1" applyFill="1" applyBorder="1" applyAlignment="1" applyProtection="1">
      <alignment horizontal="center" vertical="center"/>
    </xf>
    <xf numFmtId="0" fontId="31" fillId="0" borderId="65" xfId="5" applyNumberFormat="1" applyFont="1" applyFill="1" applyBorder="1" applyAlignment="1" applyProtection="1">
      <alignment horizontal="center" vertical="center"/>
    </xf>
    <xf numFmtId="0" fontId="31" fillId="0" borderId="66" xfId="5" applyNumberFormat="1" applyFont="1" applyFill="1" applyBorder="1" applyAlignment="1" applyProtection="1">
      <alignment horizontal="center" vertical="center"/>
    </xf>
    <xf numFmtId="0" fontId="26" fillId="0" borderId="64" xfId="5" applyNumberFormat="1" applyFont="1" applyFill="1" applyBorder="1" applyAlignment="1" applyProtection="1">
      <alignment horizontal="left" vertical="center"/>
    </xf>
    <xf numFmtId="0" fontId="26" fillId="0" borderId="65" xfId="5" applyNumberFormat="1" applyFont="1" applyFill="1" applyBorder="1" applyAlignment="1" applyProtection="1">
      <alignment horizontal="left" vertical="center"/>
    </xf>
    <xf numFmtId="0" fontId="26" fillId="0" borderId="66" xfId="5" applyNumberFormat="1" applyFont="1" applyFill="1" applyBorder="1" applyAlignment="1" applyProtection="1">
      <alignment horizontal="left" vertical="center"/>
    </xf>
    <xf numFmtId="0" fontId="69" fillId="0" borderId="18" xfId="0" applyNumberFormat="1" applyFont="1" applyFill="1" applyBorder="1" applyAlignment="1" applyProtection="1">
      <alignment horizontal="center" vertical="center"/>
    </xf>
    <xf numFmtId="0" fontId="26" fillId="0" borderId="40" xfId="5" applyNumberFormat="1" applyFont="1" applyFill="1" applyBorder="1" applyAlignment="1" applyProtection="1">
      <alignment horizontal="center" vertical="center"/>
    </xf>
    <xf numFmtId="0" fontId="31" fillId="0" borderId="25" xfId="5" applyNumberFormat="1" applyFont="1" applyFill="1" applyBorder="1" applyAlignment="1" applyProtection="1">
      <alignment horizontal="center" vertical="center"/>
    </xf>
    <xf numFmtId="1" fontId="31" fillId="0" borderId="25" xfId="5" applyNumberFormat="1" applyFont="1" applyFill="1" applyBorder="1" applyAlignment="1" applyProtection="1">
      <alignment horizontal="center" vertical="center"/>
    </xf>
    <xf numFmtId="0" fontId="31" fillId="0" borderId="39" xfId="5" applyNumberFormat="1" applyFont="1" applyFill="1" applyBorder="1" applyAlignment="1" applyProtection="1">
      <alignment horizontal="center" vertical="center" wrapText="1"/>
    </xf>
    <xf numFmtId="1" fontId="26" fillId="0" borderId="34" xfId="5" applyNumberFormat="1" applyFont="1" applyFill="1" applyBorder="1" applyAlignment="1" applyProtection="1">
      <alignment vertical="center" wrapText="1"/>
    </xf>
    <xf numFmtId="1" fontId="26" fillId="0" borderId="40" xfId="5" applyNumberFormat="1" applyFont="1" applyFill="1" applyBorder="1" applyAlignment="1" applyProtection="1">
      <alignment vertical="center" wrapText="1"/>
    </xf>
    <xf numFmtId="0" fontId="28" fillId="0" borderId="39" xfId="5" applyNumberFormat="1" applyFont="1" applyFill="1" applyBorder="1" applyAlignment="1" applyProtection="1">
      <alignment horizontal="center" vertical="center" wrapText="1"/>
    </xf>
    <xf numFmtId="1" fontId="28" fillId="0" borderId="40" xfId="5" applyNumberFormat="1" applyFont="1" applyFill="1" applyBorder="1" applyAlignment="1" applyProtection="1">
      <alignment horizontal="center" vertical="center" wrapText="1"/>
    </xf>
    <xf numFmtId="0" fontId="67" fillId="0" borderId="143" xfId="0" applyNumberFormat="1" applyFont="1" applyFill="1" applyBorder="1" applyAlignment="1" applyProtection="1">
      <alignment horizontal="center" vertical="center"/>
    </xf>
    <xf numFmtId="0" fontId="31" fillId="0" borderId="109" xfId="5" applyNumberFormat="1" applyFont="1" applyFill="1" applyBorder="1" applyAlignment="1" applyProtection="1">
      <alignment horizontal="center" vertical="center"/>
    </xf>
    <xf numFmtId="0" fontId="31" fillId="0" borderId="110" xfId="5" applyNumberFormat="1" applyFont="1" applyFill="1" applyBorder="1" applyAlignment="1" applyProtection="1">
      <alignment horizontal="center" vertical="center"/>
    </xf>
    <xf numFmtId="0" fontId="67" fillId="0" borderId="144" xfId="0" applyNumberFormat="1" applyFont="1" applyFill="1" applyBorder="1" applyAlignment="1" applyProtection="1">
      <alignment horizontal="center" vertical="center"/>
    </xf>
    <xf numFmtId="0" fontId="31" fillId="0" borderId="108" xfId="5" applyNumberFormat="1" applyFont="1" applyFill="1" applyBorder="1" applyAlignment="1" applyProtection="1">
      <alignment horizontal="center" vertical="center"/>
    </xf>
    <xf numFmtId="0" fontId="26" fillId="0" borderId="34" xfId="5" applyNumberFormat="1" applyFont="1" applyFill="1" applyBorder="1" applyAlignment="1" applyProtection="1">
      <alignment horizontal="center" vertical="center"/>
    </xf>
    <xf numFmtId="1" fontId="26" fillId="0" borderId="34" xfId="5" applyNumberFormat="1" applyFont="1" applyFill="1" applyBorder="1" applyAlignment="1" applyProtection="1">
      <alignment horizontal="center" vertical="center"/>
    </xf>
    <xf numFmtId="0" fontId="66" fillId="0" borderId="50" xfId="0" applyNumberFormat="1" applyFont="1" applyFill="1" applyBorder="1" applyAlignment="1" applyProtection="1">
      <alignment horizontal="center" vertical="center"/>
    </xf>
    <xf numFmtId="0" fontId="28" fillId="0" borderId="51" xfId="5" applyNumberFormat="1" applyFont="1" applyFill="1" applyBorder="1" applyAlignment="1" applyProtection="1">
      <alignment horizontal="center" vertical="center"/>
    </xf>
    <xf numFmtId="0" fontId="66" fillId="0" borderId="144" xfId="0" applyNumberFormat="1" applyFont="1" applyFill="1" applyBorder="1" applyAlignment="1" applyProtection="1">
      <alignment horizontal="center" vertical="center"/>
    </xf>
    <xf numFmtId="0" fontId="28" fillId="0" borderId="41" xfId="5" applyNumberFormat="1" applyFont="1" applyFill="1" applyBorder="1" applyAlignment="1" applyProtection="1">
      <alignment horizontal="center" vertical="center"/>
    </xf>
    <xf numFmtId="0" fontId="28" fillId="0" borderId="42" xfId="5" applyNumberFormat="1" applyFont="1" applyFill="1" applyBorder="1" applyAlignment="1" applyProtection="1">
      <alignment horizontal="center" vertical="center"/>
    </xf>
    <xf numFmtId="0" fontId="26" fillId="0" borderId="152" xfId="5" applyNumberFormat="1" applyFont="1" applyFill="1" applyBorder="1" applyAlignment="1" applyProtection="1">
      <alignment horizontal="center" vertical="center"/>
    </xf>
    <xf numFmtId="0" fontId="26" fillId="0" borderId="153" xfId="5" applyNumberFormat="1" applyFont="1" applyFill="1" applyBorder="1" applyAlignment="1" applyProtection="1">
      <alignment horizontal="center" vertical="center"/>
    </xf>
    <xf numFmtId="0" fontId="26" fillId="0" borderId="52" xfId="5" applyNumberFormat="1" applyFont="1" applyFill="1" applyBorder="1" applyAlignment="1" applyProtection="1">
      <alignment horizontal="left" vertical="center"/>
    </xf>
    <xf numFmtId="0" fontId="26" fillId="0" borderId="141" xfId="5" applyNumberFormat="1" applyFont="1" applyFill="1" applyBorder="1" applyAlignment="1" applyProtection="1">
      <alignment horizontal="left" vertical="center"/>
    </xf>
    <xf numFmtId="1" fontId="26" fillId="0" borderId="52" xfId="5" applyNumberFormat="1" applyFont="1" applyFill="1" applyBorder="1" applyAlignment="1" applyProtection="1">
      <alignment horizontal="left" vertical="center"/>
    </xf>
    <xf numFmtId="1" fontId="26" fillId="0" borderId="141" xfId="5" applyNumberFormat="1" applyFont="1" applyFill="1" applyBorder="1" applyAlignment="1" applyProtection="1">
      <alignment horizontal="left" vertical="center"/>
    </xf>
    <xf numFmtId="0" fontId="69" fillId="0" borderId="141" xfId="0" applyNumberFormat="1" applyFont="1" applyFill="1" applyBorder="1" applyAlignment="1" applyProtection="1">
      <alignment horizontal="left" vertical="center"/>
    </xf>
    <xf numFmtId="0" fontId="67" fillId="0" borderId="142" xfId="0" applyNumberFormat="1" applyFont="1" applyFill="1" applyBorder="1" applyAlignment="1" applyProtection="1">
      <alignment horizontal="center" vertical="center"/>
    </xf>
    <xf numFmtId="0" fontId="31" fillId="0" borderId="48" xfId="5" applyNumberFormat="1" applyFont="1" applyFill="1" applyBorder="1" applyAlignment="1" applyProtection="1">
      <alignment horizontal="center" vertical="center"/>
    </xf>
    <xf numFmtId="0" fontId="26" fillId="0" borderId="39" xfId="5" applyNumberFormat="1" applyFont="1" applyFill="1" applyBorder="1" applyAlignment="1" applyProtection="1">
      <alignment horizontal="center" vertical="center"/>
    </xf>
    <xf numFmtId="1" fontId="26" fillId="0" borderId="40" xfId="5" applyNumberFormat="1" applyFont="1" applyFill="1" applyBorder="1" applyAlignment="1" applyProtection="1">
      <alignment horizontal="center" vertical="center"/>
    </xf>
    <xf numFmtId="0" fontId="69" fillId="0" borderId="95" xfId="0" applyNumberFormat="1" applyFont="1" applyFill="1" applyBorder="1" applyAlignment="1" applyProtection="1">
      <alignment horizontal="left" vertical="center"/>
    </xf>
    <xf numFmtId="0" fontId="8" fillId="0" borderId="9" xfId="0" applyNumberFormat="1" applyFont="1" applyFill="1" applyBorder="1" applyAlignment="1" applyProtection="1">
      <alignment horizontal="center" vertical="center" wrapText="1"/>
    </xf>
    <xf numFmtId="3" fontId="8" fillId="0" borderId="1" xfId="0" applyNumberFormat="1" applyFont="1" applyFill="1" applyBorder="1" applyAlignment="1" applyProtection="1">
      <alignment horizontal="right" vertical="center" wrapText="1"/>
    </xf>
    <xf numFmtId="3" fontId="7" fillId="0" borderId="1" xfId="0" applyNumberFormat="1" applyFont="1" applyFill="1" applyBorder="1" applyAlignment="1" applyProtection="1">
      <alignment horizontal="right" vertical="center" wrapText="1"/>
    </xf>
    <xf numFmtId="3" fontId="8" fillId="0" borderId="9" xfId="0" applyNumberFormat="1" applyFont="1" applyFill="1" applyBorder="1" applyAlignment="1" applyProtection="1">
      <alignment horizontal="right" vertical="center" wrapText="1"/>
    </xf>
    <xf numFmtId="3" fontId="7" fillId="0" borderId="9" xfId="0" applyNumberFormat="1" applyFont="1" applyFill="1" applyBorder="1" applyAlignment="1" applyProtection="1">
      <alignment horizontal="right" vertical="center" wrapText="1"/>
    </xf>
    <xf numFmtId="0" fontId="6" fillId="3" borderId="6" xfId="0" applyNumberFormat="1" applyFont="1" applyFill="1" applyBorder="1" applyAlignment="1">
      <alignment horizontal="center" vertical="center"/>
    </xf>
    <xf numFmtId="0" fontId="6" fillId="3" borderId="3" xfId="0" applyNumberFormat="1" applyFont="1" applyFill="1" applyBorder="1" applyAlignment="1">
      <alignment horizontal="center" vertical="center"/>
    </xf>
    <xf numFmtId="0" fontId="38" fillId="3" borderId="0" xfId="10" applyNumberFormat="1" applyFont="1" applyFill="1" applyBorder="1" applyAlignment="1" applyProtection="1">
      <alignment horizontal="center"/>
    </xf>
    <xf numFmtId="0" fontId="39" fillId="0" borderId="0" xfId="10" applyNumberFormat="1" applyFont="1" applyFill="1" applyBorder="1" applyAlignment="1" applyProtection="1">
      <alignment horizontal="left"/>
    </xf>
    <xf numFmtId="14" fontId="21" fillId="0" borderId="109" xfId="0" applyNumberFormat="1" applyFont="1" applyFill="1" applyBorder="1" applyAlignment="1" applyProtection="1">
      <alignment horizontal="center" vertical="center"/>
    </xf>
    <xf numFmtId="0" fontId="40" fillId="0" borderId="111" xfId="10" applyNumberFormat="1" applyFont="1" applyFill="1" applyBorder="1" applyAlignment="1" applyProtection="1">
      <alignment horizontal="center" vertical="center"/>
    </xf>
    <xf numFmtId="0" fontId="21" fillId="0" borderId="109" xfId="0" applyNumberFormat="1" applyFont="1" applyFill="1" applyBorder="1" applyAlignment="1" applyProtection="1">
      <alignment horizontal="center" vertical="center"/>
    </xf>
    <xf numFmtId="0" fontId="39" fillId="0" borderId="0" xfId="10" applyNumberFormat="1" applyFont="1" applyFill="1" applyBorder="1" applyAlignment="1" applyProtection="1">
      <alignment horizontal="center" vertical="center"/>
    </xf>
    <xf numFmtId="0" fontId="21" fillId="0" borderId="145" xfId="0" applyNumberFormat="1" applyFont="1" applyFill="1" applyBorder="1" applyAlignment="1" applyProtection="1">
      <alignment horizontal="center" vertical="center"/>
    </xf>
    <xf numFmtId="0" fontId="40" fillId="0" borderId="71" xfId="10" applyNumberFormat="1" applyFont="1" applyFill="1" applyBorder="1" applyAlignment="1" applyProtection="1">
      <alignment horizontal="center" vertical="center"/>
    </xf>
    <xf numFmtId="0" fontId="21" fillId="0" borderId="108" xfId="0" applyNumberFormat="1" applyFont="1" applyFill="1" applyBorder="1" applyAlignment="1" applyProtection="1">
      <alignment horizontal="center" vertical="center"/>
    </xf>
    <xf numFmtId="0" fontId="40" fillId="0" borderId="72" xfId="10" applyNumberFormat="1" applyFont="1" applyFill="1" applyBorder="1" applyAlignment="1" applyProtection="1">
      <alignment horizontal="center" vertical="center"/>
    </xf>
    <xf numFmtId="0" fontId="41" fillId="3" borderId="73" xfId="10" applyNumberFormat="1" applyFont="1" applyFill="1" applyBorder="1" applyAlignment="1" applyProtection="1">
      <alignment horizontal="center" vertical="center"/>
    </xf>
    <xf numFmtId="0" fontId="41" fillId="3" borderId="75" xfId="10" applyNumberFormat="1" applyFont="1" applyFill="1" applyBorder="1" applyAlignment="1" applyProtection="1">
      <alignment horizontal="center" vertical="center"/>
    </xf>
    <xf numFmtId="171" fontId="41" fillId="3" borderId="73" xfId="10" applyNumberFormat="1" applyFont="1" applyFill="1" applyBorder="1" applyAlignment="1" applyProtection="1">
      <alignment horizontal="center" vertical="center"/>
    </xf>
    <xf numFmtId="171" fontId="41" fillId="3" borderId="75" xfId="10" applyNumberFormat="1" applyFont="1" applyFill="1" applyBorder="1" applyAlignment="1" applyProtection="1">
      <alignment horizontal="center" vertical="center"/>
    </xf>
    <xf numFmtId="0" fontId="41" fillId="3" borderId="74" xfId="10" applyNumberFormat="1" applyFont="1" applyFill="1" applyBorder="1" applyAlignment="1" applyProtection="1">
      <alignment horizontal="center" vertical="center"/>
    </xf>
    <xf numFmtId="0" fontId="12" fillId="0" borderId="18" xfId="0" applyNumberFormat="1" applyFont="1" applyFill="1" applyBorder="1" applyAlignment="1" applyProtection="1">
      <alignment horizontal="left" vertical="center" wrapText="1"/>
    </xf>
    <xf numFmtId="0" fontId="39" fillId="0" borderId="113" xfId="10" applyNumberFormat="1" applyFont="1" applyFill="1" applyBorder="1" applyAlignment="1" applyProtection="1">
      <alignment horizontal="left" vertical="center" wrapText="1"/>
    </xf>
    <xf numFmtId="0" fontId="21" fillId="0" borderId="109" xfId="0" applyNumberFormat="1" applyFont="1" applyFill="1" applyBorder="1" applyAlignment="1" applyProtection="1">
      <alignment horizontal="left"/>
    </xf>
    <xf numFmtId="0" fontId="40" fillId="0" borderId="111" xfId="10" applyNumberFormat="1" applyFont="1" applyFill="1" applyBorder="1" applyAlignment="1" applyProtection="1">
      <alignment horizontal="left"/>
    </xf>
    <xf numFmtId="0" fontId="41" fillId="3" borderId="113" xfId="10" applyNumberFormat="1" applyFont="1" applyFill="1" applyBorder="1" applyAlignment="1" applyProtection="1">
      <alignment horizontal="center" vertical="center"/>
    </xf>
    <xf numFmtId="0" fontId="41" fillId="3" borderId="113" xfId="10" applyNumberFormat="1" applyFont="1" applyFill="1" applyBorder="1" applyAlignment="1" applyProtection="1">
      <alignment horizontal="center" vertical="center" wrapText="1"/>
    </xf>
    <xf numFmtId="14" fontId="21" fillId="0" borderId="109" xfId="0" applyNumberFormat="1" applyFont="1" applyFill="1" applyBorder="1" applyAlignment="1" applyProtection="1">
      <alignment horizontal="center"/>
    </xf>
    <xf numFmtId="14" fontId="40" fillId="0" borderId="111" xfId="10" applyNumberFormat="1" applyFont="1" applyFill="1" applyBorder="1" applyAlignment="1" applyProtection="1">
      <alignment horizontal="center"/>
    </xf>
    <xf numFmtId="0" fontId="39" fillId="0" borderId="0" xfId="10" applyNumberFormat="1" applyFont="1" applyFill="1" applyBorder="1" applyAlignment="1" applyProtection="1">
      <alignment horizontal="center" vertical="center" wrapText="1"/>
    </xf>
    <xf numFmtId="0" fontId="21" fillId="0" borderId="108" xfId="0" applyNumberFormat="1" applyFont="1" applyFill="1" applyBorder="1" applyAlignment="1" applyProtection="1">
      <alignment horizontal="left"/>
    </xf>
    <xf numFmtId="0" fontId="40" fillId="0" borderId="72" xfId="10" applyNumberFormat="1" applyFont="1" applyFill="1" applyBorder="1" applyAlignment="1" applyProtection="1">
      <alignment horizontal="left"/>
    </xf>
    <xf numFmtId="0" fontId="82" fillId="0" borderId="0" xfId="0" applyNumberFormat="1" applyFont="1" applyFill="1" applyBorder="1" applyAlignment="1" applyProtection="1">
      <alignment horizontal="left" vertical="center" wrapText="1"/>
    </xf>
    <xf numFmtId="0" fontId="12" fillId="0" borderId="0" xfId="0" applyNumberFormat="1" applyFont="1" applyFill="1" applyBorder="1" applyAlignment="1" applyProtection="1">
      <alignment horizontal="left" vertical="center" wrapText="1"/>
    </xf>
    <xf numFmtId="0" fontId="41" fillId="3" borderId="125" xfId="10" applyNumberFormat="1" applyFont="1" applyFill="1" applyBorder="1" applyAlignment="1" applyProtection="1">
      <alignment horizontal="center" vertical="center" wrapText="1"/>
    </xf>
    <xf numFmtId="0" fontId="3" fillId="3" borderId="75" xfId="10" applyNumberFormat="1" applyFont="1" applyFill="1" applyBorder="1" applyAlignment="1" applyProtection="1">
      <alignment horizontal="center" vertical="center" wrapText="1"/>
    </xf>
    <xf numFmtId="0" fontId="3" fillId="3" borderId="82" xfId="10" applyNumberFormat="1" applyFont="1" applyFill="1" applyBorder="1" applyAlignment="1" applyProtection="1">
      <alignment horizontal="center" vertical="center" wrapText="1"/>
    </xf>
    <xf numFmtId="0" fontId="41" fillId="3" borderId="79" xfId="10" applyNumberFormat="1" applyFont="1" applyFill="1" applyBorder="1" applyAlignment="1" applyProtection="1">
      <alignment horizontal="right" vertical="top"/>
    </xf>
    <xf numFmtId="0" fontId="41" fillId="3" borderId="80" xfId="10" applyNumberFormat="1" applyFont="1" applyFill="1" applyBorder="1" applyAlignment="1" applyProtection="1">
      <alignment horizontal="right" vertical="top"/>
    </xf>
    <xf numFmtId="0" fontId="41" fillId="3" borderId="81" xfId="10" applyNumberFormat="1" applyFont="1" applyFill="1" applyBorder="1" applyAlignment="1" applyProtection="1">
      <alignment horizontal="right" vertical="top"/>
    </xf>
    <xf numFmtId="0" fontId="41" fillId="3" borderId="75" xfId="10" applyNumberFormat="1" applyFont="1" applyFill="1" applyBorder="1" applyAlignment="1" applyProtection="1">
      <alignment horizontal="center" vertical="center" wrapText="1"/>
    </xf>
    <xf numFmtId="0" fontId="41" fillId="3" borderId="82" xfId="10" applyNumberFormat="1" applyFont="1" applyFill="1" applyBorder="1" applyAlignment="1" applyProtection="1">
      <alignment horizontal="center" vertical="center" wrapText="1"/>
    </xf>
    <xf numFmtId="0" fontId="44" fillId="3" borderId="125" xfId="10" applyNumberFormat="1" applyFont="1" applyFill="1" applyBorder="1" applyAlignment="1" applyProtection="1">
      <alignment horizontal="center" vertical="center" wrapText="1"/>
    </xf>
    <xf numFmtId="0" fontId="44" fillId="3" borderId="75" xfId="10" applyNumberFormat="1" applyFont="1" applyFill="1" applyBorder="1" applyAlignment="1" applyProtection="1">
      <alignment horizontal="center" vertical="center" wrapText="1"/>
    </xf>
    <xf numFmtId="0" fontId="44" fillId="3" borderId="82" xfId="10" applyNumberFormat="1" applyFont="1" applyFill="1" applyBorder="1" applyAlignment="1" applyProtection="1">
      <alignment horizontal="center" vertical="center" wrapText="1"/>
    </xf>
    <xf numFmtId="0" fontId="40" fillId="0" borderId="111" xfId="10" applyNumberFormat="1" applyFont="1" applyFill="1" applyBorder="1" applyAlignment="1" applyProtection="1">
      <alignment horizontal="center"/>
    </xf>
    <xf numFmtId="0" fontId="21" fillId="0" borderId="145" xfId="0" applyNumberFormat="1" applyFont="1" applyFill="1" applyBorder="1" applyAlignment="1" applyProtection="1">
      <alignment horizontal="left" vertical="center"/>
    </xf>
    <xf numFmtId="0" fontId="40" fillId="0" borderId="71" xfId="10" applyNumberFormat="1" applyFont="1" applyFill="1" applyBorder="1" applyAlignment="1" applyProtection="1">
      <alignment horizontal="left" vertical="center"/>
    </xf>
    <xf numFmtId="0" fontId="40" fillId="0" borderId="111" xfId="10" applyNumberFormat="1" applyFont="1" applyFill="1" applyBorder="1" applyAlignment="1" applyProtection="1">
      <alignment horizontal="left" vertical="center"/>
    </xf>
    <xf numFmtId="0" fontId="41" fillId="3" borderId="73" xfId="10" applyNumberFormat="1" applyFont="1" applyFill="1" applyBorder="1" applyAlignment="1" applyProtection="1">
      <alignment horizontal="center" vertical="center" wrapText="1"/>
    </xf>
    <xf numFmtId="0" fontId="41" fillId="3" borderId="79" xfId="10" applyNumberFormat="1" applyFont="1" applyFill="1" applyBorder="1" applyAlignment="1" applyProtection="1">
      <alignment horizontal="center" vertical="top"/>
    </xf>
    <xf numFmtId="0" fontId="41" fillId="3" borderId="80" xfId="10" applyNumberFormat="1" applyFont="1" applyFill="1" applyBorder="1" applyAlignment="1" applyProtection="1">
      <alignment horizontal="center" vertical="top"/>
    </xf>
    <xf numFmtId="0" fontId="41" fillId="3" borderId="81" xfId="10" applyNumberFormat="1" applyFont="1" applyFill="1" applyBorder="1" applyAlignment="1" applyProtection="1">
      <alignment horizontal="center" vertical="top"/>
    </xf>
    <xf numFmtId="0" fontId="41" fillId="3" borderId="76" xfId="10" applyNumberFormat="1" applyFont="1" applyFill="1" applyBorder="1" applyAlignment="1" applyProtection="1">
      <alignment horizontal="center" vertical="center" wrapText="1"/>
    </xf>
    <xf numFmtId="0" fontId="41" fillId="3" borderId="77" xfId="10" applyNumberFormat="1" applyFont="1" applyFill="1" applyBorder="1" applyAlignment="1" applyProtection="1">
      <alignment horizontal="center" vertical="center" wrapText="1"/>
    </xf>
    <xf numFmtId="0" fontId="41" fillId="3" borderId="78" xfId="10" applyNumberFormat="1" applyFont="1" applyFill="1" applyBorder="1" applyAlignment="1" applyProtection="1">
      <alignment horizontal="center" vertical="center" wrapText="1"/>
    </xf>
    <xf numFmtId="0" fontId="46" fillId="3" borderId="75" xfId="10" applyNumberFormat="1" applyFont="1" applyFill="1" applyBorder="1" applyAlignment="1" applyProtection="1">
      <alignment horizontal="center" vertical="center" wrapText="1"/>
    </xf>
    <xf numFmtId="0" fontId="46" fillId="3" borderId="82" xfId="10" applyNumberFormat="1" applyFont="1" applyFill="1" applyBorder="1" applyAlignment="1" applyProtection="1">
      <alignment horizontal="center" vertical="center" wrapText="1"/>
    </xf>
    <xf numFmtId="0" fontId="47" fillId="3" borderId="82" xfId="10" applyNumberFormat="1" applyFont="1" applyFill="1" applyBorder="1" applyAlignment="1" applyProtection="1">
      <alignment horizontal="center" vertical="center" wrapText="1"/>
    </xf>
    <xf numFmtId="0" fontId="41" fillId="3" borderId="79" xfId="18" applyNumberFormat="1" applyFont="1" applyFill="1" applyBorder="1" applyAlignment="1" applyProtection="1">
      <alignment horizontal="center" vertical="top"/>
    </xf>
    <xf numFmtId="0" fontId="41" fillId="3" borderId="80" xfId="18" applyNumberFormat="1" applyFont="1" applyFill="1" applyBorder="1" applyAlignment="1" applyProtection="1">
      <alignment horizontal="center" vertical="top"/>
    </xf>
    <xf numFmtId="0" fontId="41" fillId="3" borderId="81" xfId="18" applyNumberFormat="1" applyFont="1" applyFill="1" applyBorder="1" applyAlignment="1" applyProtection="1">
      <alignment horizontal="center" vertical="top"/>
    </xf>
    <xf numFmtId="0" fontId="41" fillId="3" borderId="75" xfId="18" applyNumberFormat="1" applyFont="1" applyFill="1" applyBorder="1" applyAlignment="1" applyProtection="1">
      <alignment horizontal="center" vertical="center" wrapText="1"/>
    </xf>
    <xf numFmtId="0" fontId="1" fillId="3" borderId="82" xfId="18" applyNumberFormat="1" applyFont="1" applyFill="1" applyBorder="1" applyAlignment="1" applyProtection="1">
      <alignment horizontal="center" vertical="center" wrapText="1"/>
    </xf>
    <xf numFmtId="0" fontId="44" fillId="3" borderId="75" xfId="18" applyNumberFormat="1" applyFont="1" applyFill="1" applyBorder="1" applyAlignment="1" applyProtection="1">
      <alignment horizontal="center" vertical="center" wrapText="1"/>
    </xf>
    <xf numFmtId="0" fontId="47" fillId="3" borderId="82" xfId="18" applyNumberFormat="1" applyFont="1" applyFill="1" applyBorder="1" applyAlignment="1" applyProtection="1">
      <alignment horizontal="center" vertical="center" wrapText="1"/>
    </xf>
    <xf numFmtId="0" fontId="41" fillId="3" borderId="73" xfId="18" applyNumberFormat="1" applyFont="1" applyFill="1" applyBorder="1" applyAlignment="1" applyProtection="1">
      <alignment horizontal="center" vertical="center" wrapText="1"/>
    </xf>
    <xf numFmtId="0" fontId="41" fillId="3" borderId="82" xfId="18" applyNumberFormat="1" applyFont="1" applyFill="1" applyBorder="1" applyAlignment="1" applyProtection="1">
      <alignment horizontal="center" vertical="center" wrapText="1"/>
    </xf>
    <xf numFmtId="0" fontId="38" fillId="3" borderId="0" xfId="18" applyNumberFormat="1" applyFont="1" applyFill="1" applyBorder="1" applyAlignment="1" applyProtection="1">
      <alignment horizontal="center"/>
    </xf>
    <xf numFmtId="0" fontId="39" fillId="0" borderId="0" xfId="18" applyNumberFormat="1" applyFont="1" applyFill="1" applyBorder="1" applyAlignment="1" applyProtection="1">
      <alignment horizontal="left"/>
    </xf>
    <xf numFmtId="0" fontId="40" fillId="0" borderId="111" xfId="18" applyNumberFormat="1" applyFont="1" applyFill="1" applyBorder="1" applyAlignment="1" applyProtection="1">
      <alignment horizontal="left"/>
    </xf>
    <xf numFmtId="0" fontId="39" fillId="0" borderId="0" xfId="18" applyNumberFormat="1" applyFont="1" applyFill="1" applyBorder="1" applyAlignment="1" applyProtection="1">
      <alignment horizontal="center" vertical="center"/>
    </xf>
    <xf numFmtId="0" fontId="40" fillId="0" borderId="111" xfId="18" applyNumberFormat="1" applyFont="1" applyFill="1" applyBorder="1" applyAlignment="1" applyProtection="1">
      <alignment horizontal="center" vertical="center"/>
    </xf>
    <xf numFmtId="0" fontId="40" fillId="0" borderId="72" xfId="18" applyNumberFormat="1" applyFont="1" applyFill="1" applyBorder="1" applyAlignment="1" applyProtection="1">
      <alignment horizontal="left"/>
    </xf>
    <xf numFmtId="0" fontId="12" fillId="0" borderId="0" xfId="0" applyNumberFormat="1" applyFont="1" applyFill="1" applyBorder="1" applyAlignment="1" applyProtection="1">
      <alignment horizontal="left" vertical="top" wrapText="1"/>
    </xf>
    <xf numFmtId="0" fontId="12" fillId="0" borderId="23" xfId="0" applyNumberFormat="1" applyFont="1" applyFill="1" applyBorder="1" applyAlignment="1" applyProtection="1">
      <alignment horizontal="left" vertical="top"/>
    </xf>
    <xf numFmtId="0" fontId="39" fillId="0" borderId="60" xfId="10" applyNumberFormat="1" applyFont="1" applyFill="1" applyBorder="1" applyAlignment="1" applyProtection="1">
      <alignment vertical="top"/>
    </xf>
    <xf numFmtId="0" fontId="39" fillId="0" borderId="61" xfId="10" applyNumberFormat="1" applyFont="1" applyFill="1" applyBorder="1" applyAlignment="1" applyProtection="1">
      <alignment vertical="top"/>
    </xf>
    <xf numFmtId="0" fontId="21" fillId="0" borderId="14" xfId="0" applyNumberFormat="1" applyFont="1" applyFill="1" applyBorder="1" applyAlignment="1" applyProtection="1">
      <alignment horizontal="left" vertical="top"/>
    </xf>
    <xf numFmtId="0" fontId="40" fillId="0" borderId="0" xfId="10" applyNumberFormat="1" applyFont="1" applyFill="1" applyBorder="1" applyAlignment="1" applyProtection="1">
      <alignment vertical="top"/>
    </xf>
    <xf numFmtId="0" fontId="40" fillId="0" borderId="126" xfId="10" applyNumberFormat="1" applyFont="1" applyFill="1" applyBorder="1" applyAlignment="1" applyProtection="1">
      <alignment vertical="top"/>
    </xf>
    <xf numFmtId="0" fontId="12" fillId="0" borderId="14" xfId="0" applyNumberFormat="1" applyFont="1" applyFill="1" applyBorder="1" applyAlignment="1" applyProtection="1">
      <alignment horizontal="left" vertical="top"/>
    </xf>
    <xf numFmtId="0" fontId="39" fillId="0" borderId="0" xfId="10" applyNumberFormat="1" applyFont="1" applyFill="1" applyBorder="1" applyAlignment="1" applyProtection="1">
      <alignment vertical="top"/>
    </xf>
    <xf numFmtId="0" fontId="39" fillId="0" borderId="126" xfId="10" applyNumberFormat="1" applyFont="1" applyFill="1" applyBorder="1" applyAlignment="1" applyProtection="1">
      <alignment vertical="top"/>
    </xf>
    <xf numFmtId="0" fontId="39" fillId="0" borderId="57" xfId="10" applyNumberFormat="1" applyFont="1" applyFill="1" applyBorder="1" applyAlignment="1" applyProtection="1">
      <alignment vertical="top"/>
    </xf>
    <xf numFmtId="0" fontId="39" fillId="0" borderId="59" xfId="10" applyNumberFormat="1" applyFont="1" applyFill="1" applyBorder="1" applyAlignment="1" applyProtection="1">
      <alignment vertical="top"/>
    </xf>
    <xf numFmtId="0" fontId="44" fillId="3" borderId="73" xfId="10" applyNumberFormat="1" applyFont="1" applyFill="1" applyBorder="1" applyAlignment="1" applyProtection="1">
      <alignment horizontal="center" vertical="center" wrapText="1"/>
    </xf>
    <xf numFmtId="0" fontId="41" fillId="3" borderId="82" xfId="10" applyNumberFormat="1" applyFont="1" applyFill="1" applyBorder="1" applyAlignment="1" applyProtection="1">
      <alignment horizontal="center" vertical="center"/>
    </xf>
    <xf numFmtId="0" fontId="41" fillId="3" borderId="54" xfId="10" applyNumberFormat="1" applyFont="1" applyFill="1" applyBorder="1" applyAlignment="1" applyProtection="1">
      <alignment horizontal="center" vertical="center" wrapText="1"/>
    </xf>
    <xf numFmtId="0" fontId="41" fillId="3" borderId="55" xfId="10" applyNumberFormat="1" applyFont="1" applyFill="1" applyBorder="1" applyAlignment="1" applyProtection="1">
      <alignment horizontal="center" vertical="center" wrapText="1"/>
    </xf>
    <xf numFmtId="0" fontId="41" fillId="3" borderId="56" xfId="10" applyNumberFormat="1" applyFont="1" applyFill="1" applyBorder="1" applyAlignment="1" applyProtection="1">
      <alignment horizontal="center" vertical="center" wrapText="1"/>
    </xf>
    <xf numFmtId="0" fontId="41" fillId="3" borderId="59" xfId="10" applyNumberFormat="1" applyFont="1" applyFill="1" applyBorder="1" applyAlignment="1" applyProtection="1">
      <alignment horizontal="center" vertical="center" wrapText="1"/>
    </xf>
    <xf numFmtId="0" fontId="41" fillId="3" borderId="60" xfId="10" applyNumberFormat="1" applyFont="1" applyFill="1" applyBorder="1" applyAlignment="1" applyProtection="1">
      <alignment horizontal="center" vertical="center" wrapText="1"/>
    </xf>
    <xf numFmtId="0" fontId="41" fillId="3" borderId="61" xfId="10" applyNumberFormat="1" applyFont="1" applyFill="1" applyBorder="1" applyAlignment="1" applyProtection="1">
      <alignment horizontal="center" vertical="center" wrapText="1"/>
    </xf>
    <xf numFmtId="0" fontId="39" fillId="0" borderId="76" xfId="10" applyNumberFormat="1" applyFont="1" applyFill="1" applyBorder="1" applyAlignment="1" applyProtection="1">
      <alignment horizontal="right" vertical="center"/>
    </xf>
    <xf numFmtId="0" fontId="39" fillId="0" borderId="77" xfId="10" applyNumberFormat="1" applyFont="1" applyFill="1" applyBorder="1" applyAlignment="1" applyProtection="1">
      <alignment horizontal="right" vertical="center"/>
    </xf>
    <xf numFmtId="0" fontId="39" fillId="0" borderId="78" xfId="10" applyNumberFormat="1" applyFont="1" applyFill="1" applyBorder="1" applyAlignment="1" applyProtection="1">
      <alignment horizontal="right" vertical="center"/>
    </xf>
    <xf numFmtId="0" fontId="12" fillId="0" borderId="0" xfId="0" applyNumberFormat="1" applyFont="1" applyFill="1" applyBorder="1" applyAlignment="1" applyProtection="1">
      <alignment horizontal="center" vertical="center" wrapText="1"/>
    </xf>
    <xf numFmtId="0" fontId="64" fillId="0" borderId="0" xfId="10" applyNumberFormat="1" applyFont="1" applyFill="1" applyBorder="1" applyAlignment="1" applyProtection="1">
      <alignment horizontal="center"/>
    </xf>
    <xf numFmtId="0" fontId="44" fillId="3" borderId="55" xfId="10" applyNumberFormat="1" applyFont="1" applyFill="1" applyBorder="1" applyAlignment="1" applyProtection="1">
      <alignment horizontal="center" vertical="center" wrapText="1"/>
    </xf>
    <xf numFmtId="0" fontId="44" fillId="3" borderId="56" xfId="10" applyNumberFormat="1" applyFont="1" applyFill="1" applyBorder="1" applyAlignment="1" applyProtection="1">
      <alignment horizontal="center" vertical="center" wrapText="1"/>
    </xf>
    <xf numFmtId="0" fontId="44" fillId="3" borderId="60" xfId="10" applyNumberFormat="1" applyFont="1" applyFill="1" applyBorder="1" applyAlignment="1" applyProtection="1">
      <alignment horizontal="center" vertical="center" wrapText="1"/>
    </xf>
    <xf numFmtId="0" fontId="44" fillId="3" borderId="61" xfId="10" applyNumberFormat="1" applyFont="1" applyFill="1" applyBorder="1" applyAlignment="1" applyProtection="1">
      <alignment horizontal="center" vertical="center" wrapText="1"/>
    </xf>
    <xf numFmtId="0" fontId="12" fillId="0" borderId="4" xfId="0" applyNumberFormat="1" applyFont="1" applyFill="1" applyBorder="1" applyAlignment="1" applyProtection="1">
      <alignment horizontal="right" vertical="center"/>
    </xf>
    <xf numFmtId="0" fontId="12" fillId="0" borderId="5" xfId="0" applyNumberFormat="1" applyFont="1" applyFill="1" applyBorder="1" applyAlignment="1" applyProtection="1">
      <alignment horizontal="right" vertical="center"/>
    </xf>
    <xf numFmtId="0" fontId="12" fillId="10" borderId="4" xfId="0" applyNumberFormat="1" applyFont="1" applyFill="1" applyBorder="1" applyAlignment="1" applyProtection="1">
      <alignment horizontal="right" vertical="center"/>
    </xf>
    <xf numFmtId="0" fontId="39" fillId="3" borderId="78" xfId="10" applyNumberFormat="1" applyFont="1" applyFill="1" applyBorder="1" applyAlignment="1" applyProtection="1">
      <alignment horizontal="right" vertical="center"/>
    </xf>
    <xf numFmtId="0" fontId="12" fillId="10" borderId="5" xfId="0" applyNumberFormat="1" applyFont="1" applyFill="1" applyBorder="1" applyAlignment="1" applyProtection="1">
      <alignment horizontal="right" vertical="center"/>
    </xf>
    <xf numFmtId="0" fontId="41" fillId="3" borderId="74" xfId="10" applyNumberFormat="1" applyFont="1" applyFill="1" applyBorder="1" applyAlignment="1" applyProtection="1">
      <alignment horizontal="center" vertical="center" wrapText="1"/>
    </xf>
    <xf numFmtId="0" fontId="44" fillId="3" borderId="74" xfId="10" applyNumberFormat="1" applyFont="1" applyFill="1" applyBorder="1" applyAlignment="1" applyProtection="1">
      <alignment horizontal="center" vertical="center" wrapText="1"/>
    </xf>
    <xf numFmtId="0" fontId="39" fillId="0" borderId="73" xfId="10" applyNumberFormat="1" applyFont="1" applyFill="1" applyBorder="1" applyAlignment="1" applyProtection="1">
      <alignment horizontal="left" vertical="center" wrapText="1"/>
    </xf>
    <xf numFmtId="0" fontId="39" fillId="0" borderId="75" xfId="10" applyNumberFormat="1" applyFont="1" applyFill="1" applyBorder="1" applyAlignment="1" applyProtection="1">
      <alignment horizontal="left" vertical="center" wrapText="1"/>
    </xf>
    <xf numFmtId="0" fontId="39" fillId="0" borderId="82" xfId="10" applyNumberFormat="1" applyFont="1" applyFill="1" applyBorder="1" applyAlignment="1" applyProtection="1">
      <alignment horizontal="left" vertical="center" wrapText="1"/>
    </xf>
    <xf numFmtId="14" fontId="40" fillId="0" borderId="111" xfId="18" applyNumberFormat="1" applyFont="1" applyFill="1" applyBorder="1" applyAlignment="1" applyProtection="1">
      <alignment horizontal="center"/>
    </xf>
    <xf numFmtId="0" fontId="39" fillId="0" borderId="0" xfId="18" applyNumberFormat="1" applyFont="1" applyFill="1" applyBorder="1" applyAlignment="1" applyProtection="1">
      <alignment horizontal="center" vertical="center" wrapText="1"/>
    </xf>
    <xf numFmtId="0" fontId="40" fillId="0" borderId="71" xfId="18" applyNumberFormat="1" applyFont="1" applyFill="1" applyBorder="1" applyAlignment="1" applyProtection="1">
      <alignment horizontal="center" vertical="center"/>
    </xf>
    <xf numFmtId="0" fontId="39" fillId="0" borderId="78" xfId="18" applyNumberFormat="1" applyFont="1" applyFill="1" applyBorder="1" applyAlignment="1" applyProtection="1">
      <alignment horizontal="right" vertical="center"/>
    </xf>
    <xf numFmtId="0" fontId="12" fillId="0" borderId="18" xfId="0" applyNumberFormat="1" applyFont="1" applyFill="1" applyBorder="1" applyAlignment="1" applyProtection="1">
      <alignment horizontal="right" vertical="center"/>
    </xf>
    <xf numFmtId="0" fontId="39" fillId="0" borderId="74" xfId="18" applyNumberFormat="1" applyFont="1" applyFill="1" applyBorder="1" applyAlignment="1" applyProtection="1">
      <alignment horizontal="right" vertical="center"/>
    </xf>
    <xf numFmtId="0" fontId="39" fillId="0" borderId="73" xfId="18" applyNumberFormat="1" applyFont="1" applyFill="1" applyBorder="1" applyAlignment="1" applyProtection="1">
      <alignment horizontal="center" vertical="center" wrapText="1"/>
    </xf>
    <xf numFmtId="0" fontId="39" fillId="0" borderId="75" xfId="18" applyNumberFormat="1" applyFont="1" applyFill="1" applyBorder="1" applyAlignment="1" applyProtection="1">
      <alignment horizontal="center" vertical="center" wrapText="1"/>
    </xf>
    <xf numFmtId="0" fontId="39" fillId="0" borderId="82" xfId="18" applyNumberFormat="1" applyFont="1" applyFill="1" applyBorder="1" applyAlignment="1" applyProtection="1">
      <alignment horizontal="center" vertical="center" wrapText="1"/>
    </xf>
    <xf numFmtId="0" fontId="41" fillId="3" borderId="73" xfId="18" applyNumberFormat="1" applyFont="1" applyFill="1" applyBorder="1" applyAlignment="1" applyProtection="1">
      <alignment horizontal="center" vertical="center"/>
    </xf>
    <xf numFmtId="0" fontId="41" fillId="3" borderId="82" xfId="18" applyNumberFormat="1" applyFont="1" applyFill="1" applyBorder="1" applyAlignment="1" applyProtection="1">
      <alignment horizontal="center" vertical="center"/>
    </xf>
    <xf numFmtId="0" fontId="44" fillId="3" borderId="55" xfId="18" applyNumberFormat="1" applyFont="1" applyFill="1" applyBorder="1" applyAlignment="1" applyProtection="1">
      <alignment horizontal="center" vertical="center" wrapText="1"/>
    </xf>
    <xf numFmtId="0" fontId="44" fillId="3" borderId="56" xfId="18" applyNumberFormat="1" applyFont="1" applyFill="1" applyBorder="1" applyAlignment="1" applyProtection="1">
      <alignment horizontal="center" vertical="center" wrapText="1"/>
    </xf>
    <xf numFmtId="0" fontId="44" fillId="3" borderId="60" xfId="18" applyNumberFormat="1" applyFont="1" applyFill="1" applyBorder="1" applyAlignment="1" applyProtection="1">
      <alignment horizontal="center" vertical="center" wrapText="1"/>
    </xf>
    <xf numFmtId="0" fontId="44" fillId="3" borderId="61" xfId="18" applyNumberFormat="1" applyFont="1" applyFill="1" applyBorder="1" applyAlignment="1" applyProtection="1">
      <alignment horizontal="center" vertical="center" wrapText="1"/>
    </xf>
    <xf numFmtId="0" fontId="12" fillId="0" borderId="18" xfId="0" applyNumberFormat="1" applyFont="1" applyFill="1" applyBorder="1" applyAlignment="1" applyProtection="1">
      <alignment horizontal="center" vertical="center"/>
    </xf>
    <xf numFmtId="0" fontId="39" fillId="0" borderId="74" xfId="18" applyNumberFormat="1" applyFont="1" applyFill="1" applyBorder="1" applyAlignment="1" applyProtection="1">
      <alignment horizontal="center" vertical="center"/>
    </xf>
    <xf numFmtId="0" fontId="12" fillId="0" borderId="4" xfId="0" applyNumberFormat="1" applyFont="1" applyFill="1" applyBorder="1" applyAlignment="1" applyProtection="1">
      <alignment horizontal="center" vertical="center"/>
    </xf>
    <xf numFmtId="0" fontId="39" fillId="0" borderId="135" xfId="18" applyNumberFormat="1" applyFont="1" applyFill="1" applyBorder="1" applyAlignment="1" applyProtection="1">
      <alignment horizontal="center" vertical="center"/>
    </xf>
    <xf numFmtId="3" fontId="12" fillId="0" borderId="4" xfId="0" applyNumberFormat="1" applyFont="1" applyFill="1" applyBorder="1" applyAlignment="1" applyProtection="1">
      <alignment horizontal="right" vertical="center"/>
    </xf>
    <xf numFmtId="3" fontId="39" fillId="0" borderId="78" xfId="10" applyNumberFormat="1" applyFont="1" applyFill="1" applyBorder="1" applyAlignment="1" applyProtection="1">
      <alignment horizontal="right" vertical="center"/>
    </xf>
    <xf numFmtId="3" fontId="39" fillId="0" borderId="76" xfId="10" applyNumberFormat="1" applyFont="1" applyFill="1" applyBorder="1" applyAlignment="1" applyProtection="1">
      <alignment horizontal="right" vertical="center"/>
    </xf>
    <xf numFmtId="9" fontId="39" fillId="0" borderId="77" xfId="15" applyFont="1" applyFill="1" applyBorder="1" applyAlignment="1" applyProtection="1">
      <alignment horizontal="right" vertical="center"/>
    </xf>
    <xf numFmtId="9" fontId="39" fillId="0" borderId="78" xfId="15" applyFont="1" applyFill="1" applyBorder="1" applyAlignment="1" applyProtection="1">
      <alignment horizontal="right" vertical="center"/>
    </xf>
    <xf numFmtId="0" fontId="39" fillId="0" borderId="76" xfId="10" applyNumberFormat="1" applyFont="1" applyFill="1" applyBorder="1" applyAlignment="1" applyProtection="1">
      <alignment horizontal="center" vertical="center"/>
    </xf>
    <xf numFmtId="0" fontId="39" fillId="0" borderId="78" xfId="10" applyNumberFormat="1" applyFont="1" applyFill="1" applyBorder="1" applyAlignment="1" applyProtection="1">
      <alignment horizontal="center" vertical="center"/>
    </xf>
    <xf numFmtId="0" fontId="40" fillId="0" borderId="60" xfId="10" applyNumberFormat="1" applyFont="1" applyFill="1" applyBorder="1" applyAlignment="1" applyProtection="1">
      <alignment horizontal="center" vertical="top" wrapText="1"/>
    </xf>
    <xf numFmtId="0" fontId="46" fillId="3" borderId="73" xfId="10" applyNumberFormat="1" applyFont="1" applyFill="1" applyBorder="1" applyAlignment="1" applyProtection="1">
      <alignment horizontal="center" vertical="center" wrapText="1"/>
    </xf>
    <xf numFmtId="0" fontId="39" fillId="7" borderId="76" xfId="10" applyNumberFormat="1" applyFont="1" applyFill="1" applyBorder="1" applyAlignment="1" applyProtection="1">
      <alignment vertical="center"/>
    </xf>
    <xf numFmtId="0" fontId="39" fillId="7" borderId="78" xfId="10" applyNumberFormat="1" applyFont="1" applyFill="1" applyBorder="1" applyAlignment="1" applyProtection="1">
      <alignment vertical="center"/>
    </xf>
    <xf numFmtId="0" fontId="39" fillId="0" borderId="77" xfId="10" applyNumberFormat="1" applyFont="1" applyFill="1" applyBorder="1" applyAlignment="1" applyProtection="1">
      <alignment vertical="center"/>
    </xf>
    <xf numFmtId="3" fontId="12" fillId="0" borderId="5" xfId="0" applyNumberFormat="1" applyFont="1" applyFill="1" applyBorder="1" applyAlignment="1" applyProtection="1">
      <alignment horizontal="right" vertical="center"/>
    </xf>
    <xf numFmtId="3" fontId="39" fillId="0" borderId="77" xfId="10" applyNumberFormat="1" applyFont="1" applyFill="1" applyBorder="1" applyAlignment="1" applyProtection="1">
      <alignment horizontal="right" vertical="center"/>
    </xf>
    <xf numFmtId="3" fontId="12" fillId="10" borderId="4" xfId="0" applyNumberFormat="1" applyFont="1" applyFill="1" applyBorder="1" applyAlignment="1" applyProtection="1">
      <alignment horizontal="right" vertical="center"/>
    </xf>
    <xf numFmtId="3" fontId="39" fillId="3" borderId="78" xfId="10" applyNumberFormat="1" applyFont="1" applyFill="1" applyBorder="1" applyAlignment="1" applyProtection="1">
      <alignment horizontal="right" vertical="center"/>
    </xf>
    <xf numFmtId="3" fontId="12" fillId="10" borderId="5" xfId="0" applyNumberFormat="1" applyFont="1" applyFill="1" applyBorder="1" applyAlignment="1" applyProtection="1">
      <alignment horizontal="right" vertical="center"/>
    </xf>
    <xf numFmtId="0" fontId="38" fillId="3" borderId="0" xfId="10" applyNumberFormat="1" applyFont="1" applyFill="1" applyBorder="1" applyAlignment="1" applyProtection="1">
      <alignment horizontal="center" vertical="center" wrapText="1"/>
    </xf>
    <xf numFmtId="0" fontId="49" fillId="3" borderId="76" xfId="10" applyNumberFormat="1" applyFont="1" applyFill="1" applyBorder="1" applyAlignment="1" applyProtection="1">
      <alignment horizontal="center" vertical="center" wrapText="1"/>
    </xf>
    <xf numFmtId="0" fontId="49" fillId="3" borderId="77" xfId="10" applyNumberFormat="1" applyFont="1" applyFill="1" applyBorder="1" applyAlignment="1" applyProtection="1">
      <alignment horizontal="center" vertical="center" wrapText="1"/>
    </xf>
    <xf numFmtId="0" fontId="49" fillId="3" borderId="78" xfId="10" applyNumberFormat="1" applyFont="1" applyFill="1" applyBorder="1" applyAlignment="1" applyProtection="1">
      <alignment horizontal="center" vertical="center" wrapText="1"/>
    </xf>
    <xf numFmtId="3" fontId="12" fillId="11" borderId="76" xfId="0" applyNumberFormat="1" applyFont="1" applyFill="1" applyBorder="1" applyAlignment="1" applyProtection="1">
      <alignment horizontal="right" vertical="center"/>
    </xf>
    <xf numFmtId="3" fontId="12" fillId="11" borderId="78" xfId="0" applyNumberFormat="1" applyFont="1" applyFill="1" applyBorder="1" applyAlignment="1" applyProtection="1">
      <alignment horizontal="right" vertical="center"/>
    </xf>
    <xf numFmtId="0" fontId="39" fillId="0" borderId="0" xfId="10" applyNumberFormat="1" applyFont="1" applyFill="1" applyBorder="1" applyAlignment="1" applyProtection="1">
      <alignment horizontal="left" vertical="center" wrapText="1"/>
    </xf>
    <xf numFmtId="3" fontId="76" fillId="0" borderId="4" xfId="0" applyNumberFormat="1" applyFont="1" applyFill="1" applyBorder="1" applyAlignment="1" applyProtection="1">
      <alignment horizontal="right" vertical="center"/>
    </xf>
    <xf numFmtId="0" fontId="39" fillId="0" borderId="76" xfId="10" applyNumberFormat="1" applyFont="1" applyFill="1" applyBorder="1" applyAlignment="1" applyProtection="1">
      <alignment vertical="center" wrapText="1"/>
    </xf>
    <xf numFmtId="0" fontId="39" fillId="0" borderId="78" xfId="10" applyNumberFormat="1" applyFont="1" applyFill="1" applyBorder="1" applyAlignment="1" applyProtection="1">
      <alignment vertical="center" wrapText="1"/>
    </xf>
    <xf numFmtId="3" fontId="12" fillId="11" borderId="57" xfId="0" applyNumberFormat="1" applyFont="1" applyFill="1" applyBorder="1" applyAlignment="1" applyProtection="1">
      <alignment horizontal="right" vertical="center"/>
    </xf>
    <xf numFmtId="3" fontId="12" fillId="11" borderId="126" xfId="0" applyNumberFormat="1" applyFont="1" applyFill="1" applyBorder="1" applyAlignment="1" applyProtection="1">
      <alignment horizontal="right" vertical="center"/>
    </xf>
    <xf numFmtId="0" fontId="41" fillId="3" borderId="76" xfId="10" applyNumberFormat="1" applyFont="1" applyFill="1" applyBorder="1" applyAlignment="1" applyProtection="1">
      <alignment horizontal="left" vertical="center"/>
    </xf>
    <xf numFmtId="0" fontId="41" fillId="3" borderId="78" xfId="10" applyNumberFormat="1" applyFont="1" applyFill="1" applyBorder="1" applyAlignment="1" applyProtection="1">
      <alignment horizontal="left" vertical="center"/>
    </xf>
    <xf numFmtId="0" fontId="40" fillId="7" borderId="76" xfId="10" applyNumberFormat="1" applyFont="1" applyFill="1" applyBorder="1" applyAlignment="1" applyProtection="1">
      <alignment horizontal="left" vertical="center" wrapText="1"/>
    </xf>
    <xf numFmtId="0" fontId="40" fillId="7" borderId="78" xfId="10" applyNumberFormat="1" applyFont="1" applyFill="1" applyBorder="1" applyAlignment="1" applyProtection="1">
      <alignment horizontal="left" vertical="center" wrapText="1"/>
    </xf>
    <xf numFmtId="0" fontId="40" fillId="0" borderId="76" xfId="10" applyNumberFormat="1" applyFont="1" applyFill="1" applyBorder="1" applyAlignment="1" applyProtection="1">
      <alignment horizontal="left" vertical="center" wrapText="1"/>
    </xf>
    <xf numFmtId="0" fontId="40" fillId="0" borderId="78" xfId="10" applyNumberFormat="1" applyFont="1" applyFill="1" applyBorder="1" applyAlignment="1" applyProtection="1">
      <alignment horizontal="left" vertical="center" wrapText="1"/>
    </xf>
    <xf numFmtId="0" fontId="39" fillId="0" borderId="76" xfId="10" applyNumberFormat="1" applyFont="1" applyFill="1" applyBorder="1" applyAlignment="1" applyProtection="1">
      <alignment horizontal="left" vertical="center" wrapText="1"/>
    </xf>
    <xf numFmtId="0" fontId="39" fillId="0" borderId="78" xfId="10" applyNumberFormat="1" applyFont="1" applyFill="1" applyBorder="1" applyAlignment="1" applyProtection="1">
      <alignment horizontal="left" vertical="center" wrapText="1"/>
    </xf>
    <xf numFmtId="0" fontId="39" fillId="0" borderId="57" xfId="10" applyNumberFormat="1" applyFont="1" applyFill="1" applyBorder="1" applyAlignment="1" applyProtection="1">
      <alignment horizontal="left" vertical="top" wrapText="1"/>
    </xf>
    <xf numFmtId="0" fontId="39" fillId="0" borderId="0" xfId="10" applyNumberFormat="1" applyFont="1" applyFill="1" applyBorder="1" applyAlignment="1" applyProtection="1">
      <alignment horizontal="left" vertical="top" wrapText="1"/>
    </xf>
    <xf numFmtId="169" fontId="52" fillId="0" borderId="129" xfId="1" applyNumberFormat="1" applyFont="1" applyFill="1" applyBorder="1" applyAlignment="1" applyProtection="1">
      <alignment horizontal="center" vertical="center" wrapText="1"/>
    </xf>
    <xf numFmtId="169" fontId="52" fillId="0" borderId="130" xfId="1" applyNumberFormat="1" applyFont="1" applyFill="1" applyBorder="1" applyAlignment="1" applyProtection="1">
      <alignment horizontal="center" vertical="center" wrapText="1"/>
    </xf>
    <xf numFmtId="0" fontId="12" fillId="0" borderId="0" xfId="0" applyNumberFormat="1" applyFont="1" applyFill="1" applyBorder="1" applyAlignment="1" applyProtection="1">
      <alignment horizontal="center"/>
    </xf>
    <xf numFmtId="0" fontId="39" fillId="0" borderId="0" xfId="10" applyNumberFormat="1" applyFont="1" applyFill="1" applyBorder="1" applyAlignment="1" applyProtection="1">
      <alignment horizontal="center"/>
    </xf>
    <xf numFmtId="169" fontId="41" fillId="3" borderId="79" xfId="1" applyNumberFormat="1" applyFont="1" applyFill="1" applyBorder="1" applyAlignment="1" applyProtection="1">
      <alignment horizontal="right" vertical="top"/>
    </xf>
    <xf numFmtId="169" fontId="41" fillId="3" borderId="80" xfId="1" applyNumberFormat="1" applyFont="1" applyFill="1" applyBorder="1" applyAlignment="1" applyProtection="1">
      <alignment horizontal="right" vertical="top"/>
    </xf>
    <xf numFmtId="169" fontId="41" fillId="3" borderId="81" xfId="1" applyNumberFormat="1" applyFont="1" applyFill="1" applyBorder="1" applyAlignment="1" applyProtection="1">
      <alignment horizontal="right" vertical="top"/>
    </xf>
    <xf numFmtId="169" fontId="41" fillId="3" borderId="76" xfId="1" applyNumberFormat="1" applyFont="1" applyFill="1" applyBorder="1" applyAlignment="1" applyProtection="1">
      <alignment horizontal="center" vertical="center"/>
    </xf>
    <xf numFmtId="169" fontId="41" fillId="3" borderId="77" xfId="1" applyNumberFormat="1" applyFont="1" applyFill="1" applyBorder="1" applyAlignment="1" applyProtection="1">
      <alignment horizontal="center" vertical="center"/>
    </xf>
    <xf numFmtId="169" fontId="41" fillId="3" borderId="84" xfId="1" applyNumberFormat="1" applyFont="1" applyFill="1" applyBorder="1" applyAlignment="1" applyProtection="1">
      <alignment horizontal="center" vertical="center"/>
    </xf>
    <xf numFmtId="169" fontId="41" fillId="3" borderId="78" xfId="1" applyNumberFormat="1" applyFont="1" applyFill="1" applyBorder="1" applyAlignment="1" applyProtection="1">
      <alignment horizontal="center" vertical="center"/>
    </xf>
    <xf numFmtId="169" fontId="44" fillId="3" borderId="76" xfId="1" applyNumberFormat="1" applyFont="1" applyFill="1" applyBorder="1" applyAlignment="1" applyProtection="1">
      <alignment horizontal="center" vertical="center" wrapText="1"/>
    </xf>
    <xf numFmtId="169" fontId="44" fillId="3" borderId="78" xfId="1" applyNumberFormat="1" applyFont="1" applyFill="1" applyBorder="1" applyAlignment="1" applyProtection="1">
      <alignment horizontal="center" vertical="center" wrapText="1"/>
    </xf>
    <xf numFmtId="169" fontId="46" fillId="3" borderId="76" xfId="1" applyNumberFormat="1" applyFont="1" applyFill="1" applyBorder="1" applyAlignment="1" applyProtection="1">
      <alignment horizontal="center" vertical="center" wrapText="1"/>
    </xf>
    <xf numFmtId="169" fontId="46" fillId="3" borderId="78" xfId="1" applyNumberFormat="1" applyFont="1" applyFill="1" applyBorder="1" applyAlignment="1" applyProtection="1">
      <alignment horizontal="center" vertical="center" wrapText="1"/>
    </xf>
    <xf numFmtId="169" fontId="44" fillId="3" borderId="77" xfId="1" applyNumberFormat="1" applyFont="1" applyFill="1" applyBorder="1" applyAlignment="1" applyProtection="1">
      <alignment horizontal="center" vertical="center" wrapText="1"/>
    </xf>
    <xf numFmtId="3" fontId="46" fillId="3" borderId="76" xfId="1" applyNumberFormat="1" applyFont="1" applyFill="1" applyBorder="1" applyAlignment="1" applyProtection="1">
      <alignment horizontal="center" vertical="center" wrapText="1"/>
    </xf>
    <xf numFmtId="3" fontId="46" fillId="3" borderId="78" xfId="1" applyNumberFormat="1" applyFont="1" applyFill="1" applyBorder="1" applyAlignment="1" applyProtection="1">
      <alignment horizontal="center" vertical="center" wrapText="1"/>
    </xf>
    <xf numFmtId="3" fontId="44" fillId="3" borderId="76" xfId="1" applyNumberFormat="1" applyFont="1" applyFill="1" applyBorder="1" applyAlignment="1" applyProtection="1">
      <alignment horizontal="center" vertical="center" wrapText="1"/>
    </xf>
    <xf numFmtId="3" fontId="44" fillId="3" borderId="78" xfId="1" applyNumberFormat="1" applyFont="1" applyFill="1" applyBorder="1" applyAlignment="1" applyProtection="1">
      <alignment horizontal="center" vertical="center" wrapText="1"/>
    </xf>
    <xf numFmtId="169" fontId="53" fillId="3" borderId="135" xfId="1" applyNumberFormat="1" applyFont="1" applyFill="1" applyBorder="1" applyAlignment="1" applyProtection="1">
      <alignment horizontal="center" vertical="center" wrapText="1"/>
    </xf>
    <xf numFmtId="169" fontId="41" fillId="3" borderId="133" xfId="1" applyNumberFormat="1" applyFont="1" applyFill="1" applyBorder="1" applyAlignment="1" applyProtection="1">
      <alignment horizontal="center" vertical="center"/>
    </xf>
    <xf numFmtId="169" fontId="41" fillId="3" borderId="134" xfId="1" applyNumberFormat="1" applyFont="1" applyFill="1" applyBorder="1" applyAlignment="1" applyProtection="1">
      <alignment horizontal="center" vertical="center"/>
    </xf>
    <xf numFmtId="169" fontId="41" fillId="3" borderId="132" xfId="1" applyNumberFormat="1" applyFont="1" applyFill="1" applyBorder="1" applyAlignment="1" applyProtection="1">
      <alignment horizontal="center" vertical="center"/>
    </xf>
    <xf numFmtId="169" fontId="53" fillId="3" borderId="132" xfId="1" applyNumberFormat="1" applyFont="1" applyFill="1" applyBorder="1" applyAlignment="1" applyProtection="1">
      <alignment horizontal="center" vertical="center" wrapText="1"/>
    </xf>
    <xf numFmtId="0" fontId="41" fillId="3" borderId="131" xfId="10" applyNumberFormat="1" applyFont="1" applyFill="1" applyBorder="1" applyAlignment="1" applyProtection="1">
      <alignment horizontal="center" vertical="center"/>
    </xf>
    <xf numFmtId="0" fontId="41" fillId="3" borderId="134" xfId="10" applyNumberFormat="1" applyFont="1" applyFill="1" applyBorder="1" applyAlignment="1" applyProtection="1">
      <alignment horizontal="center" vertical="center" wrapText="1"/>
    </xf>
    <xf numFmtId="0" fontId="44" fillId="3" borderId="134" xfId="10" applyNumberFormat="1" applyFont="1" applyFill="1" applyBorder="1" applyAlignment="1" applyProtection="1">
      <alignment horizontal="center" vertical="center" wrapText="1"/>
    </xf>
    <xf numFmtId="0" fontId="12" fillId="0" borderId="0" xfId="0" applyNumberFormat="1" applyFont="1" applyFill="1" applyBorder="1" applyAlignment="1" applyProtection="1">
      <alignment horizontal="center" vertical="center"/>
    </xf>
    <xf numFmtId="0" fontId="41" fillId="3" borderId="131" xfId="7" applyNumberFormat="1" applyFont="1" applyFill="1" applyBorder="1" applyAlignment="1" applyProtection="1">
      <alignment horizontal="center" vertical="center"/>
    </xf>
    <xf numFmtId="0" fontId="41" fillId="3" borderId="82" xfId="7" applyNumberFormat="1" applyFont="1" applyFill="1" applyBorder="1" applyAlignment="1" applyProtection="1">
      <alignment horizontal="center" vertical="center"/>
    </xf>
    <xf numFmtId="0" fontId="38" fillId="3" borderId="0" xfId="10" applyNumberFormat="1" applyFont="1" applyFill="1" applyBorder="1" applyAlignment="1" applyProtection="1">
      <alignment horizontal="center" wrapText="1"/>
    </xf>
    <xf numFmtId="0" fontId="41" fillId="3" borderId="79" xfId="7" applyNumberFormat="1" applyFont="1" applyFill="1" applyBorder="1" applyAlignment="1" applyProtection="1">
      <alignment horizontal="right" vertical="top"/>
    </xf>
    <xf numFmtId="0" fontId="41" fillId="3" borderId="81" xfId="7" applyNumberFormat="1" applyFont="1" applyFill="1" applyBorder="1" applyAlignment="1" applyProtection="1">
      <alignment horizontal="right" vertical="top"/>
    </xf>
    <xf numFmtId="0" fontId="46" fillId="3" borderId="136" xfId="7" applyNumberFormat="1" applyFont="1" applyFill="1" applyBorder="1" applyAlignment="1" applyProtection="1">
      <alignment horizontal="center" vertical="center" wrapText="1"/>
    </xf>
    <xf numFmtId="0" fontId="46" fillId="3" borderId="135" xfId="7" applyNumberFormat="1" applyFont="1" applyFill="1" applyBorder="1" applyAlignment="1" applyProtection="1">
      <alignment horizontal="center" vertical="center" wrapText="1"/>
    </xf>
    <xf numFmtId="0" fontId="52" fillId="0" borderId="131" xfId="7" applyNumberFormat="1" applyFont="1" applyFill="1" applyBorder="1" applyAlignment="1" applyProtection="1">
      <alignment horizontal="center" vertical="center" wrapText="1"/>
    </xf>
    <xf numFmtId="0" fontId="52" fillId="0" borderId="82" xfId="7" applyNumberFormat="1" applyFont="1" applyFill="1" applyBorder="1" applyAlignment="1" applyProtection="1">
      <alignment horizontal="center" vertical="center" wrapText="1"/>
    </xf>
    <xf numFmtId="3" fontId="23" fillId="0" borderId="131" xfId="1" applyNumberFormat="1" applyFont="1" applyFill="1" applyBorder="1" applyAlignment="1" applyProtection="1">
      <alignment horizontal="center" vertical="center"/>
    </xf>
    <xf numFmtId="3" fontId="23" fillId="0" borderId="82" xfId="1" applyNumberFormat="1" applyFont="1" applyFill="1" applyBorder="1" applyAlignment="1" applyProtection="1">
      <alignment horizontal="center" vertical="center"/>
    </xf>
    <xf numFmtId="0" fontId="52" fillId="7" borderId="131" xfId="7" applyNumberFormat="1" applyFont="1" applyFill="1" applyBorder="1" applyAlignment="1" applyProtection="1">
      <alignment horizontal="center" vertical="center" wrapText="1"/>
    </xf>
    <xf numFmtId="0" fontId="52" fillId="7" borderId="82" xfId="7" applyNumberFormat="1" applyFont="1" applyFill="1" applyBorder="1" applyAlignment="1" applyProtection="1">
      <alignment horizontal="center" vertical="center" wrapText="1"/>
    </xf>
    <xf numFmtId="3" fontId="23" fillId="7" borderId="131" xfId="1" applyNumberFormat="1" applyFont="1" applyFill="1" applyBorder="1" applyAlignment="1" applyProtection="1">
      <alignment horizontal="center" vertical="center"/>
    </xf>
    <xf numFmtId="3" fontId="23" fillId="7" borderId="82" xfId="1" applyNumberFormat="1" applyFont="1" applyFill="1" applyBorder="1" applyAlignment="1" applyProtection="1">
      <alignment horizontal="center" vertical="center"/>
    </xf>
    <xf numFmtId="0" fontId="41" fillId="3" borderId="131" xfId="7" applyNumberFormat="1" applyFont="1" applyFill="1" applyBorder="1" applyAlignment="1" applyProtection="1">
      <alignment horizontal="center" vertical="top"/>
    </xf>
    <xf numFmtId="0" fontId="41" fillId="3" borderId="82" xfId="7" applyNumberFormat="1" applyFont="1" applyFill="1" applyBorder="1" applyAlignment="1" applyProtection="1">
      <alignment horizontal="center" vertical="top"/>
    </xf>
    <xf numFmtId="0" fontId="44" fillId="3" borderId="131" xfId="7" applyNumberFormat="1" applyFont="1" applyFill="1" applyBorder="1" applyAlignment="1" applyProtection="1">
      <alignment horizontal="center" vertical="center" wrapText="1"/>
    </xf>
    <xf numFmtId="0" fontId="44" fillId="3" borderId="82" xfId="7" applyNumberFormat="1" applyFont="1" applyFill="1" applyBorder="1" applyAlignment="1" applyProtection="1">
      <alignment horizontal="center" vertical="center" wrapText="1"/>
    </xf>
    <xf numFmtId="0" fontId="41" fillId="3" borderId="136" xfId="7" applyNumberFormat="1" applyFont="1" applyFill="1" applyBorder="1" applyAlignment="1" applyProtection="1">
      <alignment horizontal="center" vertical="center"/>
    </xf>
    <xf numFmtId="0" fontId="41" fillId="3" borderId="137" xfId="7" applyNumberFormat="1" applyFont="1" applyFill="1" applyBorder="1" applyAlignment="1" applyProtection="1">
      <alignment horizontal="center" vertical="center"/>
    </xf>
    <xf numFmtId="0" fontId="41" fillId="3" borderId="135" xfId="7" applyNumberFormat="1" applyFont="1" applyFill="1" applyBorder="1" applyAlignment="1" applyProtection="1">
      <alignment horizontal="center" vertical="center"/>
    </xf>
    <xf numFmtId="0" fontId="46" fillId="3" borderId="131" xfId="7" applyNumberFormat="1" applyFont="1" applyFill="1" applyBorder="1" applyAlignment="1" applyProtection="1">
      <alignment horizontal="center" vertical="center" wrapText="1"/>
    </xf>
    <xf numFmtId="0" fontId="3" fillId="3" borderId="75" xfId="10" applyNumberFormat="1" applyFont="1" applyFill="1" applyBorder="1" applyAlignment="1" applyProtection="1">
      <alignment horizontal="center" vertical="center"/>
    </xf>
    <xf numFmtId="0" fontId="3" fillId="3" borderId="82" xfId="10" applyNumberFormat="1" applyFont="1" applyFill="1" applyBorder="1" applyAlignment="1" applyProtection="1">
      <alignment horizontal="center" vertical="center"/>
    </xf>
    <xf numFmtId="0" fontId="41" fillId="3" borderId="54" xfId="7" applyNumberFormat="1" applyFont="1" applyFill="1" applyBorder="1" applyAlignment="1" applyProtection="1">
      <alignment horizontal="center" vertical="center"/>
    </xf>
    <xf numFmtId="0" fontId="53" fillId="3" borderId="56" xfId="10" applyNumberFormat="1" applyFont="1" applyFill="1" applyBorder="1" applyAlignment="1" applyProtection="1">
      <alignment horizontal="center" vertical="center"/>
    </xf>
    <xf numFmtId="0" fontId="53" fillId="3" borderId="59" xfId="10" applyNumberFormat="1" applyFont="1" applyFill="1" applyBorder="1" applyAlignment="1" applyProtection="1">
      <alignment horizontal="center" vertical="center"/>
    </xf>
    <xf numFmtId="0" fontId="53" fillId="3" borderId="61" xfId="10" applyNumberFormat="1" applyFont="1" applyFill="1" applyBorder="1" applyAlignment="1" applyProtection="1">
      <alignment horizontal="center" vertical="center"/>
    </xf>
    <xf numFmtId="0" fontId="44" fillId="3" borderId="136" xfId="7" applyNumberFormat="1" applyFont="1" applyFill="1" applyBorder="1" applyAlignment="1" applyProtection="1">
      <alignment horizontal="center" vertical="center"/>
    </xf>
    <xf numFmtId="0" fontId="44" fillId="3" borderId="135" xfId="7" applyNumberFormat="1" applyFont="1" applyFill="1" applyBorder="1" applyAlignment="1" applyProtection="1">
      <alignment horizontal="center" vertical="center"/>
    </xf>
    <xf numFmtId="0" fontId="44" fillId="3" borderId="136" xfId="7" applyNumberFormat="1" applyFont="1" applyFill="1" applyBorder="1" applyAlignment="1" applyProtection="1">
      <alignment horizontal="center" vertical="center" wrapText="1"/>
    </xf>
    <xf numFmtId="0" fontId="44" fillId="3" borderId="135" xfId="7" applyNumberFormat="1" applyFont="1" applyFill="1" applyBorder="1" applyAlignment="1" applyProtection="1">
      <alignment horizontal="center" vertical="center" wrapText="1"/>
    </xf>
    <xf numFmtId="0" fontId="41" fillId="3" borderId="131" xfId="7" applyNumberFormat="1" applyFont="1" applyFill="1" applyBorder="1" applyAlignment="1" applyProtection="1">
      <alignment horizontal="center" vertical="center" wrapText="1"/>
    </xf>
    <xf numFmtId="0" fontId="41" fillId="3" borderId="75" xfId="7" applyNumberFormat="1" applyFont="1" applyFill="1" applyBorder="1" applyAlignment="1" applyProtection="1">
      <alignment horizontal="center" vertical="center" wrapText="1"/>
    </xf>
    <xf numFmtId="0" fontId="41" fillId="3" borderId="82" xfId="7" applyNumberFormat="1" applyFont="1" applyFill="1" applyBorder="1" applyAlignment="1" applyProtection="1">
      <alignment horizontal="center" vertical="center" wrapText="1"/>
    </xf>
    <xf numFmtId="0" fontId="56" fillId="4" borderId="136" xfId="10" applyNumberFormat="1" applyFont="1" applyFill="1" applyBorder="1" applyAlignment="1" applyProtection="1">
      <alignment horizontal="center" vertical="center"/>
    </xf>
    <xf numFmtId="0" fontId="56" fillId="4" borderId="137" xfId="10" applyNumberFormat="1" applyFont="1" applyFill="1" applyBorder="1" applyAlignment="1" applyProtection="1">
      <alignment horizontal="center" vertical="center"/>
    </xf>
    <xf numFmtId="0" fontId="56" fillId="4" borderId="135" xfId="10" applyNumberFormat="1" applyFont="1" applyFill="1" applyBorder="1" applyAlignment="1" applyProtection="1">
      <alignment horizontal="center" vertical="center"/>
    </xf>
    <xf numFmtId="172" fontId="21" fillId="0" borderId="108" xfId="0" applyNumberFormat="1" applyFont="1" applyFill="1" applyBorder="1" applyAlignment="1" applyProtection="1">
      <alignment horizontal="left"/>
    </xf>
    <xf numFmtId="172" fontId="40" fillId="0" borderId="72" xfId="14" applyNumberFormat="1" applyFont="1" applyFill="1" applyBorder="1" applyAlignment="1" applyProtection="1">
      <alignment horizontal="left"/>
    </xf>
    <xf numFmtId="0" fontId="56" fillId="7" borderId="136" xfId="10" applyNumberFormat="1" applyFont="1" applyFill="1" applyBorder="1" applyAlignment="1" applyProtection="1">
      <alignment horizontal="center" vertical="center"/>
    </xf>
    <xf numFmtId="0" fontId="56" fillId="7" borderId="137" xfId="10" applyNumberFormat="1" applyFont="1" applyFill="1" applyBorder="1" applyAlignment="1" applyProtection="1">
      <alignment horizontal="center" vertical="center"/>
    </xf>
    <xf numFmtId="0" fontId="56" fillId="7" borderId="135" xfId="10" applyNumberFormat="1" applyFont="1" applyFill="1" applyBorder="1" applyAlignment="1" applyProtection="1">
      <alignment horizontal="center" vertical="center"/>
    </xf>
    <xf numFmtId="0" fontId="58" fillId="7" borderId="57" xfId="6" applyFont="1" applyFill="1" applyBorder="1" applyAlignment="1" applyProtection="1">
      <alignment horizontal="center" vertical="top"/>
    </xf>
    <xf numFmtId="0" fontId="58" fillId="7" borderId="0" xfId="6" applyFont="1" applyFill="1" applyAlignment="1" applyProtection="1">
      <alignment horizontal="center" vertical="top"/>
    </xf>
    <xf numFmtId="0" fontId="58" fillId="7" borderId="126" xfId="6" applyFont="1" applyFill="1" applyBorder="1" applyAlignment="1" applyProtection="1">
      <alignment horizontal="center" vertical="top"/>
    </xf>
    <xf numFmtId="0" fontId="19" fillId="3" borderId="53" xfId="6" applyFont="1" applyFill="1" applyBorder="1" applyAlignment="1" applyProtection="1">
      <alignment horizontal="center" vertical="top" wrapText="1"/>
    </xf>
    <xf numFmtId="0" fontId="19" fillId="3" borderId="0" xfId="6" applyFont="1" applyFill="1" applyAlignment="1" applyProtection="1">
      <alignment horizontal="center" vertical="top" wrapText="1"/>
    </xf>
    <xf numFmtId="0" fontId="39" fillId="0" borderId="0" xfId="20" applyFont="1" applyAlignment="1" applyProtection="1">
      <alignment horizontal="center" vertical="center" wrapText="1"/>
    </xf>
    <xf numFmtId="14" fontId="21" fillId="0" borderId="0" xfId="0" applyNumberFormat="1" applyFont="1" applyAlignment="1" applyProtection="1">
      <alignment horizontal="center" vertical="center"/>
    </xf>
    <xf numFmtId="14" fontId="40" fillId="0" borderId="0" xfId="20" applyNumberFormat="1" applyFont="1" applyAlignment="1" applyProtection="1">
      <alignment horizontal="center" vertical="center"/>
    </xf>
    <xf numFmtId="0" fontId="39" fillId="0" borderId="111" xfId="20" applyFont="1" applyBorder="1" applyAlignment="1" applyProtection="1">
      <alignment horizontal="center" vertical="center" wrapText="1"/>
    </xf>
    <xf numFmtId="0" fontId="21" fillId="0" borderId="145" xfId="0" applyFont="1" applyBorder="1" applyAlignment="1" applyProtection="1">
      <alignment horizontal="center" vertical="center"/>
    </xf>
    <xf numFmtId="0" fontId="40" fillId="0" borderId="0" xfId="20" applyFont="1" applyAlignment="1" applyProtection="1">
      <alignment horizontal="center" vertical="center"/>
    </xf>
    <xf numFmtId="0" fontId="58" fillId="0" borderId="57" xfId="6" applyFont="1" applyBorder="1" applyAlignment="1" applyProtection="1">
      <alignment horizontal="left" vertical="center" wrapText="1"/>
    </xf>
    <xf numFmtId="0" fontId="58" fillId="0" borderId="0" xfId="6" applyFont="1" applyAlignment="1" applyProtection="1">
      <alignment horizontal="left" vertical="center" wrapText="1"/>
    </xf>
    <xf numFmtId="0" fontId="58" fillId="0" borderId="126" xfId="6" applyFont="1" applyBorder="1" applyAlignment="1" applyProtection="1">
      <alignment horizontal="left" vertical="center" wrapText="1"/>
    </xf>
    <xf numFmtId="0" fontId="58" fillId="0" borderId="57" xfId="6" applyFont="1" applyBorder="1" applyAlignment="1" applyProtection="1">
      <alignment horizontal="left" vertical="top" wrapText="1"/>
    </xf>
    <xf numFmtId="0" fontId="58" fillId="0" borderId="0" xfId="6" applyFont="1" applyAlignment="1" applyProtection="1">
      <alignment horizontal="left" vertical="top" wrapText="1"/>
    </xf>
    <xf numFmtId="0" fontId="58" fillId="0" borderId="126" xfId="6" applyFont="1" applyBorder="1" applyAlignment="1" applyProtection="1">
      <alignment horizontal="left" vertical="top" wrapText="1"/>
    </xf>
    <xf numFmtId="0" fontId="58" fillId="0" borderId="154" xfId="6" applyFont="1" applyBorder="1" applyAlignment="1" applyProtection="1">
      <alignment horizontal="left" vertical="top" wrapText="1"/>
    </xf>
    <xf numFmtId="0" fontId="58" fillId="0" borderId="60" xfId="6" applyFont="1" applyBorder="1" applyAlignment="1" applyProtection="1">
      <alignment horizontal="left" vertical="top" wrapText="1"/>
    </xf>
    <xf numFmtId="0" fontId="58" fillId="0" borderId="61" xfId="6" applyFont="1" applyBorder="1" applyAlignment="1" applyProtection="1">
      <alignment horizontal="left" vertical="top" wrapText="1"/>
    </xf>
    <xf numFmtId="0" fontId="57" fillId="2" borderId="57" xfId="6" applyFont="1" applyFill="1" applyBorder="1" applyAlignment="1" applyProtection="1">
      <alignment horizontal="left" vertical="top" wrapText="1"/>
    </xf>
    <xf numFmtId="0" fontId="57" fillId="2" borderId="0" xfId="6" applyFont="1" applyFill="1" applyAlignment="1" applyProtection="1">
      <alignment horizontal="left" vertical="top" wrapText="1"/>
    </xf>
    <xf numFmtId="0" fontId="57" fillId="2" borderId="126" xfId="6" applyFont="1" applyFill="1" applyBorder="1" applyAlignment="1" applyProtection="1">
      <alignment horizontal="left" vertical="top" wrapText="1"/>
    </xf>
    <xf numFmtId="0" fontId="19" fillId="3" borderId="53" xfId="6" applyNumberFormat="1" applyFont="1" applyFill="1" applyBorder="1" applyAlignment="1" applyProtection="1">
      <alignment horizontal="center" vertical="top" wrapText="1"/>
    </xf>
    <xf numFmtId="0" fontId="19" fillId="3" borderId="0" xfId="6" applyNumberFormat="1" applyFont="1" applyFill="1" applyBorder="1" applyAlignment="1" applyProtection="1">
      <alignment horizontal="center" vertical="top" wrapText="1"/>
    </xf>
    <xf numFmtId="0" fontId="21" fillId="0" borderId="57" xfId="7" applyNumberFormat="1" applyFont="1" applyFill="1" applyBorder="1" applyAlignment="1" applyProtection="1">
      <alignment horizontal="center" vertical="center"/>
    </xf>
    <xf numFmtId="0" fontId="21" fillId="0" borderId="0" xfId="7" applyNumberFormat="1" applyFont="1" applyFill="1" applyBorder="1" applyAlignment="1" applyProtection="1">
      <alignment horizontal="center" vertical="center"/>
    </xf>
    <xf numFmtId="0" fontId="21" fillId="0" borderId="58" xfId="7" applyNumberFormat="1" applyFont="1" applyFill="1" applyBorder="1" applyAlignment="1" applyProtection="1">
      <alignment horizontal="center" vertical="center"/>
    </xf>
    <xf numFmtId="0" fontId="60" fillId="7" borderId="89" xfId="6" applyNumberFormat="1" applyFont="1" applyFill="1" applyBorder="1" applyAlignment="1" applyProtection="1">
      <alignment horizontal="center" vertical="top"/>
    </xf>
    <xf numFmtId="0" fontId="60" fillId="7" borderId="0" xfId="6" applyNumberFormat="1" applyFont="1" applyFill="1" applyBorder="1" applyAlignment="1" applyProtection="1">
      <alignment horizontal="center" vertical="top"/>
    </xf>
    <xf numFmtId="0" fontId="60" fillId="7" borderId="60" xfId="6" applyNumberFormat="1" applyFont="1" applyFill="1" applyBorder="1" applyAlignment="1" applyProtection="1">
      <alignment horizontal="center" vertical="top"/>
    </xf>
  </cellXfs>
  <cellStyles count="21">
    <cellStyle name="60 % - Accent1" xfId="9" builtinId="32"/>
    <cellStyle name="Accent1" xfId="8" builtinId="29"/>
    <cellStyle name="Milliers" xfId="14" builtinId="3"/>
    <cellStyle name="Normal" xfId="0" builtinId="0"/>
    <cellStyle name="Pourcentage" xfId="15" builtinId="5"/>
    <cellStyle name="Style 1" xfId="1" xr:uid="{00000000-0005-0000-0000-000003000000}"/>
    <cellStyle name="Style 10" xfId="6" xr:uid="{00000000-0005-0000-0000-00000D000000}"/>
    <cellStyle name="Style 11" xfId="13" xr:uid="{00000000-0005-0000-0000-00000E000000}"/>
    <cellStyle name="Style 12" xfId="10" xr:uid="{00000000-0005-0000-0000-00000F000000}"/>
    <cellStyle name="Style 12 2" xfId="20" xr:uid="{2801670D-4093-48CE-84AA-6E20FF905CCB}"/>
    <cellStyle name="Style 13" xfId="18" xr:uid="{00000000-0005-0000-0000-000010000000}"/>
    <cellStyle name="Style 14" xfId="16" xr:uid="{00000000-0005-0000-0000-000011000000}"/>
    <cellStyle name="Style 15" xfId="11" xr:uid="{00000000-0005-0000-0000-000012000000}"/>
    <cellStyle name="Style 2" xfId="2" xr:uid="{00000000-0005-0000-0000-000004000000}"/>
    <cellStyle name="Style 3" xfId="4" xr:uid="{00000000-0005-0000-0000-000005000000}"/>
    <cellStyle name="Style 4" xfId="19" xr:uid="{00000000-0005-0000-0000-000006000000}"/>
    <cellStyle name="Style 5" xfId="17" xr:uid="{00000000-0005-0000-0000-000007000000}"/>
    <cellStyle name="Style 6" xfId="3" xr:uid="{00000000-0005-0000-0000-000009000000}"/>
    <cellStyle name="Style 7" xfId="7" xr:uid="{00000000-0005-0000-0000-00000A000000}"/>
    <cellStyle name="Style 8" xfId="12" xr:uid="{00000000-0005-0000-0000-00000B000000}"/>
    <cellStyle name="Style 9" xfId="5" xr:uid="{00000000-0005-0000-0000-00000C000000}"/>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
      <tableStyleElement type="firstRowStripe" dxfId="0"/>
    </tableStyle>
  </tableStyles>
  <colors>
    <indexedColors>
      <rgbColor rgb="00000000"/>
      <rgbColor rgb="00FFFFFF"/>
      <rgbColor rgb="00FF0000"/>
      <rgbColor rgb="0000FF00"/>
      <rgbColor rgb="000000FF"/>
      <rgbColor rgb="00FFFF00"/>
      <rgbColor rgb="00FF00FF"/>
      <rgbColor rgb="0000FFFF"/>
      <rgbColor rgb="00000000"/>
      <rgbColor rgb="00FF0000"/>
      <rgbColor rgb="00FFFFFF"/>
      <rgbColor rgb="00C5E0B3"/>
      <rgbColor rgb="00548135"/>
      <rgbColor rgb="00A8D08D"/>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theme/theme1.xml" Type="http://schemas.openxmlformats.org/officeDocument/2006/relationships/theme"/><Relationship Id="rId6" Target="worksheets/sheet6.xml" Type="http://schemas.openxmlformats.org/officeDocument/2006/relationships/worksheet"/><Relationship Id="rId60" Target="styles.xml" Type="http://schemas.openxmlformats.org/officeDocument/2006/relationships/styles"/><Relationship Id="rId61" Target="sharedStrings.xml" Type="http://schemas.openxmlformats.org/officeDocument/2006/relationships/sharedStrings"/><Relationship Id="rId62" Target="calcChain.xml" Type="http://schemas.openxmlformats.org/officeDocument/2006/relationships/calcChain"/><Relationship Id="rId63" Target="../customXml/item1.xml" Type="http://schemas.openxmlformats.org/officeDocument/2006/relationships/customXml"/><Relationship Id="rId64" Target="../customXml/item2.xml" Type="http://schemas.openxmlformats.org/officeDocument/2006/relationships/customXml"/><Relationship Id="rId65"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D00-000002000000}"/>
            </a:ext>
          </a:extLst>
        </xdr:cNvPr>
        <xdr:cNvSpPr txBox="1"/>
      </xdr:nvSpPr>
      <xdr:spPr>
        <a:xfrm>
          <a:off x="47625" y="16446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drawing4.xml" Type="http://schemas.openxmlformats.org/officeDocument/2006/relationships/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 Id="rId2" Target="../drawings/drawing5.xml" Type="http://schemas.openxmlformats.org/officeDocument/2006/relationships/drawing"/></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 Id="rId2" Target="../drawings/drawing7.xml" Type="http://schemas.openxmlformats.org/officeDocument/2006/relationships/drawing"/></Relationships>
</file>

<file path=xl/worksheets/_rels/sheet56.xml.rels><?xml version="1.0" encoding="UTF-8" standalone="no"?><Relationships xmlns="http://schemas.openxmlformats.org/package/2006/relationships"><Relationship Id="rId1" Target="../printerSettings/printerSettings56.bin" Type="http://schemas.openxmlformats.org/officeDocument/2006/relationships/printerSettings"/></Relationships>
</file>

<file path=xl/worksheets/_rels/sheet57.xml.rels><?xml version="1.0" encoding="UTF-8" standalone="no"?><Relationships xmlns="http://schemas.openxmlformats.org/package/2006/relationships"><Relationship Id="rId1" Target="../printerSettings/printerSettings57.bin" Type="http://schemas.openxmlformats.org/officeDocument/2006/relationships/printerSettings"/></Relationships>
</file>

<file path=xl/worksheets/_rels/sheet58.xml.rels><?xml version="1.0" encoding="UTF-8" standalone="no"?><Relationships xmlns="http://schemas.openxmlformats.org/package/2006/relationships"><Relationship Id="rId1" Target="../printerSettings/printerSettings58.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73"/>
  <sheetViews>
    <sheetView showGridLines="0" topLeftCell="A37" workbookViewId="0">
      <selection activeCell="N49" sqref="N49:AJ49"/>
    </sheetView>
  </sheetViews>
  <sheetFormatPr baseColWidth="10" defaultColWidth="15.69921875" defaultRowHeight="12.75" customHeight="1"/>
  <cols>
    <col min="1" max="1" customWidth="true" style="70" width="4.5" collapsed="true"/>
    <col min="2" max="2" customWidth="true" style="70" width="2.296875" collapsed="true"/>
    <col min="3" max="32" customWidth="true" style="70" width="3.5" collapsed="true"/>
    <col min="33" max="33" customWidth="true" style="70" width="1.69921875" collapsed="true"/>
    <col min="34" max="35" customWidth="true" style="70" width="3.5" collapsed="true"/>
    <col min="36" max="36" customWidth="true" style="70" width="2.0" collapsed="true"/>
    <col min="37" max="37" customWidth="true" style="70" width="5.796875" collapsed="true"/>
    <col min="38" max="38" customWidth="true" style="70" width="3.5" collapsed="true"/>
    <col min="39" max="39" customWidth="true" style="70" width="2.296875" collapsed="true"/>
    <col min="40" max="256" customWidth="true" style="70" width="15.69921875" collapsed="true"/>
    <col min="257" max="16384" style="354" width="15.69921875" collapsed="true"/>
  </cols>
  <sheetData>
    <row r="1" spans="1:39" s="70" customFormat="1" ht="12.75" customHeight="1">
      <c r="A1" s="424"/>
      <c r="B1" s="425"/>
      <c r="C1" s="425"/>
      <c r="D1" s="425"/>
      <c r="E1" s="425"/>
      <c r="F1" s="425"/>
      <c r="G1" s="425"/>
      <c r="H1" s="425"/>
      <c r="I1" s="425"/>
      <c r="J1" s="425"/>
      <c r="K1" s="425"/>
      <c r="L1" s="425"/>
      <c r="M1" s="425"/>
      <c r="N1" s="425"/>
      <c r="O1" s="425"/>
      <c r="P1" s="425"/>
      <c r="Q1" s="425"/>
      <c r="R1" s="425"/>
      <c r="S1" s="425"/>
      <c r="T1" s="425"/>
      <c r="U1" s="425"/>
      <c r="V1" s="425"/>
      <c r="W1" s="425"/>
      <c r="X1" s="425"/>
      <c r="Y1" s="425"/>
      <c r="Z1" s="425"/>
      <c r="AA1" s="425"/>
      <c r="AB1" s="425"/>
      <c r="AC1" s="425"/>
      <c r="AD1" s="425"/>
      <c r="AE1" s="425"/>
      <c r="AF1" s="425"/>
      <c r="AG1" s="425"/>
      <c r="AH1" s="425"/>
      <c r="AI1" s="425"/>
      <c r="AJ1" s="425"/>
      <c r="AK1" s="425"/>
      <c r="AL1" s="425"/>
      <c r="AM1" s="426"/>
    </row>
    <row r="2" spans="1:39" s="70" customFormat="1" ht="12.75" customHeight="1">
      <c r="A2" s="427"/>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428"/>
    </row>
    <row r="3" spans="1:39" s="70" customFormat="1" ht="12.75" customHeight="1">
      <c r="A3" s="427"/>
      <c r="B3" s="72" t="s">
        <v>0</v>
      </c>
      <c r="C3" s="71"/>
      <c r="D3" s="71"/>
      <c r="E3" s="71"/>
      <c r="F3" s="71"/>
      <c r="G3" s="71"/>
      <c r="H3" s="71"/>
      <c r="I3" s="840" t="s">
        <v>1</v>
      </c>
      <c r="J3" s="841"/>
      <c r="K3" s="841"/>
      <c r="L3" s="841"/>
      <c r="M3" s="841"/>
      <c r="N3" s="841"/>
      <c r="O3" s="841"/>
      <c r="P3" s="841"/>
      <c r="Q3" s="841"/>
      <c r="R3" s="841"/>
      <c r="S3" s="841"/>
      <c r="T3" s="841"/>
      <c r="U3" s="841"/>
      <c r="V3" s="841"/>
      <c r="W3" s="841"/>
      <c r="X3" s="841"/>
      <c r="Y3" s="841"/>
      <c r="Z3" s="71"/>
      <c r="AA3" s="71"/>
      <c r="AB3" s="71"/>
      <c r="AC3" s="71"/>
      <c r="AD3" s="71"/>
      <c r="AE3" s="71"/>
      <c r="AF3" s="71"/>
      <c r="AG3" s="71"/>
      <c r="AH3" s="71"/>
      <c r="AI3" s="71"/>
      <c r="AJ3" s="71"/>
      <c r="AK3" s="71"/>
      <c r="AL3" s="71"/>
      <c r="AM3" s="428"/>
    </row>
    <row r="4" spans="1:39" s="70" customFormat="1" ht="12.75" customHeight="1">
      <c r="A4" s="427"/>
      <c r="B4" s="73"/>
      <c r="C4" s="71"/>
      <c r="D4" s="71"/>
      <c r="E4" s="71"/>
      <c r="F4" s="71"/>
      <c r="G4" s="71"/>
      <c r="H4" s="71"/>
      <c r="I4" s="74"/>
      <c r="J4" s="74"/>
      <c r="K4" s="74"/>
      <c r="L4" s="74"/>
      <c r="M4" s="74"/>
      <c r="N4" s="74"/>
      <c r="O4" s="74"/>
      <c r="P4" s="74"/>
      <c r="Q4" s="74"/>
      <c r="R4" s="74"/>
      <c r="S4" s="74"/>
      <c r="T4" s="74"/>
      <c r="U4" s="74"/>
      <c r="V4" s="74"/>
      <c r="W4" s="74"/>
      <c r="X4" s="74"/>
      <c r="Y4" s="74"/>
      <c r="Z4" s="71"/>
      <c r="AA4" s="71"/>
      <c r="AB4" s="71"/>
      <c r="AC4" s="71"/>
      <c r="AD4" s="71"/>
      <c r="AE4" s="71"/>
      <c r="AF4" s="71"/>
      <c r="AG4" s="71"/>
      <c r="AH4" s="71"/>
      <c r="AI4" s="71"/>
      <c r="AJ4" s="71"/>
      <c r="AK4" s="71"/>
      <c r="AL4" s="71"/>
      <c r="AM4" s="428"/>
    </row>
    <row r="5" spans="1:39" s="70" customFormat="1" ht="12.75" customHeight="1">
      <c r="A5" s="427"/>
      <c r="B5" s="72" t="s">
        <v>2</v>
      </c>
      <c r="C5" s="71"/>
      <c r="D5" s="71"/>
      <c r="E5" s="71"/>
      <c r="F5" s="71"/>
      <c r="G5" s="71"/>
      <c r="H5" s="71"/>
      <c r="I5" s="840" t="s">
        <v>3</v>
      </c>
      <c r="J5" s="841"/>
      <c r="K5" s="841"/>
      <c r="L5" s="841"/>
      <c r="M5" s="841"/>
      <c r="N5" s="841"/>
      <c r="O5" s="841"/>
      <c r="P5" s="841"/>
      <c r="Q5" s="841"/>
      <c r="R5" s="841"/>
      <c r="S5" s="841"/>
      <c r="T5" s="841"/>
      <c r="U5" s="841"/>
      <c r="V5" s="841"/>
      <c r="W5" s="841"/>
      <c r="X5" s="841"/>
      <c r="Y5" s="841"/>
      <c r="Z5" s="71"/>
      <c r="AA5" s="71"/>
      <c r="AB5" s="71"/>
      <c r="AC5" s="71"/>
      <c r="AD5" s="71"/>
      <c r="AE5" s="71"/>
      <c r="AF5" s="71"/>
      <c r="AG5" s="71"/>
      <c r="AH5" s="71"/>
      <c r="AI5" s="71"/>
      <c r="AJ5" s="71"/>
      <c r="AK5" s="71"/>
      <c r="AL5" s="71"/>
      <c r="AM5" s="428"/>
    </row>
    <row r="6" spans="1:39" s="70" customFormat="1" ht="12.75" customHeight="1">
      <c r="A6" s="427"/>
      <c r="B6" s="73"/>
      <c r="C6" s="71"/>
      <c r="D6" s="71"/>
      <c r="E6" s="71"/>
      <c r="F6" s="71"/>
      <c r="G6" s="71"/>
      <c r="H6" s="71"/>
      <c r="I6" s="74"/>
      <c r="J6" s="74"/>
      <c r="K6" s="74"/>
      <c r="L6" s="74"/>
      <c r="M6" s="74"/>
      <c r="N6" s="74"/>
      <c r="O6" s="74"/>
      <c r="P6" s="74"/>
      <c r="Q6" s="74"/>
      <c r="R6" s="74"/>
      <c r="S6" s="74"/>
      <c r="T6" s="74"/>
      <c r="U6" s="74"/>
      <c r="V6" s="74"/>
      <c r="W6" s="74"/>
      <c r="X6" s="74"/>
      <c r="Y6" s="74"/>
      <c r="Z6" s="71"/>
      <c r="AA6" s="71"/>
      <c r="AB6" s="71"/>
      <c r="AC6" s="71"/>
      <c r="AD6" s="71"/>
      <c r="AE6" s="71"/>
      <c r="AF6" s="71"/>
      <c r="AG6" s="71"/>
      <c r="AH6" s="71"/>
      <c r="AI6" s="71"/>
      <c r="AJ6" s="71"/>
      <c r="AK6" s="71"/>
      <c r="AL6" s="71"/>
      <c r="AM6" s="428"/>
    </row>
    <row r="7" spans="1:39" s="70" customFormat="1" ht="12.75" customHeight="1">
      <c r="A7" s="427"/>
      <c r="B7" s="72" t="s">
        <v>4</v>
      </c>
      <c r="C7" s="71"/>
      <c r="D7" s="71"/>
      <c r="E7" s="71"/>
      <c r="F7" s="71"/>
      <c r="G7" s="71"/>
      <c r="H7" s="71"/>
      <c r="I7" s="840" t="s">
        <v>5</v>
      </c>
      <c r="J7" s="841"/>
      <c r="K7" s="841"/>
      <c r="L7" s="841"/>
      <c r="M7" s="841"/>
      <c r="N7" s="841"/>
      <c r="O7" s="841"/>
      <c r="P7" s="841"/>
      <c r="Q7" s="841"/>
      <c r="R7" s="841"/>
      <c r="S7" s="841"/>
      <c r="T7" s="841"/>
      <c r="U7" s="841"/>
      <c r="V7" s="841"/>
      <c r="W7" s="841"/>
      <c r="X7" s="841"/>
      <c r="Y7" s="841"/>
      <c r="Z7" s="71"/>
      <c r="AA7" s="71"/>
      <c r="AB7" s="71"/>
      <c r="AC7" s="71"/>
      <c r="AD7" s="71"/>
      <c r="AE7" s="71"/>
      <c r="AF7" s="71"/>
      <c r="AG7" s="71"/>
      <c r="AH7" s="71"/>
      <c r="AI7" s="71"/>
      <c r="AJ7" s="71"/>
      <c r="AK7" s="71"/>
      <c r="AL7" s="71"/>
      <c r="AM7" s="428"/>
    </row>
    <row r="8" spans="1:39" s="70" customFormat="1" ht="12.75" customHeight="1">
      <c r="A8" s="427"/>
      <c r="B8" s="71"/>
      <c r="C8" s="71"/>
      <c r="D8" s="71"/>
      <c r="E8" s="71"/>
      <c r="F8" s="71"/>
      <c r="G8" s="71"/>
      <c r="H8" s="71"/>
      <c r="I8" s="74"/>
      <c r="J8" s="74"/>
      <c r="K8" s="74"/>
      <c r="L8" s="74"/>
      <c r="M8" s="74"/>
      <c r="N8" s="74"/>
      <c r="O8" s="74"/>
      <c r="P8" s="74"/>
      <c r="Q8" s="74"/>
      <c r="R8" s="74"/>
      <c r="S8" s="74"/>
      <c r="T8" s="74"/>
      <c r="U8" s="74"/>
      <c r="V8" s="74"/>
      <c r="W8" s="74"/>
      <c r="X8" s="74"/>
      <c r="Y8" s="74"/>
      <c r="Z8" s="71"/>
      <c r="AA8" s="71"/>
      <c r="AB8" s="71"/>
      <c r="AC8" s="71"/>
      <c r="AD8" s="71"/>
      <c r="AE8" s="71"/>
      <c r="AF8" s="71"/>
      <c r="AG8" s="71"/>
      <c r="AH8" s="71"/>
      <c r="AI8" s="71"/>
      <c r="AJ8" s="71"/>
      <c r="AK8" s="71"/>
      <c r="AL8" s="71"/>
      <c r="AM8" s="428"/>
    </row>
    <row r="9" spans="1:39" s="70" customFormat="1" ht="12.75" customHeight="1">
      <c r="A9" s="427"/>
      <c r="B9" s="71"/>
      <c r="C9" s="71"/>
      <c r="D9" s="71"/>
      <c r="E9" s="71"/>
      <c r="F9" s="71"/>
      <c r="G9" s="71"/>
      <c r="H9" s="71"/>
      <c r="I9" s="318"/>
      <c r="J9" s="318"/>
      <c r="K9" s="318"/>
      <c r="L9" s="318"/>
      <c r="M9" s="318"/>
      <c r="N9" s="318"/>
      <c r="O9" s="318"/>
      <c r="P9" s="318"/>
      <c r="Q9" s="318"/>
      <c r="R9" s="318"/>
      <c r="S9" s="318"/>
      <c r="T9" s="318"/>
      <c r="U9" s="318"/>
      <c r="V9" s="318"/>
      <c r="W9" s="318"/>
      <c r="X9" s="318"/>
      <c r="Y9" s="318"/>
      <c r="Z9" s="71"/>
      <c r="AA9" s="71"/>
      <c r="AB9" s="71"/>
      <c r="AC9" s="71"/>
      <c r="AD9" s="71"/>
      <c r="AE9" s="71"/>
      <c r="AF9" s="71"/>
      <c r="AG9" s="71"/>
      <c r="AH9" s="71"/>
      <c r="AI9" s="71"/>
      <c r="AJ9" s="71"/>
      <c r="AK9" s="71"/>
      <c r="AL9" s="71"/>
      <c r="AM9" s="428"/>
    </row>
    <row r="10" spans="1:39" s="70" customFormat="1" ht="12.75" customHeight="1">
      <c r="A10" s="427"/>
      <c r="B10" s="71"/>
      <c r="C10" s="71"/>
      <c r="D10" s="71"/>
      <c r="E10" s="71"/>
      <c r="F10" s="71"/>
      <c r="G10" s="71"/>
      <c r="H10" s="71"/>
      <c r="I10" s="318"/>
      <c r="J10" s="318"/>
      <c r="K10" s="318"/>
      <c r="L10" s="318"/>
      <c r="M10" s="318"/>
      <c r="N10" s="318"/>
      <c r="O10" s="318"/>
      <c r="P10" s="318"/>
      <c r="Q10" s="318"/>
      <c r="R10" s="318"/>
      <c r="S10" s="318"/>
      <c r="T10" s="318"/>
      <c r="U10" s="318"/>
      <c r="V10" s="318"/>
      <c r="W10" s="318"/>
      <c r="X10" s="318"/>
      <c r="Y10" s="318"/>
      <c r="Z10" s="71"/>
      <c r="AA10" s="71"/>
      <c r="AB10" s="71"/>
      <c r="AC10" s="71"/>
      <c r="AD10" s="71"/>
      <c r="AE10" s="71"/>
      <c r="AF10" s="71"/>
      <c r="AG10" s="71"/>
      <c r="AH10" s="71"/>
      <c r="AI10" s="71"/>
      <c r="AJ10" s="71"/>
      <c r="AK10" s="71"/>
      <c r="AL10" s="71"/>
      <c r="AM10" s="428"/>
    </row>
    <row r="11" spans="1:39" s="70" customFormat="1" ht="12.75" customHeight="1">
      <c r="A11" s="427"/>
      <c r="B11" s="71"/>
      <c r="C11" s="71"/>
      <c r="D11" s="71"/>
      <c r="E11" s="71"/>
      <c r="F11" s="71"/>
      <c r="G11" s="71"/>
      <c r="H11" s="71"/>
      <c r="I11" s="318"/>
      <c r="J11" s="318"/>
      <c r="K11" s="318"/>
      <c r="L11" s="318"/>
      <c r="M11" s="318"/>
      <c r="N11" s="318"/>
      <c r="O11" s="318"/>
      <c r="P11" s="318"/>
      <c r="Q11" s="318"/>
      <c r="R11" s="318"/>
      <c r="S11" s="318"/>
      <c r="T11" s="318"/>
      <c r="U11" s="318"/>
      <c r="V11" s="318"/>
      <c r="W11" s="318"/>
      <c r="X11" s="318"/>
      <c r="Y11" s="318"/>
      <c r="Z11" s="71"/>
      <c r="AA11" s="71"/>
      <c r="AB11" s="71"/>
      <c r="AC11" s="71"/>
      <c r="AD11" s="71"/>
      <c r="AE11" s="71"/>
      <c r="AF11" s="71"/>
      <c r="AG11" s="71"/>
      <c r="AH11" s="71"/>
      <c r="AI11" s="71"/>
      <c r="AJ11" s="71"/>
      <c r="AK11" s="71"/>
      <c r="AL11" s="71"/>
      <c r="AM11" s="428"/>
    </row>
    <row r="12" spans="1:39" s="70" customFormat="1" ht="12.75" customHeight="1">
      <c r="A12" s="427"/>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428"/>
    </row>
    <row r="13" spans="1:39" s="70" customFormat="1" ht="12.75" customHeight="1">
      <c r="A13" s="427"/>
      <c r="B13" s="71"/>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428"/>
    </row>
    <row r="14" spans="1:39" s="70" customFormat="1" ht="12.75" customHeight="1">
      <c r="A14" s="427"/>
      <c r="B14" s="71"/>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428"/>
    </row>
    <row r="15" spans="1:39" s="70" customFormat="1" ht="12.75" customHeight="1">
      <c r="A15" s="429"/>
      <c r="B15" s="829" t="s">
        <v>1422</v>
      </c>
      <c r="C15" s="838"/>
      <c r="D15" s="838"/>
      <c r="E15" s="838"/>
      <c r="F15" s="838"/>
      <c r="G15" s="838"/>
      <c r="H15" s="838"/>
      <c r="I15" s="838"/>
      <c r="J15" s="838"/>
      <c r="K15" s="838"/>
      <c r="L15" s="838"/>
      <c r="M15" s="838"/>
      <c r="N15" s="838"/>
      <c r="O15" s="838"/>
      <c r="P15" s="838"/>
      <c r="Q15" s="838"/>
      <c r="R15" s="838"/>
      <c r="S15" s="838"/>
      <c r="T15" s="838"/>
      <c r="U15" s="838"/>
      <c r="V15" s="838"/>
      <c r="W15" s="838"/>
      <c r="X15" s="838"/>
      <c r="Y15" s="838"/>
      <c r="Z15" s="838"/>
      <c r="AA15" s="838"/>
      <c r="AB15" s="838"/>
      <c r="AC15" s="838"/>
      <c r="AD15" s="838"/>
      <c r="AE15" s="838"/>
      <c r="AF15" s="838"/>
      <c r="AG15" s="838"/>
      <c r="AH15" s="838"/>
      <c r="AI15" s="838"/>
      <c r="AJ15" s="838"/>
      <c r="AK15" s="838"/>
      <c r="AL15" s="839"/>
      <c r="AM15" s="430"/>
    </row>
    <row r="16" spans="1:39" s="70" customFormat="1" ht="12.75" customHeight="1">
      <c r="A16" s="431"/>
      <c r="B16" s="404"/>
      <c r="C16" s="404"/>
      <c r="D16" s="404"/>
      <c r="E16" s="404"/>
      <c r="F16" s="404"/>
      <c r="G16" s="404"/>
      <c r="H16" s="404"/>
      <c r="I16" s="404"/>
      <c r="J16" s="404"/>
      <c r="K16" s="404"/>
      <c r="L16" s="404"/>
      <c r="M16" s="404"/>
      <c r="N16" s="404"/>
      <c r="O16" s="404"/>
      <c r="P16" s="404"/>
      <c r="Q16" s="404"/>
      <c r="R16" s="404"/>
      <c r="S16" s="404"/>
      <c r="T16" s="404"/>
      <c r="U16" s="404"/>
      <c r="V16" s="404"/>
      <c r="W16" s="404"/>
      <c r="X16" s="404"/>
      <c r="Y16" s="404"/>
      <c r="Z16" s="404"/>
      <c r="AA16" s="404"/>
      <c r="AB16" s="404"/>
      <c r="AC16" s="404"/>
      <c r="AD16" s="404"/>
      <c r="AE16" s="404"/>
      <c r="AF16" s="404"/>
      <c r="AG16" s="404"/>
      <c r="AH16" s="404"/>
      <c r="AI16" s="404"/>
      <c r="AJ16" s="404"/>
      <c r="AK16" s="404"/>
      <c r="AL16" s="404"/>
      <c r="AM16" s="432"/>
    </row>
    <row r="17" spans="1:39" s="70" customFormat="1" ht="12.75" customHeight="1">
      <c r="A17" s="431"/>
      <c r="B17" s="404"/>
      <c r="C17" s="404"/>
      <c r="D17" s="404"/>
      <c r="E17" s="404"/>
      <c r="F17" s="404"/>
      <c r="G17" s="404"/>
      <c r="H17" s="404"/>
      <c r="I17" s="404"/>
      <c r="J17" s="404"/>
      <c r="K17" s="404"/>
      <c r="L17" s="404"/>
      <c r="M17" s="404"/>
      <c r="N17" s="404"/>
      <c r="O17" s="404"/>
      <c r="P17" s="404"/>
      <c r="Q17" s="404"/>
      <c r="R17" s="404"/>
      <c r="S17" s="404"/>
      <c r="T17" s="404"/>
      <c r="U17" s="404"/>
      <c r="V17" s="404"/>
      <c r="W17" s="404"/>
      <c r="X17" s="404"/>
      <c r="Y17" s="404"/>
      <c r="Z17" s="404"/>
      <c r="AA17" s="404"/>
      <c r="AB17" s="404"/>
      <c r="AC17" s="404"/>
      <c r="AD17" s="404"/>
      <c r="AE17" s="404"/>
      <c r="AF17" s="404"/>
      <c r="AG17" s="404"/>
      <c r="AH17" s="404"/>
      <c r="AI17" s="404"/>
      <c r="AJ17" s="404"/>
      <c r="AK17" s="404"/>
      <c r="AL17" s="404"/>
      <c r="AM17" s="432"/>
    </row>
    <row r="18" spans="1:39" s="70" customFormat="1" ht="12.75" customHeight="1">
      <c r="A18" s="431"/>
      <c r="B18" s="404"/>
      <c r="C18" s="404"/>
      <c r="D18" s="404"/>
      <c r="E18" s="404"/>
      <c r="F18" s="404"/>
      <c r="G18" s="404"/>
      <c r="H18" s="404"/>
      <c r="I18" s="404"/>
      <c r="J18" s="404"/>
      <c r="K18" s="404"/>
      <c r="L18" s="404"/>
      <c r="M18" s="404"/>
      <c r="N18" s="404"/>
      <c r="O18" s="404"/>
      <c r="P18" s="404"/>
      <c r="Q18" s="404"/>
      <c r="R18" s="404"/>
      <c r="S18" s="404"/>
      <c r="T18" s="404"/>
      <c r="U18" s="404"/>
      <c r="V18" s="404"/>
      <c r="W18" s="404"/>
      <c r="X18" s="404"/>
      <c r="Y18" s="404"/>
      <c r="Z18" s="404"/>
      <c r="AA18" s="404"/>
      <c r="AB18" s="404"/>
      <c r="AC18" s="404"/>
      <c r="AD18" s="404"/>
      <c r="AE18" s="404"/>
      <c r="AF18" s="404"/>
      <c r="AG18" s="404"/>
      <c r="AH18" s="404"/>
      <c r="AI18" s="404"/>
      <c r="AJ18" s="404"/>
      <c r="AK18" s="404"/>
      <c r="AL18" s="404"/>
      <c r="AM18" s="432"/>
    </row>
    <row r="19" spans="1:39" s="70" customFormat="1" ht="12.75" customHeight="1">
      <c r="A19" s="427"/>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428"/>
    </row>
    <row r="20" spans="1:39" s="70" customFormat="1" ht="12.75" customHeight="1">
      <c r="A20" s="427"/>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428"/>
    </row>
    <row r="21" spans="1:39" s="70" customFormat="1" ht="12.75" customHeight="1">
      <c r="A21" s="817" t="s">
        <v>6</v>
      </c>
      <c r="B21" s="818"/>
      <c r="C21" s="818"/>
      <c r="D21" s="818"/>
      <c r="E21" s="818"/>
      <c r="F21" s="818"/>
      <c r="G21" s="818"/>
      <c r="H21" s="818"/>
      <c r="I21" s="818"/>
      <c r="J21" s="818"/>
      <c r="K21" s="818"/>
      <c r="L21" s="818"/>
      <c r="M21" s="818"/>
      <c r="N21" s="818"/>
      <c r="O21" s="818"/>
      <c r="P21" s="818"/>
      <c r="Q21" s="818"/>
      <c r="R21" s="818"/>
      <c r="S21" s="818"/>
      <c r="T21" s="818"/>
      <c r="U21" s="818"/>
      <c r="V21" s="818"/>
      <c r="W21" s="818"/>
      <c r="X21" s="818"/>
      <c r="Y21" s="818"/>
      <c r="Z21" s="818"/>
      <c r="AA21" s="818"/>
      <c r="AB21" s="818"/>
      <c r="AC21" s="818"/>
      <c r="AD21" s="818"/>
      <c r="AE21" s="818"/>
      <c r="AF21" s="818"/>
      <c r="AG21" s="818"/>
      <c r="AH21" s="818"/>
      <c r="AI21" s="818"/>
      <c r="AJ21" s="818"/>
      <c r="AK21" s="818"/>
      <c r="AL21" s="818"/>
      <c r="AM21" s="819"/>
    </row>
    <row r="22" spans="1:39" s="70" customFormat="1" ht="12.75" customHeight="1">
      <c r="A22" s="817"/>
      <c r="B22" s="818"/>
      <c r="C22" s="818"/>
      <c r="D22" s="818"/>
      <c r="E22" s="818"/>
      <c r="F22" s="818"/>
      <c r="G22" s="818"/>
      <c r="H22" s="818"/>
      <c r="I22" s="818"/>
      <c r="J22" s="818"/>
      <c r="K22" s="818"/>
      <c r="L22" s="818"/>
      <c r="M22" s="818"/>
      <c r="N22" s="818"/>
      <c r="O22" s="818"/>
      <c r="P22" s="818"/>
      <c r="Q22" s="818"/>
      <c r="R22" s="818"/>
      <c r="S22" s="818"/>
      <c r="T22" s="818"/>
      <c r="U22" s="818"/>
      <c r="V22" s="818"/>
      <c r="W22" s="818"/>
      <c r="X22" s="818"/>
      <c r="Y22" s="818"/>
      <c r="Z22" s="818"/>
      <c r="AA22" s="818"/>
      <c r="AB22" s="818"/>
      <c r="AC22" s="818"/>
      <c r="AD22" s="818"/>
      <c r="AE22" s="818"/>
      <c r="AF22" s="818"/>
      <c r="AG22" s="818"/>
      <c r="AH22" s="818"/>
      <c r="AI22" s="818"/>
      <c r="AJ22" s="818"/>
      <c r="AK22" s="818"/>
      <c r="AL22" s="818"/>
      <c r="AM22" s="819"/>
    </row>
    <row r="23" spans="1:39" s="70" customFormat="1" ht="12.75" customHeight="1" thickBot="1">
      <c r="A23" s="427"/>
      <c r="B23" s="71"/>
      <c r="C23" s="71"/>
      <c r="D23" s="71"/>
      <c r="E23" s="71"/>
      <c r="F23" s="71"/>
      <c r="G23" s="71"/>
      <c r="H23" s="71"/>
      <c r="I23" s="71"/>
      <c r="J23" s="71"/>
      <c r="K23" s="71"/>
      <c r="L23" s="71"/>
      <c r="M23" s="71"/>
      <c r="N23" s="71"/>
      <c r="O23" s="71"/>
      <c r="P23" s="71"/>
      <c r="Q23" s="71"/>
      <c r="R23" s="75"/>
      <c r="S23" s="75"/>
      <c r="T23" s="75"/>
      <c r="U23" s="75"/>
      <c r="V23" s="71"/>
      <c r="W23" s="71"/>
      <c r="X23" s="71"/>
      <c r="Y23" s="71"/>
      <c r="Z23" s="71"/>
      <c r="AA23" s="71"/>
      <c r="AB23" s="71"/>
      <c r="AC23" s="71"/>
      <c r="AD23" s="71"/>
      <c r="AE23" s="71"/>
      <c r="AF23" s="71"/>
      <c r="AG23" s="71"/>
      <c r="AH23" s="71"/>
      <c r="AI23" s="71"/>
      <c r="AJ23" s="71"/>
      <c r="AK23" s="71"/>
      <c r="AL23" s="71"/>
      <c r="AM23" s="428"/>
    </row>
    <row r="24" spans="1:39" s="70" customFormat="1" ht="12.75" customHeight="1">
      <c r="A24" s="427"/>
      <c r="B24" s="71"/>
      <c r="C24" s="71"/>
      <c r="D24" s="71"/>
      <c r="E24" s="71"/>
      <c r="F24" s="71"/>
      <c r="G24" s="71"/>
      <c r="H24" s="71"/>
      <c r="I24" s="71"/>
      <c r="J24" s="71"/>
      <c r="K24" s="71"/>
      <c r="L24" s="71"/>
      <c r="M24" s="71"/>
      <c r="N24" s="71"/>
      <c r="O24" s="71"/>
      <c r="P24" s="71"/>
      <c r="Q24" s="71"/>
      <c r="R24" s="69"/>
      <c r="S24" s="69"/>
      <c r="T24" s="69"/>
      <c r="U24" s="69"/>
      <c r="V24" s="71"/>
      <c r="W24" s="71"/>
      <c r="X24" s="71"/>
      <c r="Y24" s="71"/>
      <c r="Z24" s="71"/>
      <c r="AA24" s="71"/>
      <c r="AB24" s="71"/>
      <c r="AC24" s="71"/>
      <c r="AD24" s="71"/>
      <c r="AE24" s="71"/>
      <c r="AF24" s="71"/>
      <c r="AG24" s="71"/>
      <c r="AH24" s="71"/>
      <c r="AI24" s="71"/>
      <c r="AJ24" s="71"/>
      <c r="AK24" s="71"/>
      <c r="AL24" s="71"/>
      <c r="AM24" s="428"/>
    </row>
    <row r="25" spans="1:39" s="70" customFormat="1" ht="12.75" customHeight="1">
      <c r="A25" s="433"/>
      <c r="B25" s="842" t="s">
        <v>7</v>
      </c>
      <c r="C25" s="842"/>
      <c r="D25" s="842"/>
      <c r="E25" s="842"/>
      <c r="F25" s="842"/>
      <c r="G25" s="842"/>
      <c r="H25" s="842"/>
      <c r="I25" s="842"/>
      <c r="J25" s="842"/>
      <c r="K25" s="842"/>
      <c r="L25" s="76"/>
      <c r="M25" s="843">
        <v>44926</v>
      </c>
      <c r="N25" s="844"/>
      <c r="O25" s="844"/>
      <c r="P25" s="844"/>
      <c r="Q25" s="844"/>
      <c r="R25" s="844"/>
      <c r="S25" s="844"/>
      <c r="T25" s="844"/>
      <c r="U25" s="844"/>
      <c r="V25" s="844"/>
      <c r="W25" s="844"/>
      <c r="X25" s="844"/>
      <c r="Y25" s="844"/>
      <c r="Z25" s="844"/>
      <c r="AA25" s="844"/>
      <c r="AB25" s="844"/>
      <c r="AC25" s="844"/>
      <c r="AD25" s="844"/>
      <c r="AE25" s="844"/>
      <c r="AF25" s="844"/>
      <c r="AG25" s="844"/>
      <c r="AH25" s="844"/>
      <c r="AI25" s="844"/>
      <c r="AJ25" s="844"/>
      <c r="AK25" s="844"/>
      <c r="AL25" s="76"/>
      <c r="AM25" s="434"/>
    </row>
    <row r="26" spans="1:39" s="70" customFormat="1" ht="12.75" customHeight="1" thickBot="1">
      <c r="A26" s="427"/>
      <c r="B26" s="71"/>
      <c r="C26" s="71"/>
      <c r="D26" s="71"/>
      <c r="E26" s="71"/>
      <c r="F26" s="71"/>
      <c r="G26" s="71"/>
      <c r="H26" s="71"/>
      <c r="I26" s="71"/>
      <c r="J26" s="71"/>
      <c r="K26" s="71"/>
      <c r="L26" s="71"/>
      <c r="M26" s="71"/>
      <c r="N26" s="71"/>
      <c r="O26" s="77"/>
      <c r="P26" s="71"/>
      <c r="Q26" s="71"/>
      <c r="R26" s="75"/>
      <c r="S26" s="75"/>
      <c r="T26" s="75"/>
      <c r="U26" s="75"/>
      <c r="V26" s="71"/>
      <c r="W26" s="71"/>
      <c r="X26" s="71"/>
      <c r="Y26" s="71"/>
      <c r="Z26" s="71"/>
      <c r="AA26" s="71"/>
      <c r="AB26" s="71"/>
      <c r="AC26" s="71"/>
      <c r="AD26" s="71"/>
      <c r="AE26" s="71"/>
      <c r="AF26" s="71"/>
      <c r="AG26" s="71"/>
      <c r="AH26" s="71"/>
      <c r="AI26" s="71"/>
      <c r="AJ26" s="71"/>
      <c r="AK26" s="71"/>
      <c r="AL26" s="71"/>
      <c r="AM26" s="428"/>
    </row>
    <row r="27" spans="1:39" s="70" customFormat="1" ht="12.75" customHeight="1">
      <c r="A27" s="427"/>
      <c r="B27" s="71"/>
      <c r="C27" s="71"/>
      <c r="D27" s="71"/>
      <c r="E27" s="71"/>
      <c r="F27" s="71"/>
      <c r="G27" s="71"/>
      <c r="H27" s="71"/>
      <c r="I27" s="71"/>
      <c r="J27" s="71"/>
      <c r="K27" s="71"/>
      <c r="L27" s="71"/>
      <c r="M27" s="71"/>
      <c r="N27" s="71"/>
      <c r="O27" s="71"/>
      <c r="P27" s="71"/>
      <c r="Q27" s="71"/>
      <c r="R27" s="69"/>
      <c r="S27" s="69"/>
      <c r="T27" s="69"/>
      <c r="U27" s="69"/>
      <c r="V27" s="71"/>
      <c r="W27" s="71"/>
      <c r="X27" s="71"/>
      <c r="Y27" s="71"/>
      <c r="Z27" s="71"/>
      <c r="AA27" s="71"/>
      <c r="AB27" s="71"/>
      <c r="AC27" s="71"/>
      <c r="AD27" s="71"/>
      <c r="AE27" s="71"/>
      <c r="AF27" s="71"/>
      <c r="AG27" s="71"/>
      <c r="AH27" s="71"/>
      <c r="AI27" s="71"/>
      <c r="AJ27" s="71"/>
      <c r="AK27" s="71"/>
      <c r="AL27" s="71"/>
      <c r="AM27" s="428"/>
    </row>
    <row r="28" spans="1:39" s="70" customFormat="1" ht="12.75" customHeight="1">
      <c r="A28" s="817" t="s">
        <v>8</v>
      </c>
      <c r="B28" s="818"/>
      <c r="C28" s="818"/>
      <c r="D28" s="818"/>
      <c r="E28" s="818"/>
      <c r="F28" s="818"/>
      <c r="G28" s="818"/>
      <c r="H28" s="818"/>
      <c r="I28" s="818"/>
      <c r="J28" s="818"/>
      <c r="K28" s="818"/>
      <c r="L28" s="818"/>
      <c r="M28" s="818"/>
      <c r="N28" s="818"/>
      <c r="O28" s="818"/>
      <c r="P28" s="818"/>
      <c r="Q28" s="818"/>
      <c r="R28" s="818"/>
      <c r="S28" s="818"/>
      <c r="T28" s="818"/>
      <c r="U28" s="818"/>
      <c r="V28" s="818"/>
      <c r="W28" s="818"/>
      <c r="X28" s="818"/>
      <c r="Y28" s="818"/>
      <c r="Z28" s="818"/>
      <c r="AA28" s="818"/>
      <c r="AB28" s="818"/>
      <c r="AC28" s="818"/>
      <c r="AD28" s="818"/>
      <c r="AE28" s="818"/>
      <c r="AF28" s="818"/>
      <c r="AG28" s="818"/>
      <c r="AH28" s="818"/>
      <c r="AI28" s="818"/>
      <c r="AJ28" s="818"/>
      <c r="AK28" s="818"/>
      <c r="AL28" s="818"/>
      <c r="AM28" s="819"/>
    </row>
    <row r="29" spans="1:39" s="70" customFormat="1" ht="12.75" customHeight="1">
      <c r="A29" s="427"/>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428"/>
    </row>
    <row r="30" spans="1:39" s="70" customFormat="1" ht="12.75" customHeight="1">
      <c r="A30" s="427"/>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428"/>
    </row>
    <row r="31" spans="1:39" s="70" customFormat="1" ht="12.75" customHeight="1">
      <c r="A31" s="427"/>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428"/>
    </row>
    <row r="32" spans="1:39" s="70" customFormat="1" ht="12.75" customHeight="1">
      <c r="A32" s="427"/>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428"/>
    </row>
    <row r="33" spans="1:39" s="70" customFormat="1" ht="12.75" customHeight="1">
      <c r="A33" s="427"/>
      <c r="B33" s="71"/>
      <c r="C33" s="72" t="s">
        <v>9</v>
      </c>
      <c r="D33" s="71"/>
      <c r="E33" s="71"/>
      <c r="F33" s="71"/>
      <c r="G33" s="71"/>
      <c r="H33" s="71"/>
      <c r="I33" s="71"/>
      <c r="J33" s="71"/>
      <c r="K33" s="71"/>
      <c r="L33" s="829" t="s">
        <v>1423</v>
      </c>
      <c r="M33" s="830"/>
      <c r="N33" s="830"/>
      <c r="O33" s="830"/>
      <c r="P33" s="830"/>
      <c r="Q33" s="830"/>
      <c r="R33" s="830"/>
      <c r="S33" s="830"/>
      <c r="T33" s="830"/>
      <c r="U33" s="830"/>
      <c r="V33" s="830"/>
      <c r="W33" s="830"/>
      <c r="X33" s="830"/>
      <c r="Y33" s="830"/>
      <c r="Z33" s="830"/>
      <c r="AA33" s="830"/>
      <c r="AB33" s="830"/>
      <c r="AC33" s="830"/>
      <c r="AD33" s="830"/>
      <c r="AE33" s="830"/>
      <c r="AF33" s="830"/>
      <c r="AG33" s="830"/>
      <c r="AH33" s="830"/>
      <c r="AI33" s="830"/>
      <c r="AJ33" s="830"/>
      <c r="AK33" s="831"/>
      <c r="AL33" s="71"/>
      <c r="AM33" s="428"/>
    </row>
    <row r="34" spans="1:39" s="70" customFormat="1" ht="12.75" customHeight="1">
      <c r="A34" s="427"/>
      <c r="B34" s="71"/>
      <c r="C34" s="78" t="s">
        <v>10</v>
      </c>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428"/>
    </row>
    <row r="35" spans="1:39" s="70" customFormat="1" ht="12.75" customHeight="1">
      <c r="A35" s="427"/>
      <c r="B35" s="71"/>
      <c r="C35" s="78"/>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428"/>
    </row>
    <row r="36" spans="1:39" s="70" customFormat="1" ht="12.75" customHeight="1">
      <c r="A36" s="427"/>
      <c r="B36" s="71"/>
      <c r="C36" s="78"/>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428"/>
    </row>
    <row r="37" spans="1:39" s="70" customFormat="1" ht="12.75" customHeight="1">
      <c r="A37" s="427"/>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428"/>
    </row>
    <row r="38" spans="1:39" s="70" customFormat="1" ht="12.75" customHeight="1">
      <c r="A38" s="427"/>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428"/>
    </row>
    <row r="39" spans="1:39" s="70" customFormat="1" ht="12.75" customHeight="1">
      <c r="A39" s="427"/>
      <c r="B39" s="71"/>
      <c r="C39" s="72" t="s">
        <v>11</v>
      </c>
      <c r="D39" s="71"/>
      <c r="E39" s="71"/>
      <c r="F39" s="71"/>
      <c r="G39" s="71"/>
      <c r="H39" s="826" t="s">
        <v>1424</v>
      </c>
      <c r="I39" s="827"/>
      <c r="J39" s="827"/>
      <c r="K39" s="827"/>
      <c r="L39" s="827"/>
      <c r="M39" s="827"/>
      <c r="N39" s="827"/>
      <c r="O39" s="827"/>
      <c r="P39" s="827"/>
      <c r="Q39" s="827"/>
      <c r="R39" s="827"/>
      <c r="S39" s="827"/>
      <c r="T39" s="827"/>
      <c r="U39" s="827"/>
      <c r="V39" s="827"/>
      <c r="W39" s="827"/>
      <c r="X39" s="827"/>
      <c r="Y39" s="827"/>
      <c r="Z39" s="827"/>
      <c r="AA39" s="827"/>
      <c r="AB39" s="827"/>
      <c r="AC39" s="827"/>
      <c r="AD39" s="827"/>
      <c r="AE39" s="827"/>
      <c r="AF39" s="827"/>
      <c r="AG39" s="827"/>
      <c r="AH39" s="827"/>
      <c r="AI39" s="827"/>
      <c r="AJ39" s="827"/>
      <c r="AK39" s="828"/>
      <c r="AL39" s="71"/>
      <c r="AM39" s="428"/>
    </row>
    <row r="40" spans="1:39" s="70" customFormat="1" ht="12.75" customHeight="1">
      <c r="A40" s="427"/>
      <c r="B40" s="71"/>
      <c r="C40" s="72"/>
      <c r="D40" s="71"/>
      <c r="E40" s="71"/>
      <c r="F40" s="71"/>
      <c r="G40" s="71"/>
      <c r="H40" s="407"/>
      <c r="I40" s="408"/>
      <c r="J40" s="408"/>
      <c r="K40" s="408"/>
      <c r="L40" s="408"/>
      <c r="M40" s="408"/>
      <c r="N40" s="408"/>
      <c r="O40" s="408"/>
      <c r="P40" s="408"/>
      <c r="Q40" s="408"/>
      <c r="R40" s="408"/>
      <c r="S40" s="408"/>
      <c r="T40" s="408"/>
      <c r="U40" s="408"/>
      <c r="V40" s="408"/>
      <c r="W40" s="408"/>
      <c r="X40" s="408"/>
      <c r="Y40" s="408"/>
      <c r="Z40" s="408"/>
      <c r="AA40" s="408"/>
      <c r="AB40" s="408"/>
      <c r="AC40" s="408"/>
      <c r="AD40" s="408"/>
      <c r="AE40" s="408"/>
      <c r="AF40" s="408"/>
      <c r="AG40" s="408"/>
      <c r="AH40" s="408"/>
      <c r="AI40" s="408"/>
      <c r="AJ40" s="408"/>
      <c r="AK40" s="409"/>
      <c r="AL40" s="71"/>
      <c r="AM40" s="428"/>
    </row>
    <row r="41" spans="1:39" s="70" customFormat="1" ht="12.75" customHeight="1">
      <c r="A41" s="427"/>
      <c r="B41" s="71"/>
      <c r="C41" s="72"/>
      <c r="D41" s="71"/>
      <c r="E41" s="71"/>
      <c r="F41" s="71"/>
      <c r="G41" s="71"/>
      <c r="H41" s="407"/>
      <c r="I41" s="408"/>
      <c r="J41" s="408"/>
      <c r="K41" s="408"/>
      <c r="L41" s="408"/>
      <c r="M41" s="408"/>
      <c r="N41" s="408"/>
      <c r="O41" s="408"/>
      <c r="P41" s="408"/>
      <c r="Q41" s="408"/>
      <c r="R41" s="408"/>
      <c r="S41" s="408"/>
      <c r="T41" s="408"/>
      <c r="U41" s="408"/>
      <c r="V41" s="408"/>
      <c r="W41" s="408"/>
      <c r="X41" s="408"/>
      <c r="Y41" s="408"/>
      <c r="Z41" s="408"/>
      <c r="AA41" s="408"/>
      <c r="AB41" s="408"/>
      <c r="AC41" s="408"/>
      <c r="AD41" s="408"/>
      <c r="AE41" s="408"/>
      <c r="AF41" s="408"/>
      <c r="AG41" s="408"/>
      <c r="AH41" s="408"/>
      <c r="AI41" s="408"/>
      <c r="AJ41" s="408"/>
      <c r="AK41" s="409"/>
      <c r="AL41" s="71"/>
      <c r="AM41" s="428"/>
    </row>
    <row r="42" spans="1:39" s="70" customFormat="1" ht="12.75" customHeight="1">
      <c r="A42" s="427"/>
      <c r="B42" s="71"/>
      <c r="C42" s="73"/>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428"/>
    </row>
    <row r="43" spans="1:39" s="70" customFormat="1" ht="12.75" customHeight="1">
      <c r="A43" s="427"/>
      <c r="B43" s="71"/>
      <c r="C43" s="73"/>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428"/>
    </row>
    <row r="44" spans="1:39" s="70" customFormat="1" ht="12.75" customHeight="1">
      <c r="A44" s="427"/>
      <c r="B44" s="71"/>
      <c r="C44" s="72" t="s">
        <v>12</v>
      </c>
      <c r="D44" s="71"/>
      <c r="E44" s="71"/>
      <c r="F44" s="71"/>
      <c r="G44" s="71"/>
      <c r="H44" s="71"/>
      <c r="I44" s="71"/>
      <c r="J44" s="829" t="s">
        <v>1425</v>
      </c>
      <c r="K44" s="830"/>
      <c r="L44" s="830"/>
      <c r="M44" s="830"/>
      <c r="N44" s="830"/>
      <c r="O44" s="830"/>
      <c r="P44" s="830"/>
      <c r="Q44" s="830"/>
      <c r="R44" s="830"/>
      <c r="S44" s="830"/>
      <c r="T44" s="830"/>
      <c r="U44" s="830"/>
      <c r="V44" s="830"/>
      <c r="W44" s="830"/>
      <c r="X44" s="830"/>
      <c r="Y44" s="830"/>
      <c r="Z44" s="830"/>
      <c r="AA44" s="830"/>
      <c r="AB44" s="830"/>
      <c r="AC44" s="830"/>
      <c r="AD44" s="830"/>
      <c r="AE44" s="830"/>
      <c r="AF44" s="830"/>
      <c r="AG44" s="830"/>
      <c r="AH44" s="830"/>
      <c r="AI44" s="830"/>
      <c r="AJ44" s="830"/>
      <c r="AK44" s="831"/>
      <c r="AL44" s="71"/>
      <c r="AM44" s="428"/>
    </row>
    <row r="45" spans="1:39" s="70" customFormat="1" ht="12.75" customHeight="1">
      <c r="A45" s="427"/>
      <c r="B45" s="71"/>
      <c r="C45" s="72"/>
      <c r="D45" s="71"/>
      <c r="E45" s="71"/>
      <c r="F45" s="71"/>
      <c r="G45" s="71"/>
      <c r="H45" s="71"/>
      <c r="I45" s="71"/>
      <c r="J45" s="407"/>
      <c r="K45" s="408"/>
      <c r="L45" s="408"/>
      <c r="M45" s="408"/>
      <c r="N45" s="408"/>
      <c r="O45" s="408"/>
      <c r="P45" s="408"/>
      <c r="Q45" s="408"/>
      <c r="R45" s="408"/>
      <c r="S45" s="408"/>
      <c r="T45" s="408"/>
      <c r="U45" s="408"/>
      <c r="V45" s="408"/>
      <c r="W45" s="408"/>
      <c r="X45" s="408"/>
      <c r="Y45" s="408"/>
      <c r="Z45" s="408"/>
      <c r="AA45" s="408"/>
      <c r="AB45" s="408"/>
      <c r="AC45" s="408"/>
      <c r="AD45" s="408"/>
      <c r="AE45" s="408"/>
      <c r="AF45" s="408"/>
      <c r="AG45" s="408"/>
      <c r="AH45" s="408"/>
      <c r="AI45" s="408"/>
      <c r="AJ45" s="408"/>
      <c r="AK45" s="409"/>
      <c r="AL45" s="71"/>
      <c r="AM45" s="428"/>
    </row>
    <row r="46" spans="1:39" s="70" customFormat="1" ht="12.75" customHeight="1">
      <c r="A46" s="427"/>
      <c r="B46" s="71"/>
      <c r="C46" s="72"/>
      <c r="D46" s="71"/>
      <c r="E46" s="71"/>
      <c r="F46" s="71"/>
      <c r="G46" s="71"/>
      <c r="H46" s="71"/>
      <c r="I46" s="71"/>
      <c r="J46" s="407"/>
      <c r="K46" s="408"/>
      <c r="L46" s="408"/>
      <c r="M46" s="408"/>
      <c r="N46" s="408"/>
      <c r="O46" s="408"/>
      <c r="P46" s="408"/>
      <c r="Q46" s="408"/>
      <c r="R46" s="408"/>
      <c r="S46" s="408"/>
      <c r="T46" s="408"/>
      <c r="U46" s="408"/>
      <c r="V46" s="408"/>
      <c r="W46" s="408"/>
      <c r="X46" s="408"/>
      <c r="Y46" s="408"/>
      <c r="Z46" s="408"/>
      <c r="AA46" s="408"/>
      <c r="AB46" s="408"/>
      <c r="AC46" s="408"/>
      <c r="AD46" s="408"/>
      <c r="AE46" s="408"/>
      <c r="AF46" s="408"/>
      <c r="AG46" s="408"/>
      <c r="AH46" s="408"/>
      <c r="AI46" s="408"/>
      <c r="AJ46" s="408"/>
      <c r="AK46" s="409"/>
      <c r="AL46" s="71"/>
      <c r="AM46" s="428"/>
    </row>
    <row r="47" spans="1:39" s="70" customFormat="1" ht="12.75" customHeight="1">
      <c r="A47" s="427"/>
      <c r="B47" s="71"/>
      <c r="C47" s="73"/>
      <c r="D47" s="71"/>
      <c r="E47" s="71"/>
      <c r="F47" s="71"/>
      <c r="G47" s="71"/>
      <c r="H47" s="71"/>
      <c r="I47" s="71"/>
      <c r="J47" s="71"/>
      <c r="K47" s="71"/>
      <c r="L47" s="71"/>
      <c r="M47" s="71"/>
      <c r="N47" s="404"/>
      <c r="O47" s="404"/>
      <c r="P47" s="404"/>
      <c r="Q47" s="404"/>
      <c r="R47" s="404"/>
      <c r="S47" s="404"/>
      <c r="T47" s="404"/>
      <c r="U47" s="404"/>
      <c r="V47" s="404"/>
      <c r="W47" s="404"/>
      <c r="X47" s="404"/>
      <c r="Y47" s="404"/>
      <c r="Z47" s="404"/>
      <c r="AA47" s="404"/>
      <c r="AB47" s="404"/>
      <c r="AC47" s="404"/>
      <c r="AD47" s="404"/>
      <c r="AE47" s="404"/>
      <c r="AF47" s="404"/>
      <c r="AG47" s="71"/>
      <c r="AH47" s="71"/>
      <c r="AI47" s="71"/>
      <c r="AJ47" s="71"/>
      <c r="AK47" s="71"/>
      <c r="AL47" s="71"/>
      <c r="AM47" s="428"/>
    </row>
    <row r="48" spans="1:39" s="70" customFormat="1" ht="12.75" customHeight="1">
      <c r="A48" s="427"/>
      <c r="B48" s="71"/>
      <c r="C48" s="73"/>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428"/>
    </row>
    <row r="49" spans="1:39" s="70" customFormat="1" ht="12.75" customHeight="1">
      <c r="A49" s="427"/>
      <c r="B49" s="71"/>
      <c r="C49" s="72" t="s">
        <v>13</v>
      </c>
      <c r="D49" s="71"/>
      <c r="E49" s="71"/>
      <c r="F49" s="71"/>
      <c r="G49" s="71"/>
      <c r="H49" s="71"/>
      <c r="I49" s="71"/>
      <c r="J49" s="71"/>
      <c r="K49" s="71"/>
      <c r="L49" s="71"/>
      <c r="M49" s="407"/>
      <c r="N49" s="836" t="s">
        <v>1426</v>
      </c>
      <c r="O49" s="837"/>
      <c r="P49" s="837"/>
      <c r="Q49" s="837"/>
      <c r="R49" s="837"/>
      <c r="S49" s="837"/>
      <c r="T49" s="837"/>
      <c r="U49" s="837"/>
      <c r="V49" s="837"/>
      <c r="W49" s="837"/>
      <c r="X49" s="837"/>
      <c r="Y49" s="837"/>
      <c r="Z49" s="837"/>
      <c r="AA49" s="837"/>
      <c r="AB49" s="837"/>
      <c r="AC49" s="837"/>
      <c r="AD49" s="837"/>
      <c r="AE49" s="837"/>
      <c r="AF49" s="837"/>
      <c r="AG49" s="837"/>
      <c r="AH49" s="837"/>
      <c r="AI49" s="837"/>
      <c r="AJ49" s="837"/>
      <c r="AK49" s="409"/>
      <c r="AL49" s="71"/>
      <c r="AM49" s="428"/>
    </row>
    <row r="50" spans="1:39" s="70" customFormat="1" ht="12.75" customHeight="1">
      <c r="A50" s="427"/>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428"/>
    </row>
    <row r="51" spans="1:39" s="70" customFormat="1" ht="12.75" customHeight="1">
      <c r="A51" s="427"/>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428"/>
    </row>
    <row r="52" spans="1:39" s="70" customFormat="1" ht="12.75" customHeight="1">
      <c r="A52" s="427"/>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428"/>
    </row>
    <row r="53" spans="1:39" s="70" customFormat="1" ht="15" customHeight="1">
      <c r="A53" s="427"/>
      <c r="B53" s="71"/>
      <c r="C53" s="820" t="s">
        <v>14</v>
      </c>
      <c r="D53" s="821"/>
      <c r="E53" s="821"/>
      <c r="F53" s="821"/>
      <c r="G53" s="821"/>
      <c r="H53" s="821"/>
      <c r="I53" s="821"/>
      <c r="J53" s="821"/>
      <c r="K53" s="821"/>
      <c r="L53" s="821"/>
      <c r="M53" s="821"/>
      <c r="N53" s="821"/>
      <c r="O53" s="821"/>
      <c r="P53" s="821"/>
      <c r="Q53" s="821"/>
      <c r="R53" s="821"/>
      <c r="S53" s="821"/>
      <c r="T53" s="821"/>
      <c r="U53" s="821"/>
      <c r="V53" s="821"/>
      <c r="W53" s="821"/>
      <c r="X53" s="821"/>
      <c r="Y53" s="821"/>
      <c r="Z53" s="821"/>
      <c r="AA53" s="821"/>
      <c r="AB53" s="821"/>
      <c r="AC53" s="821"/>
      <c r="AD53" s="821"/>
      <c r="AE53" s="821"/>
      <c r="AF53" s="821"/>
      <c r="AG53" s="821"/>
      <c r="AH53" s="821"/>
      <c r="AI53" s="821"/>
      <c r="AJ53" s="821"/>
      <c r="AK53" s="821"/>
      <c r="AL53" s="821"/>
      <c r="AM53" s="428"/>
    </row>
    <row r="54" spans="1:39" s="70" customFormat="1" ht="15" customHeight="1">
      <c r="A54" s="427"/>
      <c r="B54" s="71"/>
      <c r="C54" s="405"/>
      <c r="D54" s="406"/>
      <c r="E54" s="406"/>
      <c r="F54" s="406"/>
      <c r="G54" s="406"/>
      <c r="H54" s="406"/>
      <c r="I54" s="406"/>
      <c r="J54" s="406"/>
      <c r="K54" s="406"/>
      <c r="L54" s="406"/>
      <c r="M54" s="406"/>
      <c r="N54" s="406"/>
      <c r="O54" s="406"/>
      <c r="P54" s="406"/>
      <c r="Q54" s="406"/>
      <c r="R54" s="406"/>
      <c r="S54" s="406"/>
      <c r="T54" s="406"/>
      <c r="U54" s="406"/>
      <c r="V54" s="406"/>
      <c r="W54" s="406"/>
      <c r="X54" s="406"/>
      <c r="Y54" s="406"/>
      <c r="Z54" s="406"/>
      <c r="AA54" s="406"/>
      <c r="AB54" s="406"/>
      <c r="AC54" s="406"/>
      <c r="AD54" s="406"/>
      <c r="AE54" s="406"/>
      <c r="AF54" s="406"/>
      <c r="AG54" s="406"/>
      <c r="AH54" s="406"/>
      <c r="AI54" s="406"/>
      <c r="AJ54" s="406"/>
      <c r="AK54" s="406"/>
      <c r="AL54" s="406"/>
      <c r="AM54" s="428"/>
    </row>
    <row r="55" spans="1:39" s="70" customFormat="1" ht="12.75" customHeight="1">
      <c r="A55" s="427"/>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428"/>
    </row>
    <row r="56" spans="1:39" s="70" customFormat="1" ht="12.75" customHeight="1">
      <c r="A56" s="427"/>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428"/>
    </row>
    <row r="57" spans="1:39" s="70" customFormat="1" ht="12.75" customHeight="1">
      <c r="A57" s="427"/>
      <c r="B57" s="71"/>
      <c r="C57" s="822" t="s">
        <v>15</v>
      </c>
      <c r="D57" s="818"/>
      <c r="E57" s="818"/>
      <c r="F57" s="818"/>
      <c r="G57" s="818"/>
      <c r="H57" s="818"/>
      <c r="I57" s="818"/>
      <c r="J57" s="818"/>
      <c r="K57" s="818"/>
      <c r="L57" s="818"/>
      <c r="M57" s="818"/>
      <c r="N57" s="818"/>
      <c r="O57" s="818"/>
      <c r="P57" s="818"/>
      <c r="Q57" s="818"/>
      <c r="R57" s="818"/>
      <c r="S57" s="818"/>
      <c r="T57" s="818"/>
      <c r="U57" s="71"/>
      <c r="V57" s="822" t="s">
        <v>16</v>
      </c>
      <c r="W57" s="818"/>
      <c r="X57" s="818"/>
      <c r="Y57" s="818"/>
      <c r="Z57" s="818"/>
      <c r="AA57" s="818"/>
      <c r="AB57" s="818"/>
      <c r="AC57" s="818"/>
      <c r="AD57" s="818"/>
      <c r="AE57" s="818"/>
      <c r="AF57" s="818"/>
      <c r="AG57" s="818"/>
      <c r="AH57" s="818"/>
      <c r="AI57" s="818"/>
      <c r="AJ57" s="818"/>
      <c r="AK57" s="818"/>
      <c r="AL57" s="818"/>
      <c r="AM57" s="428"/>
    </row>
    <row r="58" spans="1:39" s="70" customFormat="1" ht="12.75" customHeight="1">
      <c r="A58" s="427"/>
      <c r="B58" s="71"/>
      <c r="C58" s="79"/>
      <c r="D58" s="79"/>
      <c r="E58" s="79"/>
      <c r="F58" s="79"/>
      <c r="G58" s="79"/>
      <c r="H58" s="79"/>
      <c r="I58" s="79"/>
      <c r="J58" s="79"/>
      <c r="K58" s="79"/>
      <c r="L58" s="79"/>
      <c r="M58" s="79"/>
      <c r="N58" s="79"/>
      <c r="O58" s="79"/>
      <c r="P58" s="79"/>
      <c r="Q58" s="79"/>
      <c r="R58" s="79"/>
      <c r="S58" s="79"/>
      <c r="T58" s="79"/>
      <c r="U58" s="71"/>
      <c r="V58" s="79"/>
      <c r="W58" s="79"/>
      <c r="X58" s="79"/>
      <c r="Y58" s="79"/>
      <c r="Z58" s="79"/>
      <c r="AA58" s="79"/>
      <c r="AB58" s="79"/>
      <c r="AC58" s="79"/>
      <c r="AD58" s="79"/>
      <c r="AE58" s="79"/>
      <c r="AF58" s="79"/>
      <c r="AG58" s="79"/>
      <c r="AH58" s="79"/>
      <c r="AI58" s="79"/>
      <c r="AJ58" s="79"/>
      <c r="AK58" s="79"/>
      <c r="AL58" s="79"/>
      <c r="AM58" s="428"/>
    </row>
    <row r="59" spans="1:39" s="70" customFormat="1" ht="8.15" customHeight="1">
      <c r="A59" s="427"/>
      <c r="B59" s="80"/>
      <c r="C59" s="81"/>
      <c r="D59" s="82"/>
      <c r="E59" s="82"/>
      <c r="F59" s="82"/>
      <c r="G59" s="82"/>
      <c r="H59" s="82"/>
      <c r="I59" s="82"/>
      <c r="J59" s="82"/>
      <c r="K59" s="82"/>
      <c r="L59" s="82"/>
      <c r="M59" s="82"/>
      <c r="N59" s="82"/>
      <c r="O59" s="82"/>
      <c r="P59" s="82"/>
      <c r="Q59" s="83"/>
      <c r="R59" s="81"/>
      <c r="S59" s="84"/>
      <c r="T59" s="83"/>
      <c r="U59" s="85"/>
      <c r="V59" s="81"/>
      <c r="W59" s="82"/>
      <c r="X59" s="82"/>
      <c r="Y59" s="82"/>
      <c r="Z59" s="82"/>
      <c r="AA59" s="82"/>
      <c r="AB59" s="82"/>
      <c r="AC59" s="82"/>
      <c r="AD59" s="82"/>
      <c r="AE59" s="82"/>
      <c r="AF59" s="82"/>
      <c r="AG59" s="82"/>
      <c r="AH59" s="82"/>
      <c r="AI59" s="82"/>
      <c r="AJ59" s="82"/>
      <c r="AK59" s="82"/>
      <c r="AL59" s="83"/>
      <c r="AM59" s="435"/>
    </row>
    <row r="60" spans="1:39" s="70" customFormat="1" ht="12.75" customHeight="1">
      <c r="A60" s="427"/>
      <c r="B60" s="80"/>
      <c r="C60" s="86" t="s">
        <v>17</v>
      </c>
      <c r="D60" s="71"/>
      <c r="E60" s="71"/>
      <c r="F60" s="71"/>
      <c r="G60" s="71"/>
      <c r="H60" s="71"/>
      <c r="I60" s="71"/>
      <c r="J60" s="71"/>
      <c r="K60" s="71"/>
      <c r="L60" s="71"/>
      <c r="M60" s="71"/>
      <c r="N60" s="71"/>
      <c r="O60" s="71"/>
      <c r="P60" s="71"/>
      <c r="Q60" s="80"/>
      <c r="R60" s="85"/>
      <c r="S60" s="87" t="s">
        <v>18</v>
      </c>
      <c r="T60" s="85"/>
      <c r="U60" s="85"/>
      <c r="V60" s="823" t="s">
        <v>19</v>
      </c>
      <c r="W60" s="824"/>
      <c r="X60" s="824"/>
      <c r="Y60" s="824"/>
      <c r="Z60" s="824"/>
      <c r="AA60" s="824"/>
      <c r="AB60" s="824"/>
      <c r="AC60" s="824"/>
      <c r="AD60" s="824"/>
      <c r="AE60" s="824"/>
      <c r="AF60" s="824"/>
      <c r="AG60" s="824"/>
      <c r="AH60" s="824"/>
      <c r="AI60" s="824"/>
      <c r="AJ60" s="824"/>
      <c r="AK60" s="824"/>
      <c r="AL60" s="825"/>
      <c r="AM60" s="435"/>
    </row>
    <row r="61" spans="1:39" s="70" customFormat="1" ht="8.15" customHeight="1">
      <c r="A61" s="427"/>
      <c r="B61" s="80"/>
      <c r="C61" s="88"/>
      <c r="D61" s="71"/>
      <c r="E61" s="71"/>
      <c r="F61" s="71"/>
      <c r="G61" s="71"/>
      <c r="H61" s="71"/>
      <c r="I61" s="71"/>
      <c r="J61" s="71"/>
      <c r="K61" s="71"/>
      <c r="L61" s="71"/>
      <c r="M61" s="71"/>
      <c r="N61" s="71"/>
      <c r="O61" s="71"/>
      <c r="P61" s="71"/>
      <c r="Q61" s="80"/>
      <c r="R61" s="89"/>
      <c r="S61" s="84"/>
      <c r="T61" s="80"/>
      <c r="U61" s="85"/>
      <c r="V61" s="89"/>
      <c r="W61" s="71"/>
      <c r="X61" s="71"/>
      <c r="Y61" s="71"/>
      <c r="Z61" s="71"/>
      <c r="AA61" s="71"/>
      <c r="AB61" s="71"/>
      <c r="AC61" s="71"/>
      <c r="AD61" s="71"/>
      <c r="AE61" s="71"/>
      <c r="AF61" s="71"/>
      <c r="AG61" s="71"/>
      <c r="AH61" s="71"/>
      <c r="AI61" s="71"/>
      <c r="AJ61" s="71"/>
      <c r="AK61" s="71"/>
      <c r="AL61" s="80"/>
      <c r="AM61" s="435"/>
    </row>
    <row r="62" spans="1:39" s="70" customFormat="1" ht="12.75" customHeight="1">
      <c r="A62" s="427"/>
      <c r="B62" s="80"/>
      <c r="C62" s="86" t="s">
        <v>20</v>
      </c>
      <c r="D62" s="71"/>
      <c r="E62" s="71"/>
      <c r="F62" s="71"/>
      <c r="G62" s="71"/>
      <c r="H62" s="71"/>
      <c r="I62" s="71"/>
      <c r="J62" s="71"/>
      <c r="K62" s="71"/>
      <c r="L62" s="71"/>
      <c r="M62" s="71"/>
      <c r="N62" s="71"/>
      <c r="O62" s="71"/>
      <c r="P62" s="71"/>
      <c r="Q62" s="80"/>
      <c r="R62" s="85"/>
      <c r="S62" s="87" t="s">
        <v>18</v>
      </c>
      <c r="T62" s="85"/>
      <c r="U62" s="85"/>
      <c r="V62" s="89"/>
      <c r="W62" s="808"/>
      <c r="X62" s="809"/>
      <c r="Y62" s="809"/>
      <c r="Z62" s="809"/>
      <c r="AA62" s="809"/>
      <c r="AB62" s="809"/>
      <c r="AC62" s="809"/>
      <c r="AD62" s="809"/>
      <c r="AE62" s="809"/>
      <c r="AF62" s="809"/>
      <c r="AG62" s="809"/>
      <c r="AH62" s="809"/>
      <c r="AI62" s="809"/>
      <c r="AJ62" s="809"/>
      <c r="AK62" s="810"/>
      <c r="AL62" s="80"/>
      <c r="AM62" s="435"/>
    </row>
    <row r="63" spans="1:39" s="70" customFormat="1" ht="8.15" customHeight="1">
      <c r="A63" s="427"/>
      <c r="B63" s="80"/>
      <c r="C63" s="88"/>
      <c r="D63" s="71"/>
      <c r="E63" s="71"/>
      <c r="F63" s="71"/>
      <c r="G63" s="71"/>
      <c r="H63" s="71"/>
      <c r="I63" s="71"/>
      <c r="J63" s="71"/>
      <c r="K63" s="71"/>
      <c r="L63" s="71"/>
      <c r="M63" s="71"/>
      <c r="N63" s="71"/>
      <c r="O63" s="71"/>
      <c r="P63" s="71"/>
      <c r="Q63" s="80"/>
      <c r="R63" s="89"/>
      <c r="S63" s="84"/>
      <c r="T63" s="80"/>
      <c r="U63" s="85"/>
      <c r="V63" s="90"/>
      <c r="W63" s="79"/>
      <c r="X63" s="79"/>
      <c r="Y63" s="79"/>
      <c r="Z63" s="79"/>
      <c r="AA63" s="79"/>
      <c r="AB63" s="79"/>
      <c r="AC63" s="79"/>
      <c r="AD63" s="79"/>
      <c r="AE63" s="79"/>
      <c r="AF63" s="79"/>
      <c r="AG63" s="79"/>
      <c r="AH63" s="79"/>
      <c r="AI63" s="79"/>
      <c r="AJ63" s="79"/>
      <c r="AK63" s="79"/>
      <c r="AL63" s="91"/>
      <c r="AM63" s="435"/>
    </row>
    <row r="64" spans="1:39" s="70" customFormat="1" ht="12.75" customHeight="1">
      <c r="A64" s="427"/>
      <c r="B64" s="80"/>
      <c r="C64" s="86" t="s">
        <v>21</v>
      </c>
      <c r="D64" s="71"/>
      <c r="E64" s="71"/>
      <c r="F64" s="71"/>
      <c r="G64" s="71"/>
      <c r="H64" s="71"/>
      <c r="I64" s="71"/>
      <c r="J64" s="71"/>
      <c r="K64" s="71"/>
      <c r="L64" s="71"/>
      <c r="M64" s="71"/>
      <c r="N64" s="71"/>
      <c r="O64" s="71"/>
      <c r="P64" s="71"/>
      <c r="Q64" s="80"/>
      <c r="R64" s="85"/>
      <c r="S64" s="87" t="s">
        <v>18</v>
      </c>
      <c r="T64" s="85"/>
      <c r="U64" s="85"/>
      <c r="V64" s="832" t="s">
        <v>22</v>
      </c>
      <c r="W64" s="833"/>
      <c r="X64" s="833"/>
      <c r="Y64" s="833"/>
      <c r="Z64" s="833"/>
      <c r="AA64" s="833"/>
      <c r="AB64" s="833"/>
      <c r="AC64" s="833"/>
      <c r="AD64" s="833"/>
      <c r="AE64" s="833"/>
      <c r="AF64" s="833"/>
      <c r="AG64" s="833"/>
      <c r="AH64" s="833"/>
      <c r="AI64" s="833"/>
      <c r="AJ64" s="833"/>
      <c r="AK64" s="833"/>
      <c r="AL64" s="834"/>
      <c r="AM64" s="435"/>
    </row>
    <row r="65" spans="1:39" s="70" customFormat="1" ht="8.15" customHeight="1">
      <c r="A65" s="427"/>
      <c r="B65" s="80"/>
      <c r="C65" s="88"/>
      <c r="D65" s="71"/>
      <c r="E65" s="71"/>
      <c r="F65" s="71"/>
      <c r="G65" s="71"/>
      <c r="H65" s="71"/>
      <c r="I65" s="71"/>
      <c r="J65" s="71"/>
      <c r="K65" s="71"/>
      <c r="L65" s="71"/>
      <c r="M65" s="71"/>
      <c r="N65" s="71"/>
      <c r="O65" s="71"/>
      <c r="P65" s="71"/>
      <c r="Q65" s="80"/>
      <c r="R65" s="89"/>
      <c r="S65" s="84"/>
      <c r="T65" s="80"/>
      <c r="U65" s="85"/>
      <c r="V65" s="835"/>
      <c r="W65" s="824"/>
      <c r="X65" s="824"/>
      <c r="Y65" s="824"/>
      <c r="Z65" s="824"/>
      <c r="AA65" s="824"/>
      <c r="AB65" s="824"/>
      <c r="AC65" s="824"/>
      <c r="AD65" s="824"/>
      <c r="AE65" s="824"/>
      <c r="AF65" s="824"/>
      <c r="AG65" s="824"/>
      <c r="AH65" s="824"/>
      <c r="AI65" s="824"/>
      <c r="AJ65" s="824"/>
      <c r="AK65" s="824"/>
      <c r="AL65" s="825"/>
      <c r="AM65" s="435"/>
    </row>
    <row r="66" spans="1:39" s="70" customFormat="1" ht="12.75" customHeight="1">
      <c r="A66" s="427"/>
      <c r="B66" s="80"/>
      <c r="C66" s="86" t="s">
        <v>23</v>
      </c>
      <c r="D66" s="71"/>
      <c r="E66" s="71"/>
      <c r="F66" s="71"/>
      <c r="G66" s="71"/>
      <c r="H66" s="71"/>
      <c r="I66" s="71"/>
      <c r="J66" s="71"/>
      <c r="K66" s="71"/>
      <c r="L66" s="71"/>
      <c r="M66" s="71"/>
      <c r="N66" s="71"/>
      <c r="O66" s="71"/>
      <c r="P66" s="71"/>
      <c r="Q66" s="80"/>
      <c r="R66" s="85"/>
      <c r="S66" s="87" t="s">
        <v>18</v>
      </c>
      <c r="T66" s="85"/>
      <c r="U66" s="85"/>
      <c r="V66" s="89"/>
      <c r="W66" s="808"/>
      <c r="X66" s="809"/>
      <c r="Y66" s="809"/>
      <c r="Z66" s="809"/>
      <c r="AA66" s="809"/>
      <c r="AB66" s="809"/>
      <c r="AC66" s="809"/>
      <c r="AD66" s="809"/>
      <c r="AE66" s="809"/>
      <c r="AF66" s="809"/>
      <c r="AG66" s="809"/>
      <c r="AH66" s="809"/>
      <c r="AI66" s="809"/>
      <c r="AJ66" s="809"/>
      <c r="AK66" s="810"/>
      <c r="AL66" s="80"/>
      <c r="AM66" s="435"/>
    </row>
    <row r="67" spans="1:39" s="70" customFormat="1" ht="8.15" customHeight="1">
      <c r="A67" s="427"/>
      <c r="B67" s="80"/>
      <c r="C67" s="88"/>
      <c r="D67" s="71"/>
      <c r="E67" s="71"/>
      <c r="F67" s="71"/>
      <c r="G67" s="71"/>
      <c r="H67" s="71"/>
      <c r="I67" s="71"/>
      <c r="J67" s="71"/>
      <c r="K67" s="71"/>
      <c r="L67" s="71"/>
      <c r="M67" s="71"/>
      <c r="N67" s="71"/>
      <c r="O67" s="71"/>
      <c r="P67" s="71"/>
      <c r="Q67" s="80"/>
      <c r="R67" s="89"/>
      <c r="S67" s="84"/>
      <c r="T67" s="80"/>
      <c r="U67" s="85"/>
      <c r="V67" s="90"/>
      <c r="W67" s="79"/>
      <c r="X67" s="79"/>
      <c r="Y67" s="79"/>
      <c r="Z67" s="79"/>
      <c r="AA67" s="79"/>
      <c r="AB67" s="79"/>
      <c r="AC67" s="79"/>
      <c r="AD67" s="79"/>
      <c r="AE67" s="79"/>
      <c r="AF67" s="79"/>
      <c r="AG67" s="79"/>
      <c r="AH67" s="79"/>
      <c r="AI67" s="79"/>
      <c r="AJ67" s="79"/>
      <c r="AK67" s="79"/>
      <c r="AL67" s="91"/>
      <c r="AM67" s="435"/>
    </row>
    <row r="68" spans="1:39" s="70" customFormat="1" ht="12.75" customHeight="1">
      <c r="A68" s="427"/>
      <c r="B68" s="80"/>
      <c r="C68" s="86" t="s">
        <v>24</v>
      </c>
      <c r="D68" s="71"/>
      <c r="E68" s="71"/>
      <c r="F68" s="71"/>
      <c r="G68" s="71"/>
      <c r="H68" s="71"/>
      <c r="I68" s="71"/>
      <c r="J68" s="71"/>
      <c r="K68" s="71"/>
      <c r="L68" s="71"/>
      <c r="M68" s="71"/>
      <c r="N68" s="71"/>
      <c r="O68" s="71"/>
      <c r="P68" s="71"/>
      <c r="Q68" s="80"/>
      <c r="R68" s="85"/>
      <c r="S68" s="87" t="s">
        <v>18</v>
      </c>
      <c r="T68" s="85"/>
      <c r="U68" s="85"/>
      <c r="V68" s="832" t="s">
        <v>25</v>
      </c>
      <c r="W68" s="833"/>
      <c r="X68" s="833"/>
      <c r="Y68" s="833"/>
      <c r="Z68" s="833"/>
      <c r="AA68" s="833"/>
      <c r="AB68" s="833"/>
      <c r="AC68" s="833"/>
      <c r="AD68" s="833"/>
      <c r="AE68" s="833"/>
      <c r="AF68" s="833"/>
      <c r="AG68" s="833"/>
      <c r="AH68" s="833"/>
      <c r="AI68" s="833"/>
      <c r="AJ68" s="833"/>
      <c r="AK68" s="833"/>
      <c r="AL68" s="834"/>
      <c r="AM68" s="435"/>
    </row>
    <row r="69" spans="1:39" s="70" customFormat="1" ht="8.15" customHeight="1">
      <c r="A69" s="427"/>
      <c r="B69" s="80"/>
      <c r="C69" s="90"/>
      <c r="D69" s="79"/>
      <c r="E69" s="79"/>
      <c r="F69" s="79"/>
      <c r="G69" s="79"/>
      <c r="H69" s="79"/>
      <c r="I69" s="79"/>
      <c r="J69" s="79"/>
      <c r="K69" s="79"/>
      <c r="L69" s="79"/>
      <c r="M69" s="79"/>
      <c r="N69" s="79"/>
      <c r="O69" s="79"/>
      <c r="P69" s="79"/>
      <c r="Q69" s="91"/>
      <c r="R69" s="90"/>
      <c r="S69" s="84"/>
      <c r="T69" s="91"/>
      <c r="U69" s="85"/>
      <c r="V69" s="89"/>
      <c r="W69" s="71"/>
      <c r="X69" s="71"/>
      <c r="Y69" s="71"/>
      <c r="Z69" s="71"/>
      <c r="AA69" s="71"/>
      <c r="AB69" s="71"/>
      <c r="AC69" s="71"/>
      <c r="AD69" s="71"/>
      <c r="AE69" s="71"/>
      <c r="AF69" s="71"/>
      <c r="AG69" s="71"/>
      <c r="AH69" s="71"/>
      <c r="AI69" s="71"/>
      <c r="AJ69" s="71"/>
      <c r="AK69" s="71"/>
      <c r="AL69" s="80"/>
      <c r="AM69" s="435"/>
    </row>
    <row r="70" spans="1:39" s="70" customFormat="1" ht="12.75" customHeight="1">
      <c r="A70" s="427"/>
      <c r="B70" s="80"/>
      <c r="C70" s="92" t="s">
        <v>26</v>
      </c>
      <c r="D70" s="82"/>
      <c r="E70" s="82"/>
      <c r="F70" s="82"/>
      <c r="G70" s="82"/>
      <c r="H70" s="82"/>
      <c r="I70" s="82"/>
      <c r="J70" s="82"/>
      <c r="K70" s="82"/>
      <c r="L70" s="82"/>
      <c r="M70" s="82"/>
      <c r="N70" s="82"/>
      <c r="O70" s="82"/>
      <c r="P70" s="82"/>
      <c r="Q70" s="82"/>
      <c r="R70" s="811"/>
      <c r="S70" s="812"/>
      <c r="T70" s="813"/>
      <c r="U70" s="85"/>
      <c r="V70" s="89"/>
      <c r="W70" s="808"/>
      <c r="X70" s="809"/>
      <c r="Y70" s="809"/>
      <c r="Z70" s="809"/>
      <c r="AA70" s="809"/>
      <c r="AB70" s="809"/>
      <c r="AC70" s="809"/>
      <c r="AD70" s="809"/>
      <c r="AE70" s="809"/>
      <c r="AF70" s="809"/>
      <c r="AG70" s="809"/>
      <c r="AH70" s="809"/>
      <c r="AI70" s="809"/>
      <c r="AJ70" s="809"/>
      <c r="AK70" s="810"/>
      <c r="AL70" s="80"/>
      <c r="AM70" s="435"/>
    </row>
    <row r="71" spans="1:39" s="70" customFormat="1" ht="12.75" customHeight="1">
      <c r="A71" s="427"/>
      <c r="B71" s="80"/>
      <c r="C71" s="93" t="s">
        <v>27</v>
      </c>
      <c r="D71" s="79"/>
      <c r="E71" s="79"/>
      <c r="F71" s="79"/>
      <c r="G71" s="79"/>
      <c r="H71" s="79"/>
      <c r="I71" s="79"/>
      <c r="J71" s="79"/>
      <c r="K71" s="79"/>
      <c r="L71" s="79"/>
      <c r="M71" s="79"/>
      <c r="N71" s="79"/>
      <c r="O71" s="79"/>
      <c r="P71" s="79"/>
      <c r="Q71" s="79"/>
      <c r="R71" s="814">
        <v>5</v>
      </c>
      <c r="S71" s="815"/>
      <c r="T71" s="816"/>
      <c r="U71" s="85"/>
      <c r="V71" s="90"/>
      <c r="W71" s="79"/>
      <c r="X71" s="79"/>
      <c r="Y71" s="79"/>
      <c r="Z71" s="79"/>
      <c r="AA71" s="79"/>
      <c r="AB71" s="79"/>
      <c r="AC71" s="79"/>
      <c r="AD71" s="79"/>
      <c r="AE71" s="79"/>
      <c r="AF71" s="79"/>
      <c r="AG71" s="79"/>
      <c r="AH71" s="79"/>
      <c r="AI71" s="79"/>
      <c r="AJ71" s="79"/>
      <c r="AK71" s="79"/>
      <c r="AL71" s="91"/>
      <c r="AM71" s="435"/>
    </row>
    <row r="72" spans="1:39" s="70" customFormat="1" ht="12.75" customHeight="1">
      <c r="A72" s="427"/>
      <c r="B72" s="71"/>
      <c r="C72" s="82"/>
      <c r="D72" s="82"/>
      <c r="E72" s="82"/>
      <c r="F72" s="82"/>
      <c r="G72" s="82"/>
      <c r="H72" s="82"/>
      <c r="I72" s="82"/>
      <c r="J72" s="82"/>
      <c r="K72" s="82"/>
      <c r="L72" s="82"/>
      <c r="M72" s="82"/>
      <c r="N72" s="82"/>
      <c r="O72" s="82"/>
      <c r="P72" s="82"/>
      <c r="Q72" s="82"/>
      <c r="R72" s="82"/>
      <c r="S72" s="82"/>
      <c r="T72" s="82"/>
      <c r="U72" s="71"/>
      <c r="V72" s="82"/>
      <c r="W72" s="82"/>
      <c r="X72" s="82"/>
      <c r="Y72" s="82"/>
      <c r="Z72" s="82"/>
      <c r="AA72" s="82"/>
      <c r="AB72" s="82"/>
      <c r="AC72" s="82"/>
      <c r="AD72" s="82"/>
      <c r="AE72" s="82"/>
      <c r="AF72" s="82"/>
      <c r="AG72" s="82"/>
      <c r="AH72" s="82"/>
      <c r="AI72" s="82"/>
      <c r="AJ72" s="82"/>
      <c r="AK72" s="82"/>
      <c r="AL72" s="82"/>
      <c r="AM72" s="428"/>
    </row>
    <row r="73" spans="1:39" s="70" customFormat="1" ht="12.75" customHeight="1">
      <c r="A73" s="436"/>
      <c r="B73" s="437"/>
      <c r="C73" s="437"/>
      <c r="D73" s="437"/>
      <c r="E73" s="437"/>
      <c r="F73" s="437"/>
      <c r="G73" s="437"/>
      <c r="H73" s="437"/>
      <c r="I73" s="437"/>
      <c r="J73" s="437"/>
      <c r="K73" s="437"/>
      <c r="L73" s="437"/>
      <c r="M73" s="437"/>
      <c r="N73" s="437"/>
      <c r="O73" s="437"/>
      <c r="P73" s="437"/>
      <c r="Q73" s="437"/>
      <c r="R73" s="437"/>
      <c r="S73" s="437"/>
      <c r="T73" s="437"/>
      <c r="U73" s="437"/>
      <c r="V73" s="437"/>
      <c r="W73" s="437"/>
      <c r="X73" s="437"/>
      <c r="Y73" s="437"/>
      <c r="Z73" s="437"/>
      <c r="AA73" s="437"/>
      <c r="AB73" s="437"/>
      <c r="AC73" s="437"/>
      <c r="AD73" s="437"/>
      <c r="AE73" s="437"/>
      <c r="AF73" s="437"/>
      <c r="AG73" s="437"/>
      <c r="AH73" s="437"/>
      <c r="AI73" s="437"/>
      <c r="AJ73" s="437"/>
      <c r="AK73" s="437"/>
      <c r="AL73" s="437"/>
      <c r="AM73" s="438"/>
    </row>
  </sheetData>
  <sheetProtection sheet="false"/>
  <mergeCells count="24">
    <mergeCell ref="L33:AK33"/>
    <mergeCell ref="B15:AL15"/>
    <mergeCell ref="I3:Y3"/>
    <mergeCell ref="I5:Y5"/>
    <mergeCell ref="I7:Y7"/>
    <mergeCell ref="A21:AM21"/>
    <mergeCell ref="B25:K25"/>
    <mergeCell ref="M25:AK25"/>
    <mergeCell ref="W70:AK70"/>
    <mergeCell ref="R70:T70"/>
    <mergeCell ref="R71:T71"/>
    <mergeCell ref="A22:AM22"/>
    <mergeCell ref="C53:AL53"/>
    <mergeCell ref="C57:T57"/>
    <mergeCell ref="V57:AL57"/>
    <mergeCell ref="V60:AL60"/>
    <mergeCell ref="H39:AK39"/>
    <mergeCell ref="J44:AK44"/>
    <mergeCell ref="V68:AL68"/>
    <mergeCell ref="V64:AL65"/>
    <mergeCell ref="W62:AK62"/>
    <mergeCell ref="W66:AK66"/>
    <mergeCell ref="N49:AJ49"/>
    <mergeCell ref="A28:AM28"/>
  </mergeCells>
  <pageMargins left="0.7" right="0.7" top="0.75" bottom="0.75" header="0.3" footer="0.3"/>
  <pageSetup paperSize="9" scale="7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3:IW82"/>
  <sheetViews>
    <sheetView topLeftCell="A64" zoomScaleNormal="100" workbookViewId="0">
      <selection activeCell="D74" sqref="D74:Q74"/>
    </sheetView>
  </sheetViews>
  <sheetFormatPr baseColWidth="10" defaultColWidth="15.69921875" defaultRowHeight="12.75" customHeight="1"/>
  <cols>
    <col min="1" max="1" customWidth="true" style="354" width="2.296875" collapsed="true"/>
    <col min="2" max="2" customWidth="true" style="96" width="4.5" collapsed="true"/>
    <col min="3" max="3" customWidth="true" style="96" width="2.296875" collapsed="true"/>
    <col min="4" max="20" customWidth="true" style="96" width="3.5" collapsed="true"/>
    <col min="21" max="21" customWidth="true" style="96" width="4.19921875" collapsed="true"/>
    <col min="22" max="25" customWidth="true" style="96" width="3.5" collapsed="true"/>
    <col min="26" max="26" customWidth="true" style="96" width="4.796875" collapsed="true"/>
    <col min="27" max="30" customWidth="true" style="96" width="3.5" collapsed="true"/>
    <col min="31" max="31" customWidth="true" style="96" width="1.796875" collapsed="true"/>
    <col min="32" max="37" customWidth="true" style="96" width="3.5" collapsed="true"/>
    <col min="38" max="38" customWidth="true" style="96" width="3.69921875" collapsed="true"/>
    <col min="39" max="39" customWidth="true" style="96" width="5.796875" collapsed="true"/>
    <col min="40" max="40" customWidth="true" style="96" width="3.296875" collapsed="true"/>
    <col min="41" max="257" customWidth="true" style="96" width="15.69921875" collapsed="true"/>
    <col min="258" max="16384" style="354" width="15.69921875" collapsed="true"/>
  </cols>
  <sheetData>
    <row r="3" spans="2:257" ht="12.75" customHeight="1">
      <c r="B3" s="95"/>
      <c r="C3" s="95"/>
      <c r="D3" s="95"/>
      <c r="E3" s="95"/>
      <c r="F3" s="95"/>
      <c r="G3" s="95"/>
      <c r="H3" s="95"/>
      <c r="I3" s="141" t="s">
        <v>28</v>
      </c>
      <c r="J3" s="850" t="s">
        <v>1423</v>
      </c>
      <c r="K3" s="851"/>
      <c r="L3" s="851"/>
      <c r="M3" s="851"/>
      <c r="N3" s="851"/>
      <c r="O3" s="851"/>
      <c r="P3" s="851"/>
      <c r="Q3" s="851"/>
      <c r="R3" s="851"/>
      <c r="S3" s="851"/>
      <c r="T3" s="851"/>
      <c r="U3" s="851"/>
      <c r="V3" s="851"/>
      <c r="W3" s="851"/>
      <c r="X3" s="851"/>
      <c r="Y3" s="851"/>
      <c r="Z3" s="851"/>
      <c r="AA3" s="851"/>
      <c r="AB3" s="851"/>
      <c r="AC3" s="851"/>
      <c r="AD3" s="851"/>
      <c r="AE3" s="851"/>
      <c r="AF3" s="851"/>
      <c r="AG3" s="851"/>
      <c r="AH3" s="851"/>
      <c r="AI3" s="851"/>
      <c r="AJ3" s="851"/>
      <c r="AK3" s="851"/>
      <c r="AL3" s="851"/>
      <c r="AM3" s="851"/>
      <c r="AN3" s="95"/>
    </row>
    <row r="4" spans="2:257" ht="8.15" customHeight="1">
      <c r="B4" s="95"/>
      <c r="C4" s="95"/>
      <c r="D4" s="95"/>
      <c r="E4" s="95"/>
      <c r="F4" s="95"/>
      <c r="G4" s="95"/>
      <c r="H4" s="95"/>
      <c r="I4" s="260"/>
      <c r="J4" s="355"/>
      <c r="K4" s="98"/>
      <c r="L4" s="99"/>
      <c r="M4" s="99"/>
      <c r="N4" s="99"/>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95"/>
    </row>
    <row r="5" spans="2:257" ht="8.15" customHeight="1">
      <c r="B5" s="95"/>
      <c r="C5" s="95"/>
      <c r="D5" s="95"/>
      <c r="E5" s="95"/>
      <c r="F5" s="95"/>
      <c r="G5" s="95"/>
      <c r="H5" s="95"/>
      <c r="I5" s="260"/>
      <c r="J5" s="356"/>
      <c r="K5" s="357"/>
      <c r="L5" s="358"/>
      <c r="M5" s="358"/>
      <c r="N5" s="358"/>
      <c r="O5" s="359"/>
      <c r="P5" s="359"/>
      <c r="Q5" s="359"/>
      <c r="R5" s="359"/>
      <c r="S5" s="359"/>
      <c r="T5" s="359"/>
      <c r="U5" s="359"/>
      <c r="V5" s="359"/>
      <c r="W5" s="359"/>
      <c r="X5" s="359"/>
      <c r="Y5" s="359"/>
      <c r="Z5" s="263"/>
      <c r="AA5" s="263"/>
      <c r="AB5" s="263"/>
      <c r="AC5" s="263"/>
      <c r="AD5" s="359"/>
      <c r="AE5" s="359"/>
      <c r="AF5" s="359"/>
      <c r="AG5" s="359"/>
      <c r="AH5" s="359"/>
      <c r="AI5" s="359"/>
      <c r="AJ5" s="359"/>
      <c r="AK5" s="359"/>
      <c r="AL5" s="359"/>
      <c r="AM5" s="359"/>
      <c r="AN5" s="95"/>
    </row>
    <row r="6" spans="2:257" ht="12.75" customHeight="1">
      <c r="B6" s="95"/>
      <c r="C6" s="95"/>
      <c r="D6" s="95"/>
      <c r="E6" s="95"/>
      <c r="F6" s="95"/>
      <c r="G6" s="95"/>
      <c r="H6" s="95"/>
      <c r="I6" s="141" t="s">
        <v>29</v>
      </c>
      <c r="J6" s="850" t="s">
        <v>1425</v>
      </c>
      <c r="K6" s="852"/>
      <c r="L6" s="852"/>
      <c r="M6" s="852"/>
      <c r="N6" s="852"/>
      <c r="O6" s="852"/>
      <c r="P6" s="852"/>
      <c r="Q6" s="852"/>
      <c r="R6" s="852"/>
      <c r="S6" s="852"/>
      <c r="T6" s="852"/>
      <c r="U6" s="852"/>
      <c r="V6" s="852"/>
      <c r="W6" s="852"/>
      <c r="X6" s="852"/>
      <c r="Y6" s="852"/>
      <c r="Z6" s="95"/>
      <c r="AA6" s="95"/>
      <c r="AB6" s="95"/>
      <c r="AC6" s="141" t="s">
        <v>30</v>
      </c>
      <c r="AD6" s="850" t="s">
        <v>1424</v>
      </c>
      <c r="AE6" s="852"/>
      <c r="AF6" s="852"/>
      <c r="AG6" s="852"/>
      <c r="AH6" s="852"/>
      <c r="AI6" s="852"/>
      <c r="AJ6" s="852"/>
      <c r="AK6" s="852"/>
      <c r="AL6" s="852"/>
      <c r="AM6" s="852"/>
      <c r="AN6" s="95"/>
    </row>
    <row r="7" spans="2:257" ht="8.15" customHeight="1">
      <c r="B7" s="95"/>
      <c r="C7" s="95"/>
      <c r="D7" s="95"/>
      <c r="E7" s="95"/>
      <c r="F7" s="95"/>
      <c r="G7" s="95"/>
      <c r="H7" s="95"/>
      <c r="I7" s="260"/>
      <c r="J7" s="355"/>
      <c r="K7" s="355"/>
      <c r="L7" s="360"/>
      <c r="M7" s="98"/>
      <c r="N7" s="98"/>
      <c r="O7" s="100"/>
      <c r="P7" s="100"/>
      <c r="Q7" s="100"/>
      <c r="R7" s="100"/>
      <c r="S7" s="100"/>
      <c r="T7" s="100"/>
      <c r="U7" s="100"/>
      <c r="V7" s="100"/>
      <c r="W7" s="100"/>
      <c r="X7" s="100"/>
      <c r="Y7" s="100"/>
      <c r="Z7" s="95"/>
      <c r="AA7" s="95"/>
      <c r="AB7" s="95"/>
      <c r="AC7" s="95"/>
      <c r="AD7" s="100"/>
      <c r="AE7" s="100"/>
      <c r="AF7" s="100"/>
      <c r="AG7" s="100"/>
      <c r="AH7" s="100"/>
      <c r="AI7" s="100"/>
      <c r="AJ7" s="100"/>
      <c r="AK7" s="100"/>
      <c r="AL7" s="100"/>
      <c r="AM7" s="100"/>
      <c r="AN7" s="95"/>
    </row>
    <row r="8" spans="2:257" ht="8.15" customHeight="1">
      <c r="B8" s="95"/>
      <c r="C8" s="95"/>
      <c r="D8" s="95"/>
      <c r="E8" s="95"/>
      <c r="F8" s="95"/>
      <c r="G8" s="95"/>
      <c r="H8" s="95"/>
      <c r="I8" s="260"/>
      <c r="J8" s="356"/>
      <c r="K8" s="356"/>
      <c r="L8" s="361"/>
      <c r="M8" s="357"/>
      <c r="N8" s="357"/>
      <c r="O8" s="359"/>
      <c r="P8" s="359"/>
      <c r="Q8" s="263"/>
      <c r="R8" s="263"/>
      <c r="S8" s="263"/>
      <c r="T8" s="263"/>
      <c r="U8" s="263"/>
      <c r="V8" s="359"/>
      <c r="W8" s="359"/>
      <c r="X8" s="359"/>
      <c r="Y8" s="359"/>
      <c r="Z8" s="362"/>
      <c r="AA8" s="362"/>
      <c r="AB8" s="362"/>
      <c r="AC8" s="95"/>
      <c r="AD8" s="263"/>
      <c r="AE8" s="263"/>
      <c r="AF8" s="263"/>
      <c r="AG8" s="263"/>
      <c r="AH8" s="359"/>
      <c r="AI8" s="359"/>
      <c r="AJ8" s="359"/>
      <c r="AK8" s="359"/>
      <c r="AL8" s="359"/>
      <c r="AM8" s="359"/>
      <c r="AN8" s="95"/>
    </row>
    <row r="9" spans="2:257" ht="12.75" customHeight="1">
      <c r="B9" s="95"/>
      <c r="C9" s="95"/>
      <c r="D9" s="95"/>
      <c r="E9" s="95"/>
      <c r="F9" s="95"/>
      <c r="G9" s="95"/>
      <c r="H9" s="95"/>
      <c r="I9" s="141" t="s">
        <v>31</v>
      </c>
      <c r="J9" s="853" t="s">
        <v>1426</v>
      </c>
      <c r="K9" s="852"/>
      <c r="L9" s="852"/>
      <c r="M9" s="852"/>
      <c r="N9" s="852"/>
      <c r="O9" s="852"/>
      <c r="P9" s="852"/>
      <c r="Q9" s="95"/>
      <c r="R9" s="95"/>
      <c r="S9" s="95"/>
      <c r="T9" s="95"/>
      <c r="U9" s="141" t="s">
        <v>32</v>
      </c>
      <c r="V9" s="854">
        <v>44926</v>
      </c>
      <c r="W9" s="852"/>
      <c r="X9" s="852"/>
      <c r="Y9" s="852"/>
      <c r="Z9" s="852"/>
      <c r="AA9" s="852"/>
      <c r="AB9" s="852"/>
      <c r="AC9" s="95"/>
      <c r="AD9" s="95"/>
      <c r="AE9" s="95"/>
      <c r="AF9" s="95"/>
      <c r="AG9" s="141" t="s">
        <v>33</v>
      </c>
      <c r="AH9" s="850">
        <v>12</v>
      </c>
      <c r="AI9" s="852"/>
      <c r="AJ9" s="852"/>
      <c r="AK9" s="852"/>
      <c r="AL9" s="852"/>
      <c r="AM9" s="852"/>
      <c r="AN9" s="95"/>
    </row>
    <row r="10" spans="2:257" ht="8.15" customHeight="1">
      <c r="B10" s="362"/>
      <c r="C10" s="362"/>
      <c r="D10" s="362"/>
      <c r="E10" s="362"/>
      <c r="F10" s="362"/>
      <c r="G10" s="362"/>
      <c r="H10" s="362"/>
      <c r="I10" s="363"/>
      <c r="J10" s="364"/>
      <c r="K10" s="365"/>
      <c r="L10" s="366"/>
      <c r="M10" s="366"/>
      <c r="N10" s="366"/>
      <c r="O10" s="364"/>
      <c r="P10" s="364"/>
      <c r="Q10" s="362"/>
      <c r="R10" s="362"/>
      <c r="S10" s="362"/>
      <c r="T10" s="362"/>
      <c r="U10" s="362"/>
      <c r="V10" s="364"/>
      <c r="W10" s="364"/>
      <c r="X10" s="364"/>
      <c r="Y10" s="364"/>
      <c r="Z10" s="364"/>
      <c r="AA10" s="364"/>
      <c r="AB10" s="364"/>
      <c r="AC10" s="362"/>
      <c r="AD10" s="362"/>
      <c r="AE10" s="362"/>
      <c r="AF10" s="362"/>
      <c r="AG10" s="362"/>
      <c r="AH10" s="364"/>
      <c r="AI10" s="364"/>
      <c r="AJ10" s="364"/>
      <c r="AK10" s="364"/>
      <c r="AL10" s="364"/>
      <c r="AM10" s="364"/>
      <c r="AN10" s="362"/>
    </row>
    <row r="11" spans="2:257" s="373" customFormat="1" ht="8.15" customHeight="1">
      <c r="B11" s="367"/>
      <c r="C11" s="368"/>
      <c r="D11" s="368"/>
      <c r="E11" s="368"/>
      <c r="F11" s="368"/>
      <c r="G11" s="368"/>
      <c r="H11" s="368"/>
      <c r="I11" s="369"/>
      <c r="J11" s="368"/>
      <c r="K11" s="370"/>
      <c r="L11" s="371"/>
      <c r="M11" s="371"/>
      <c r="N11" s="371"/>
      <c r="O11" s="368"/>
      <c r="P11" s="368"/>
      <c r="Q11" s="368"/>
      <c r="R11" s="368"/>
      <c r="S11" s="368"/>
      <c r="T11" s="368"/>
      <c r="U11" s="368"/>
      <c r="V11" s="368"/>
      <c r="W11" s="368"/>
      <c r="X11" s="368"/>
      <c r="Y11" s="372"/>
      <c r="Z11" s="372"/>
      <c r="AA11" s="372"/>
      <c r="AB11" s="372"/>
      <c r="AC11" s="372"/>
      <c r="AD11" s="372"/>
      <c r="AE11" s="368"/>
      <c r="AF11" s="368"/>
      <c r="AG11" s="368"/>
      <c r="AH11" s="372"/>
      <c r="AI11" s="372"/>
      <c r="AJ11" s="372"/>
      <c r="AK11" s="372"/>
      <c r="AL11" s="372"/>
      <c r="AM11" s="372"/>
      <c r="AN11" s="368"/>
      <c r="AO11" s="265"/>
      <c r="AP11" s="265"/>
      <c r="AQ11" s="265"/>
      <c r="AR11" s="265"/>
      <c r="AS11" s="265"/>
      <c r="AT11" s="265"/>
      <c r="AU11" s="265"/>
      <c r="AV11" s="265"/>
      <c r="AW11" s="265"/>
      <c r="AX11" s="265"/>
      <c r="AY11" s="265"/>
      <c r="AZ11" s="265"/>
      <c r="BA11" s="265"/>
      <c r="BB11" s="265"/>
      <c r="BC11" s="265"/>
      <c r="BD11" s="265"/>
      <c r="BE11" s="265"/>
      <c r="BF11" s="265"/>
      <c r="BG11" s="265"/>
      <c r="BH11" s="265"/>
      <c r="BI11" s="265"/>
      <c r="BJ11" s="265"/>
      <c r="BK11" s="265"/>
      <c r="BL11" s="265"/>
      <c r="BM11" s="265"/>
      <c r="BN11" s="265"/>
      <c r="BO11" s="265"/>
      <c r="BP11" s="265"/>
      <c r="BQ11" s="265"/>
      <c r="BR11" s="265"/>
      <c r="BS11" s="265"/>
      <c r="BT11" s="265"/>
      <c r="BU11" s="265"/>
      <c r="BV11" s="265"/>
      <c r="BW11" s="265"/>
      <c r="BX11" s="265"/>
      <c r="BY11" s="265"/>
      <c r="BZ11" s="265"/>
      <c r="CA11" s="265"/>
      <c r="CB11" s="265"/>
      <c r="CC11" s="265"/>
      <c r="CD11" s="265"/>
      <c r="CE11" s="265"/>
      <c r="CF11" s="265"/>
      <c r="CG11" s="265"/>
      <c r="CH11" s="265"/>
      <c r="CI11" s="265"/>
      <c r="CJ11" s="265"/>
      <c r="CK11" s="265"/>
      <c r="CL11" s="265"/>
      <c r="CM11" s="265"/>
      <c r="CN11" s="265"/>
      <c r="CO11" s="265"/>
      <c r="CP11" s="265"/>
      <c r="CQ11" s="265"/>
      <c r="CR11" s="265"/>
      <c r="CS11" s="265"/>
      <c r="CT11" s="265"/>
      <c r="CU11" s="265"/>
      <c r="CV11" s="265"/>
      <c r="CW11" s="265"/>
      <c r="CX11" s="265"/>
      <c r="CY11" s="265"/>
      <c r="CZ11" s="265"/>
      <c r="DA11" s="265"/>
      <c r="DB11" s="265"/>
      <c r="DC11" s="265"/>
      <c r="DD11" s="265"/>
      <c r="DE11" s="265"/>
      <c r="DF11" s="265"/>
      <c r="DG11" s="265"/>
      <c r="DH11" s="265"/>
      <c r="DI11" s="265"/>
      <c r="DJ11" s="265"/>
      <c r="DK11" s="265"/>
      <c r="DL11" s="265"/>
      <c r="DM11" s="265"/>
      <c r="DN11" s="265"/>
      <c r="DO11" s="265"/>
      <c r="DP11" s="265"/>
      <c r="DQ11" s="265"/>
      <c r="DR11" s="265"/>
      <c r="DS11" s="265"/>
      <c r="DT11" s="265"/>
      <c r="DU11" s="265"/>
      <c r="DV11" s="265"/>
      <c r="DW11" s="265"/>
      <c r="DX11" s="265"/>
      <c r="DY11" s="265"/>
      <c r="DZ11" s="265"/>
      <c r="EA11" s="265"/>
      <c r="EB11" s="265"/>
      <c r="EC11" s="265"/>
      <c r="ED11" s="265"/>
      <c r="EE11" s="265"/>
      <c r="EF11" s="265"/>
      <c r="EG11" s="265"/>
      <c r="EH11" s="265"/>
      <c r="EI11" s="265"/>
      <c r="EJ11" s="265"/>
      <c r="EK11" s="265"/>
      <c r="EL11" s="265"/>
      <c r="EM11" s="265"/>
      <c r="EN11" s="265"/>
      <c r="EO11" s="265"/>
      <c r="EP11" s="265"/>
      <c r="EQ11" s="265"/>
      <c r="ER11" s="265"/>
      <c r="ES11" s="265"/>
      <c r="ET11" s="265"/>
      <c r="EU11" s="265"/>
      <c r="EV11" s="265"/>
      <c r="EW11" s="265"/>
      <c r="EX11" s="265"/>
      <c r="EY11" s="265"/>
      <c r="EZ11" s="265"/>
      <c r="FA11" s="265"/>
      <c r="FB11" s="265"/>
      <c r="FC11" s="265"/>
      <c r="FD11" s="265"/>
      <c r="FE11" s="265"/>
      <c r="FF11" s="265"/>
      <c r="FG11" s="265"/>
      <c r="FH11" s="265"/>
      <c r="FI11" s="265"/>
      <c r="FJ11" s="265"/>
      <c r="FK11" s="265"/>
      <c r="FL11" s="265"/>
      <c r="FM11" s="265"/>
      <c r="FN11" s="265"/>
      <c r="FO11" s="265"/>
      <c r="FP11" s="265"/>
      <c r="FQ11" s="265"/>
      <c r="FR11" s="265"/>
      <c r="FS11" s="265"/>
      <c r="FT11" s="265"/>
      <c r="FU11" s="265"/>
      <c r="FV11" s="265"/>
      <c r="FW11" s="265"/>
      <c r="FX11" s="265"/>
      <c r="FY11" s="265"/>
      <c r="FZ11" s="265"/>
      <c r="GA11" s="265"/>
      <c r="GB11" s="265"/>
      <c r="GC11" s="265"/>
      <c r="GD11" s="265"/>
      <c r="GE11" s="265"/>
      <c r="GF11" s="265"/>
      <c r="GG11" s="265"/>
      <c r="GH11" s="265"/>
      <c r="GI11" s="265"/>
      <c r="GJ11" s="265"/>
      <c r="GK11" s="265"/>
      <c r="GL11" s="265"/>
      <c r="GM11" s="265"/>
      <c r="GN11" s="265"/>
      <c r="GO11" s="265"/>
      <c r="GP11" s="265"/>
      <c r="GQ11" s="265"/>
      <c r="GR11" s="265"/>
      <c r="GS11" s="265"/>
      <c r="GT11" s="265"/>
      <c r="GU11" s="265"/>
      <c r="GV11" s="265"/>
      <c r="GW11" s="265"/>
      <c r="GX11" s="265"/>
      <c r="GY11" s="265"/>
      <c r="GZ11" s="265"/>
      <c r="HA11" s="265"/>
      <c r="HB11" s="265"/>
      <c r="HC11" s="265"/>
      <c r="HD11" s="265"/>
      <c r="HE11" s="265"/>
      <c r="HF11" s="265"/>
      <c r="HG11" s="265"/>
      <c r="HH11" s="265"/>
      <c r="HI11" s="265"/>
      <c r="HJ11" s="265"/>
      <c r="HK11" s="265"/>
      <c r="HL11" s="265"/>
      <c r="HM11" s="265"/>
      <c r="HN11" s="265"/>
      <c r="HO11" s="265"/>
      <c r="HP11" s="265"/>
      <c r="HQ11" s="265"/>
      <c r="HR11" s="265"/>
      <c r="HS11" s="265"/>
      <c r="HT11" s="265"/>
      <c r="HU11" s="265"/>
      <c r="HV11" s="265"/>
      <c r="HW11" s="265"/>
      <c r="HX11" s="265"/>
      <c r="HY11" s="265"/>
      <c r="HZ11" s="265"/>
      <c r="IA11" s="265"/>
      <c r="IB11" s="265"/>
      <c r="IC11" s="265"/>
      <c r="ID11" s="265"/>
      <c r="IE11" s="265"/>
      <c r="IF11" s="265"/>
      <c r="IG11" s="265"/>
      <c r="IH11" s="265"/>
      <c r="II11" s="265"/>
      <c r="IJ11" s="265"/>
      <c r="IK11" s="265"/>
      <c r="IL11" s="265"/>
      <c r="IM11" s="265"/>
      <c r="IN11" s="265"/>
      <c r="IO11" s="265"/>
      <c r="IP11" s="265"/>
      <c r="IQ11" s="265"/>
      <c r="IR11" s="265"/>
      <c r="IS11" s="265"/>
      <c r="IT11" s="265"/>
      <c r="IU11" s="265"/>
      <c r="IV11" s="265"/>
      <c r="IW11" s="265"/>
    </row>
    <row r="12" spans="2:257" ht="12.75" customHeight="1">
      <c r="B12" s="147" t="s">
        <v>34</v>
      </c>
      <c r="C12" s="108"/>
      <c r="D12" s="95"/>
      <c r="E12" s="116" t="s">
        <v>35</v>
      </c>
      <c r="F12" s="95"/>
      <c r="G12" s="95"/>
      <c r="H12" s="95"/>
      <c r="I12" s="95"/>
      <c r="J12" s="95"/>
      <c r="K12" s="95"/>
      <c r="L12" s="95"/>
      <c r="M12" s="95"/>
      <c r="N12" s="95"/>
      <c r="O12" s="95"/>
      <c r="P12" s="95"/>
      <c r="Q12" s="95"/>
      <c r="R12" s="95"/>
      <c r="S12" s="95"/>
      <c r="T12" s="95"/>
      <c r="U12" s="95"/>
      <c r="V12" s="95"/>
      <c r="W12" s="261" t="s">
        <v>36</v>
      </c>
      <c r="X12" s="95"/>
      <c r="Y12" s="855">
        <v>44562</v>
      </c>
      <c r="Z12" s="856"/>
      <c r="AA12" s="856"/>
      <c r="AB12" s="856"/>
      <c r="AC12" s="856"/>
      <c r="AD12" s="856"/>
      <c r="AE12" s="95"/>
      <c r="AF12" s="261" t="s">
        <v>37</v>
      </c>
      <c r="AG12" s="95"/>
      <c r="AH12" s="855">
        <v>44926</v>
      </c>
      <c r="AI12" s="857"/>
      <c r="AJ12" s="857"/>
      <c r="AK12" s="857"/>
      <c r="AL12" s="857"/>
      <c r="AM12" s="857"/>
      <c r="AN12" s="95"/>
    </row>
    <row r="13" spans="2:257" ht="8.15" customHeight="1">
      <c r="B13" s="374"/>
      <c r="C13" s="362"/>
      <c r="D13" s="362"/>
      <c r="E13" s="362"/>
      <c r="F13" s="362"/>
      <c r="G13" s="362"/>
      <c r="H13" s="362"/>
      <c r="I13" s="362"/>
      <c r="J13" s="362"/>
      <c r="K13" s="362"/>
      <c r="L13" s="362"/>
      <c r="M13" s="362"/>
      <c r="N13" s="362"/>
      <c r="O13" s="362"/>
      <c r="P13" s="362"/>
      <c r="Q13" s="362"/>
      <c r="R13" s="362"/>
      <c r="S13" s="362"/>
      <c r="T13" s="362"/>
      <c r="U13" s="362"/>
      <c r="V13" s="362"/>
      <c r="W13" s="362"/>
      <c r="X13" s="362"/>
      <c r="Y13" s="364"/>
      <c r="Z13" s="364"/>
      <c r="AA13" s="364"/>
      <c r="AB13" s="364"/>
      <c r="AC13" s="364"/>
      <c r="AD13" s="364"/>
      <c r="AE13" s="362"/>
      <c r="AF13" s="362"/>
      <c r="AG13" s="362"/>
      <c r="AH13" s="364"/>
      <c r="AI13" s="364"/>
      <c r="AJ13" s="364"/>
      <c r="AK13" s="364"/>
      <c r="AL13" s="364"/>
      <c r="AM13" s="364"/>
      <c r="AN13" s="362"/>
    </row>
    <row r="14" spans="2:257" s="373" customFormat="1" ht="8.15" customHeight="1">
      <c r="B14" s="367"/>
      <c r="C14" s="368"/>
      <c r="D14" s="368"/>
      <c r="E14" s="368"/>
      <c r="F14" s="368"/>
      <c r="G14" s="368"/>
      <c r="H14" s="368"/>
      <c r="I14" s="368"/>
      <c r="J14" s="368"/>
      <c r="K14" s="368"/>
      <c r="L14" s="368"/>
      <c r="M14" s="368"/>
      <c r="N14" s="368"/>
      <c r="O14" s="368"/>
      <c r="P14" s="368"/>
      <c r="Q14" s="368"/>
      <c r="R14" s="368"/>
      <c r="S14" s="368"/>
      <c r="T14" s="368"/>
      <c r="U14" s="372"/>
      <c r="V14" s="372"/>
      <c r="W14" s="372"/>
      <c r="X14" s="372"/>
      <c r="Y14" s="372"/>
      <c r="Z14" s="372"/>
      <c r="AA14" s="368"/>
      <c r="AB14" s="368"/>
      <c r="AC14" s="368"/>
      <c r="AD14" s="368"/>
      <c r="AE14" s="368"/>
      <c r="AF14" s="368"/>
      <c r="AG14" s="368"/>
      <c r="AH14" s="368"/>
      <c r="AI14" s="368"/>
      <c r="AJ14" s="368"/>
      <c r="AK14" s="368"/>
      <c r="AL14" s="368"/>
      <c r="AM14" s="368"/>
      <c r="AN14" s="368"/>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5"/>
      <c r="BL14" s="265"/>
      <c r="BM14" s="265"/>
      <c r="BN14" s="265"/>
      <c r="BO14" s="265"/>
      <c r="BP14" s="265"/>
      <c r="BQ14" s="265"/>
      <c r="BR14" s="265"/>
      <c r="BS14" s="265"/>
      <c r="BT14" s="265"/>
      <c r="BU14" s="265"/>
      <c r="BV14" s="265"/>
      <c r="BW14" s="265"/>
      <c r="BX14" s="265"/>
      <c r="BY14" s="265"/>
      <c r="BZ14" s="265"/>
      <c r="CA14" s="265"/>
      <c r="CB14" s="265"/>
      <c r="CC14" s="265"/>
      <c r="CD14" s="265"/>
      <c r="CE14" s="265"/>
      <c r="CF14" s="265"/>
      <c r="CG14" s="265"/>
      <c r="CH14" s="265"/>
      <c r="CI14" s="265"/>
      <c r="CJ14" s="265"/>
      <c r="CK14" s="265"/>
      <c r="CL14" s="265"/>
      <c r="CM14" s="265"/>
      <c r="CN14" s="265"/>
      <c r="CO14" s="265"/>
      <c r="CP14" s="265"/>
      <c r="CQ14" s="265"/>
      <c r="CR14" s="265"/>
      <c r="CS14" s="265"/>
      <c r="CT14" s="265"/>
      <c r="CU14" s="265"/>
      <c r="CV14" s="265"/>
      <c r="CW14" s="265"/>
      <c r="CX14" s="265"/>
      <c r="CY14" s="265"/>
      <c r="CZ14" s="265"/>
      <c r="DA14" s="265"/>
      <c r="DB14" s="265"/>
      <c r="DC14" s="265"/>
      <c r="DD14" s="265"/>
      <c r="DE14" s="265"/>
      <c r="DF14" s="265"/>
      <c r="DG14" s="265"/>
      <c r="DH14" s="265"/>
      <c r="DI14" s="265"/>
      <c r="DJ14" s="265"/>
      <c r="DK14" s="265"/>
      <c r="DL14" s="265"/>
      <c r="DM14" s="265"/>
      <c r="DN14" s="265"/>
      <c r="DO14" s="265"/>
      <c r="DP14" s="265"/>
      <c r="DQ14" s="265"/>
      <c r="DR14" s="265"/>
      <c r="DS14" s="265"/>
      <c r="DT14" s="265"/>
      <c r="DU14" s="265"/>
      <c r="DV14" s="265"/>
      <c r="DW14" s="265"/>
      <c r="DX14" s="265"/>
      <c r="DY14" s="265"/>
      <c r="DZ14" s="265"/>
      <c r="EA14" s="265"/>
      <c r="EB14" s="265"/>
      <c r="EC14" s="265"/>
      <c r="ED14" s="265"/>
      <c r="EE14" s="265"/>
      <c r="EF14" s="265"/>
      <c r="EG14" s="265"/>
      <c r="EH14" s="265"/>
      <c r="EI14" s="265"/>
      <c r="EJ14" s="265"/>
      <c r="EK14" s="265"/>
      <c r="EL14" s="265"/>
      <c r="EM14" s="265"/>
      <c r="EN14" s="265"/>
      <c r="EO14" s="265"/>
      <c r="EP14" s="265"/>
      <c r="EQ14" s="265"/>
      <c r="ER14" s="265"/>
      <c r="ES14" s="265"/>
      <c r="ET14" s="265"/>
      <c r="EU14" s="265"/>
      <c r="EV14" s="265"/>
      <c r="EW14" s="265"/>
      <c r="EX14" s="265"/>
      <c r="EY14" s="265"/>
      <c r="EZ14" s="265"/>
      <c r="FA14" s="265"/>
      <c r="FB14" s="265"/>
      <c r="FC14" s="265"/>
      <c r="FD14" s="265"/>
      <c r="FE14" s="265"/>
      <c r="FF14" s="265"/>
      <c r="FG14" s="265"/>
      <c r="FH14" s="265"/>
      <c r="FI14" s="265"/>
      <c r="FJ14" s="265"/>
      <c r="FK14" s="265"/>
      <c r="FL14" s="265"/>
      <c r="FM14" s="265"/>
      <c r="FN14" s="265"/>
      <c r="FO14" s="265"/>
      <c r="FP14" s="265"/>
      <c r="FQ14" s="265"/>
      <c r="FR14" s="265"/>
      <c r="FS14" s="265"/>
      <c r="FT14" s="265"/>
      <c r="FU14" s="265"/>
      <c r="FV14" s="265"/>
      <c r="FW14" s="265"/>
      <c r="FX14" s="265"/>
      <c r="FY14" s="265"/>
      <c r="FZ14" s="265"/>
      <c r="GA14" s="265"/>
      <c r="GB14" s="265"/>
      <c r="GC14" s="265"/>
      <c r="GD14" s="265"/>
      <c r="GE14" s="265"/>
      <c r="GF14" s="265"/>
      <c r="GG14" s="265"/>
      <c r="GH14" s="265"/>
      <c r="GI14" s="265"/>
      <c r="GJ14" s="265"/>
      <c r="GK14" s="265"/>
      <c r="GL14" s="265"/>
      <c r="GM14" s="265"/>
      <c r="GN14" s="265"/>
      <c r="GO14" s="265"/>
      <c r="GP14" s="265"/>
      <c r="GQ14" s="265"/>
      <c r="GR14" s="265"/>
      <c r="GS14" s="265"/>
      <c r="GT14" s="265"/>
      <c r="GU14" s="265"/>
      <c r="GV14" s="265"/>
      <c r="GW14" s="265"/>
      <c r="GX14" s="265"/>
      <c r="GY14" s="265"/>
      <c r="GZ14" s="265"/>
      <c r="HA14" s="265"/>
      <c r="HB14" s="265"/>
      <c r="HC14" s="265"/>
      <c r="HD14" s="265"/>
      <c r="HE14" s="265"/>
      <c r="HF14" s="265"/>
      <c r="HG14" s="265"/>
      <c r="HH14" s="265"/>
      <c r="HI14" s="265"/>
      <c r="HJ14" s="265"/>
      <c r="HK14" s="265"/>
      <c r="HL14" s="265"/>
      <c r="HM14" s="265"/>
      <c r="HN14" s="265"/>
      <c r="HO14" s="265"/>
      <c r="HP14" s="265"/>
      <c r="HQ14" s="265"/>
      <c r="HR14" s="265"/>
      <c r="HS14" s="265"/>
      <c r="HT14" s="265"/>
      <c r="HU14" s="265"/>
      <c r="HV14" s="265"/>
      <c r="HW14" s="265"/>
      <c r="HX14" s="265"/>
      <c r="HY14" s="265"/>
      <c r="HZ14" s="265"/>
      <c r="IA14" s="265"/>
      <c r="IB14" s="265"/>
      <c r="IC14" s="265"/>
      <c r="ID14" s="265"/>
      <c r="IE14" s="265"/>
      <c r="IF14" s="265"/>
      <c r="IG14" s="265"/>
      <c r="IH14" s="265"/>
      <c r="II14" s="265"/>
      <c r="IJ14" s="265"/>
      <c r="IK14" s="265"/>
      <c r="IL14" s="265"/>
      <c r="IM14" s="265"/>
      <c r="IN14" s="265"/>
      <c r="IO14" s="265"/>
      <c r="IP14" s="265"/>
      <c r="IQ14" s="265"/>
      <c r="IR14" s="265"/>
      <c r="IS14" s="265"/>
      <c r="IT14" s="265"/>
      <c r="IU14" s="265"/>
      <c r="IV14" s="265"/>
      <c r="IW14" s="265"/>
    </row>
    <row r="15" spans="2:257" ht="12.75" customHeight="1">
      <c r="B15" s="147" t="s">
        <v>38</v>
      </c>
      <c r="C15" s="108"/>
      <c r="D15" s="95"/>
      <c r="E15" s="116" t="s">
        <v>39</v>
      </c>
      <c r="F15" s="95"/>
      <c r="G15" s="95"/>
      <c r="H15" s="95"/>
      <c r="I15" s="95"/>
      <c r="J15" s="95"/>
      <c r="K15" s="95"/>
      <c r="L15" s="95"/>
      <c r="M15" s="95"/>
      <c r="N15" s="95"/>
      <c r="O15" s="95"/>
      <c r="P15" s="95"/>
      <c r="Q15" s="95"/>
      <c r="R15" s="95"/>
      <c r="S15" s="95"/>
      <c r="T15" s="131"/>
      <c r="U15" s="855">
        <v>44926</v>
      </c>
      <c r="V15" s="856"/>
      <c r="W15" s="856"/>
      <c r="X15" s="856"/>
      <c r="Y15" s="856"/>
      <c r="Z15" s="856"/>
      <c r="AA15" s="108"/>
      <c r="AB15" s="95"/>
      <c r="AC15" s="95"/>
      <c r="AD15" s="95"/>
      <c r="AE15" s="95"/>
      <c r="AF15" s="95"/>
      <c r="AG15" s="95"/>
      <c r="AH15" s="95"/>
      <c r="AI15" s="95"/>
      <c r="AJ15" s="95"/>
      <c r="AK15" s="95"/>
      <c r="AL15" s="95"/>
      <c r="AM15" s="95"/>
      <c r="AN15" s="95"/>
    </row>
    <row r="16" spans="2:257" ht="8.15" customHeight="1">
      <c r="B16" s="127"/>
      <c r="C16" s="95"/>
      <c r="D16" s="95"/>
      <c r="E16" s="95"/>
      <c r="F16" s="95"/>
      <c r="G16" s="95"/>
      <c r="H16" s="95"/>
      <c r="I16" s="95"/>
      <c r="J16" s="95"/>
      <c r="K16" s="95"/>
      <c r="L16" s="95"/>
      <c r="M16" s="95"/>
      <c r="N16" s="95"/>
      <c r="O16" s="95"/>
      <c r="P16" s="95"/>
      <c r="Q16" s="95"/>
      <c r="R16" s="95"/>
      <c r="S16" s="95"/>
      <c r="T16" s="95"/>
      <c r="U16" s="127"/>
      <c r="V16" s="375"/>
      <c r="W16" s="127"/>
      <c r="X16" s="127"/>
      <c r="Y16" s="127"/>
      <c r="Z16" s="127"/>
      <c r="AA16" s="95"/>
      <c r="AB16" s="95"/>
      <c r="AC16" s="95"/>
      <c r="AD16" s="95"/>
      <c r="AE16" s="95"/>
      <c r="AF16" s="95"/>
      <c r="AG16" s="95"/>
      <c r="AH16" s="95"/>
      <c r="AI16" s="95"/>
      <c r="AJ16" s="95"/>
      <c r="AK16" s="95"/>
      <c r="AL16" s="95"/>
      <c r="AM16" s="95"/>
      <c r="AN16" s="95"/>
    </row>
    <row r="17" spans="2:257" ht="8.15" customHeight="1">
      <c r="B17" s="362"/>
      <c r="C17" s="362"/>
      <c r="D17" s="362"/>
      <c r="E17" s="362"/>
      <c r="F17" s="362"/>
      <c r="G17" s="362"/>
      <c r="H17" s="362"/>
      <c r="I17" s="362"/>
      <c r="J17" s="362"/>
      <c r="K17" s="362"/>
      <c r="L17" s="362"/>
      <c r="M17" s="362"/>
      <c r="N17" s="362"/>
      <c r="O17" s="362"/>
      <c r="P17" s="362"/>
      <c r="Q17" s="362"/>
      <c r="R17" s="362"/>
      <c r="S17" s="362"/>
      <c r="T17" s="362"/>
      <c r="U17" s="362"/>
      <c r="V17" s="362"/>
      <c r="W17" s="362"/>
      <c r="X17" s="362"/>
      <c r="Y17" s="362"/>
      <c r="Z17" s="362"/>
      <c r="AA17" s="362"/>
      <c r="AB17" s="362"/>
      <c r="AC17" s="362"/>
      <c r="AD17" s="362"/>
      <c r="AE17" s="362"/>
      <c r="AF17" s="362"/>
      <c r="AG17" s="362"/>
      <c r="AH17" s="362"/>
      <c r="AI17" s="362"/>
      <c r="AJ17" s="362"/>
      <c r="AK17" s="362"/>
      <c r="AL17" s="362"/>
      <c r="AM17" s="362"/>
      <c r="AN17" s="362"/>
    </row>
    <row r="18" spans="2:257" s="373" customFormat="1" ht="8.15" customHeight="1">
      <c r="B18" s="367"/>
      <c r="C18" s="368"/>
      <c r="D18" s="368"/>
      <c r="E18" s="368"/>
      <c r="F18" s="368"/>
      <c r="G18" s="368"/>
      <c r="H18" s="368"/>
      <c r="I18" s="368"/>
      <c r="J18" s="368"/>
      <c r="K18" s="368"/>
      <c r="L18" s="368"/>
      <c r="M18" s="368"/>
      <c r="N18" s="368"/>
      <c r="O18" s="368"/>
      <c r="P18" s="368"/>
      <c r="Q18" s="372"/>
      <c r="R18" s="372"/>
      <c r="S18" s="372"/>
      <c r="T18" s="372"/>
      <c r="U18" s="372"/>
      <c r="V18" s="372"/>
      <c r="W18" s="368"/>
      <c r="X18" s="368"/>
      <c r="Y18" s="368"/>
      <c r="Z18" s="368"/>
      <c r="AA18" s="368"/>
      <c r="AB18" s="368"/>
      <c r="AC18" s="368"/>
      <c r="AD18" s="368"/>
      <c r="AE18" s="368"/>
      <c r="AF18" s="368"/>
      <c r="AG18" s="368"/>
      <c r="AH18" s="368"/>
      <c r="AI18" s="368"/>
      <c r="AJ18" s="368"/>
      <c r="AK18" s="368"/>
      <c r="AL18" s="372"/>
      <c r="AM18" s="372"/>
      <c r="AN18" s="368"/>
      <c r="AO18" s="265"/>
      <c r="AP18" s="265"/>
      <c r="AQ18" s="265"/>
      <c r="AR18" s="265"/>
      <c r="AS18" s="265"/>
      <c r="AT18" s="265"/>
      <c r="AU18" s="265"/>
      <c r="AV18" s="265"/>
      <c r="AW18" s="265"/>
      <c r="AX18" s="265"/>
      <c r="AY18" s="265"/>
      <c r="AZ18" s="265"/>
      <c r="BA18" s="265"/>
      <c r="BB18" s="265"/>
      <c r="BC18" s="265"/>
      <c r="BD18" s="265"/>
      <c r="BE18" s="265"/>
      <c r="BF18" s="265"/>
      <c r="BG18" s="265"/>
      <c r="BH18" s="265"/>
      <c r="BI18" s="265"/>
      <c r="BJ18" s="265"/>
      <c r="BK18" s="265"/>
      <c r="BL18" s="265"/>
      <c r="BM18" s="265"/>
      <c r="BN18" s="265"/>
      <c r="BO18" s="265"/>
      <c r="BP18" s="265"/>
      <c r="BQ18" s="265"/>
      <c r="BR18" s="265"/>
      <c r="BS18" s="265"/>
      <c r="BT18" s="265"/>
      <c r="BU18" s="265"/>
      <c r="BV18" s="265"/>
      <c r="BW18" s="265"/>
      <c r="BX18" s="265"/>
      <c r="BY18" s="265"/>
      <c r="BZ18" s="265"/>
      <c r="CA18" s="265"/>
      <c r="CB18" s="265"/>
      <c r="CC18" s="265"/>
      <c r="CD18" s="265"/>
      <c r="CE18" s="265"/>
      <c r="CF18" s="265"/>
      <c r="CG18" s="265"/>
      <c r="CH18" s="265"/>
      <c r="CI18" s="265"/>
      <c r="CJ18" s="265"/>
      <c r="CK18" s="265"/>
      <c r="CL18" s="265"/>
      <c r="CM18" s="265"/>
      <c r="CN18" s="265"/>
      <c r="CO18" s="265"/>
      <c r="CP18" s="265"/>
      <c r="CQ18" s="265"/>
      <c r="CR18" s="265"/>
      <c r="CS18" s="265"/>
      <c r="CT18" s="265"/>
      <c r="CU18" s="265"/>
      <c r="CV18" s="265"/>
      <c r="CW18" s="265"/>
      <c r="CX18" s="265"/>
      <c r="CY18" s="265"/>
      <c r="CZ18" s="265"/>
      <c r="DA18" s="265"/>
      <c r="DB18" s="265"/>
      <c r="DC18" s="265"/>
      <c r="DD18" s="265"/>
      <c r="DE18" s="265"/>
      <c r="DF18" s="265"/>
      <c r="DG18" s="265"/>
      <c r="DH18" s="265"/>
      <c r="DI18" s="265"/>
      <c r="DJ18" s="265"/>
      <c r="DK18" s="265"/>
      <c r="DL18" s="265"/>
      <c r="DM18" s="265"/>
      <c r="DN18" s="265"/>
      <c r="DO18" s="265"/>
      <c r="DP18" s="265"/>
      <c r="DQ18" s="265"/>
      <c r="DR18" s="265"/>
      <c r="DS18" s="265"/>
      <c r="DT18" s="265"/>
      <c r="DU18" s="265"/>
      <c r="DV18" s="265"/>
      <c r="DW18" s="265"/>
      <c r="DX18" s="265"/>
      <c r="DY18" s="265"/>
      <c r="DZ18" s="265"/>
      <c r="EA18" s="265"/>
      <c r="EB18" s="265"/>
      <c r="EC18" s="265"/>
      <c r="ED18" s="265"/>
      <c r="EE18" s="265"/>
      <c r="EF18" s="265"/>
      <c r="EG18" s="265"/>
      <c r="EH18" s="265"/>
      <c r="EI18" s="265"/>
      <c r="EJ18" s="265"/>
      <c r="EK18" s="265"/>
      <c r="EL18" s="265"/>
      <c r="EM18" s="265"/>
      <c r="EN18" s="265"/>
      <c r="EO18" s="265"/>
      <c r="EP18" s="265"/>
      <c r="EQ18" s="265"/>
      <c r="ER18" s="265"/>
      <c r="ES18" s="265"/>
      <c r="ET18" s="265"/>
      <c r="EU18" s="265"/>
      <c r="EV18" s="265"/>
      <c r="EW18" s="265"/>
      <c r="EX18" s="265"/>
      <c r="EY18" s="265"/>
      <c r="EZ18" s="265"/>
      <c r="FA18" s="265"/>
      <c r="FB18" s="265"/>
      <c r="FC18" s="265"/>
      <c r="FD18" s="265"/>
      <c r="FE18" s="265"/>
      <c r="FF18" s="265"/>
      <c r="FG18" s="265"/>
      <c r="FH18" s="265"/>
      <c r="FI18" s="265"/>
      <c r="FJ18" s="265"/>
      <c r="FK18" s="265"/>
      <c r="FL18" s="265"/>
      <c r="FM18" s="265"/>
      <c r="FN18" s="265"/>
      <c r="FO18" s="265"/>
      <c r="FP18" s="265"/>
      <c r="FQ18" s="265"/>
      <c r="FR18" s="265"/>
      <c r="FS18" s="265"/>
      <c r="FT18" s="265"/>
      <c r="FU18" s="265"/>
      <c r="FV18" s="265"/>
      <c r="FW18" s="265"/>
      <c r="FX18" s="265"/>
      <c r="FY18" s="265"/>
      <c r="FZ18" s="265"/>
      <c r="GA18" s="265"/>
      <c r="GB18" s="265"/>
      <c r="GC18" s="265"/>
      <c r="GD18" s="265"/>
      <c r="GE18" s="265"/>
      <c r="GF18" s="265"/>
      <c r="GG18" s="265"/>
      <c r="GH18" s="265"/>
      <c r="GI18" s="265"/>
      <c r="GJ18" s="265"/>
      <c r="GK18" s="265"/>
      <c r="GL18" s="265"/>
      <c r="GM18" s="265"/>
      <c r="GN18" s="265"/>
      <c r="GO18" s="265"/>
      <c r="GP18" s="265"/>
      <c r="GQ18" s="265"/>
      <c r="GR18" s="265"/>
      <c r="GS18" s="265"/>
      <c r="GT18" s="265"/>
      <c r="GU18" s="265"/>
      <c r="GV18" s="265"/>
      <c r="GW18" s="265"/>
      <c r="GX18" s="265"/>
      <c r="GY18" s="265"/>
      <c r="GZ18" s="265"/>
      <c r="HA18" s="265"/>
      <c r="HB18" s="265"/>
      <c r="HC18" s="265"/>
      <c r="HD18" s="265"/>
      <c r="HE18" s="265"/>
      <c r="HF18" s="265"/>
      <c r="HG18" s="265"/>
      <c r="HH18" s="265"/>
      <c r="HI18" s="265"/>
      <c r="HJ18" s="265"/>
      <c r="HK18" s="265"/>
      <c r="HL18" s="265"/>
      <c r="HM18" s="265"/>
      <c r="HN18" s="265"/>
      <c r="HO18" s="265"/>
      <c r="HP18" s="265"/>
      <c r="HQ18" s="265"/>
      <c r="HR18" s="265"/>
      <c r="HS18" s="265"/>
      <c r="HT18" s="265"/>
      <c r="HU18" s="265"/>
      <c r="HV18" s="265"/>
      <c r="HW18" s="265"/>
      <c r="HX18" s="265"/>
      <c r="HY18" s="265"/>
      <c r="HZ18" s="265"/>
      <c r="IA18" s="265"/>
      <c r="IB18" s="265"/>
      <c r="IC18" s="265"/>
      <c r="ID18" s="265"/>
      <c r="IE18" s="265"/>
      <c r="IF18" s="265"/>
      <c r="IG18" s="265"/>
      <c r="IH18" s="265"/>
      <c r="II18" s="265"/>
      <c r="IJ18" s="265"/>
      <c r="IK18" s="265"/>
      <c r="IL18" s="265"/>
      <c r="IM18" s="265"/>
      <c r="IN18" s="265"/>
      <c r="IO18" s="265"/>
      <c r="IP18" s="265"/>
      <c r="IQ18" s="265"/>
      <c r="IR18" s="265"/>
      <c r="IS18" s="265"/>
      <c r="IT18" s="265"/>
      <c r="IU18" s="265"/>
      <c r="IV18" s="265"/>
      <c r="IW18" s="265"/>
    </row>
    <row r="19" spans="2:257" ht="12.75" customHeight="1">
      <c r="B19" s="147" t="s">
        <v>40</v>
      </c>
      <c r="C19" s="108"/>
      <c r="D19" s="95"/>
      <c r="E19" s="116" t="s">
        <v>41</v>
      </c>
      <c r="F19" s="95"/>
      <c r="G19" s="95"/>
      <c r="H19" s="95"/>
      <c r="I19" s="95"/>
      <c r="J19" s="95"/>
      <c r="K19" s="95"/>
      <c r="L19" s="95"/>
      <c r="M19" s="95"/>
      <c r="N19" s="95"/>
      <c r="O19" s="95"/>
      <c r="P19" s="131"/>
      <c r="Q19" s="858" t="s">
        <v>1427</v>
      </c>
      <c r="R19" s="846"/>
      <c r="S19" s="846"/>
      <c r="T19" s="846"/>
      <c r="U19" s="846"/>
      <c r="V19" s="847"/>
      <c r="W19" s="108"/>
      <c r="X19" s="95"/>
      <c r="Y19" s="95"/>
      <c r="Z19" s="95"/>
      <c r="AA19" s="95"/>
      <c r="AB19" s="95"/>
      <c r="AC19" s="95"/>
      <c r="AD19" s="95"/>
      <c r="AE19" s="95"/>
      <c r="AF19" s="95"/>
      <c r="AG19" s="95"/>
      <c r="AH19" s="95"/>
      <c r="AI19" s="95"/>
      <c r="AJ19" s="95"/>
      <c r="AK19" s="376" t="s">
        <v>42</v>
      </c>
      <c r="AL19" s="859">
        <v>12</v>
      </c>
      <c r="AM19" s="847"/>
      <c r="AN19" s="120"/>
    </row>
    <row r="20" spans="2:257" ht="8.15" customHeight="1">
      <c r="B20" s="127"/>
      <c r="C20" s="95"/>
      <c r="D20" s="95"/>
      <c r="E20" s="95"/>
      <c r="F20" s="95"/>
      <c r="G20" s="95"/>
      <c r="H20" s="95"/>
      <c r="I20" s="95"/>
      <c r="J20" s="95"/>
      <c r="K20" s="95"/>
      <c r="L20" s="95"/>
      <c r="M20" s="95"/>
      <c r="N20" s="95"/>
      <c r="O20" s="95"/>
      <c r="P20" s="95"/>
      <c r="Q20" s="127"/>
      <c r="R20" s="127"/>
      <c r="S20" s="127"/>
      <c r="T20" s="127"/>
      <c r="U20" s="127"/>
      <c r="V20" s="127"/>
      <c r="W20" s="95"/>
      <c r="X20" s="95"/>
      <c r="Y20" s="95"/>
      <c r="Z20" s="95"/>
      <c r="AA20" s="95"/>
      <c r="AB20" s="95"/>
      <c r="AC20" s="95"/>
      <c r="AD20" s="95"/>
      <c r="AE20" s="95"/>
      <c r="AF20" s="95"/>
      <c r="AG20" s="95"/>
      <c r="AH20" s="95"/>
      <c r="AI20" s="95"/>
      <c r="AJ20" s="95"/>
      <c r="AK20" s="95"/>
      <c r="AL20" s="127"/>
      <c r="AM20" s="127"/>
      <c r="AN20" s="95"/>
    </row>
    <row r="21" spans="2:257" ht="8.15" customHeight="1">
      <c r="B21" s="362"/>
      <c r="C21" s="362"/>
      <c r="D21" s="362"/>
      <c r="E21" s="362"/>
      <c r="F21" s="362"/>
      <c r="G21" s="362"/>
      <c r="H21" s="362"/>
      <c r="I21" s="362"/>
      <c r="J21" s="362"/>
      <c r="K21" s="362"/>
      <c r="L21" s="362"/>
      <c r="M21" s="362"/>
      <c r="N21" s="362"/>
      <c r="O21" s="362"/>
      <c r="P21" s="362"/>
      <c r="Q21" s="362"/>
      <c r="R21" s="362"/>
      <c r="S21" s="362"/>
      <c r="T21" s="362"/>
      <c r="U21" s="362"/>
      <c r="V21" s="362"/>
      <c r="W21" s="362"/>
      <c r="X21" s="362"/>
      <c r="Y21" s="362"/>
      <c r="Z21" s="362"/>
      <c r="AA21" s="362"/>
      <c r="AB21" s="362"/>
      <c r="AC21" s="362"/>
      <c r="AD21" s="362"/>
      <c r="AE21" s="362"/>
      <c r="AF21" s="362"/>
      <c r="AG21" s="362"/>
      <c r="AH21" s="362"/>
      <c r="AI21" s="362"/>
      <c r="AJ21" s="362"/>
      <c r="AK21" s="362"/>
      <c r="AL21" s="362"/>
      <c r="AM21" s="362"/>
      <c r="AN21" s="362"/>
    </row>
    <row r="22" spans="2:257" s="373" customFormat="1" ht="8.15" customHeight="1">
      <c r="B22" s="367"/>
      <c r="C22" s="368"/>
      <c r="D22" s="368"/>
      <c r="E22" s="368"/>
      <c r="F22" s="372"/>
      <c r="G22" s="372"/>
      <c r="H22" s="372"/>
      <c r="I22" s="372"/>
      <c r="J22" s="372"/>
      <c r="K22" s="372"/>
      <c r="L22" s="372"/>
      <c r="M22" s="372"/>
      <c r="N22" s="372"/>
      <c r="O22" s="372"/>
      <c r="P22" s="372"/>
      <c r="Q22" s="368"/>
      <c r="R22" s="368"/>
      <c r="S22" s="368"/>
      <c r="T22" s="368"/>
      <c r="U22" s="368"/>
      <c r="V22" s="368"/>
      <c r="W22" s="372"/>
      <c r="X22" s="372"/>
      <c r="Y22" s="372"/>
      <c r="Z22" s="372"/>
      <c r="AA22" s="372"/>
      <c r="AB22" s="372"/>
      <c r="AC22" s="372"/>
      <c r="AD22" s="372"/>
      <c r="AE22" s="372"/>
      <c r="AF22" s="372"/>
      <c r="AG22" s="372"/>
      <c r="AH22" s="372"/>
      <c r="AI22" s="372"/>
      <c r="AJ22" s="372"/>
      <c r="AK22" s="372"/>
      <c r="AL22" s="368"/>
      <c r="AM22" s="368"/>
      <c r="AN22" s="368"/>
      <c r="AO22" s="265"/>
      <c r="AP22" s="265"/>
      <c r="AQ22" s="265"/>
      <c r="AR22" s="265"/>
      <c r="AS22" s="265"/>
      <c r="AT22" s="265"/>
      <c r="AU22" s="265"/>
      <c r="AV22" s="265"/>
      <c r="AW22" s="265"/>
      <c r="AX22" s="265"/>
      <c r="AY22" s="265"/>
      <c r="AZ22" s="265"/>
      <c r="BA22" s="265"/>
      <c r="BB22" s="265"/>
      <c r="BC22" s="265"/>
      <c r="BD22" s="265"/>
      <c r="BE22" s="265"/>
      <c r="BF22" s="265"/>
      <c r="BG22" s="265"/>
      <c r="BH22" s="265"/>
      <c r="BI22" s="265"/>
      <c r="BJ22" s="265"/>
      <c r="BK22" s="265"/>
      <c r="BL22" s="265"/>
      <c r="BM22" s="265"/>
      <c r="BN22" s="265"/>
      <c r="BO22" s="265"/>
      <c r="BP22" s="265"/>
      <c r="BQ22" s="265"/>
      <c r="BR22" s="265"/>
      <c r="BS22" s="265"/>
      <c r="BT22" s="265"/>
      <c r="BU22" s="265"/>
      <c r="BV22" s="265"/>
      <c r="BW22" s="265"/>
      <c r="BX22" s="265"/>
      <c r="BY22" s="265"/>
      <c r="BZ22" s="265"/>
      <c r="CA22" s="265"/>
      <c r="CB22" s="265"/>
      <c r="CC22" s="265"/>
      <c r="CD22" s="265"/>
      <c r="CE22" s="265"/>
      <c r="CF22" s="265"/>
      <c r="CG22" s="265"/>
      <c r="CH22" s="265"/>
      <c r="CI22" s="265"/>
      <c r="CJ22" s="265"/>
      <c r="CK22" s="265"/>
      <c r="CL22" s="265"/>
      <c r="CM22" s="265"/>
      <c r="CN22" s="265"/>
      <c r="CO22" s="265"/>
      <c r="CP22" s="265"/>
      <c r="CQ22" s="265"/>
      <c r="CR22" s="265"/>
      <c r="CS22" s="265"/>
      <c r="CT22" s="265"/>
      <c r="CU22" s="265"/>
      <c r="CV22" s="265"/>
      <c r="CW22" s="265"/>
      <c r="CX22" s="265"/>
      <c r="CY22" s="265"/>
      <c r="CZ22" s="265"/>
      <c r="DA22" s="265"/>
      <c r="DB22" s="265"/>
      <c r="DC22" s="265"/>
      <c r="DD22" s="265"/>
      <c r="DE22" s="265"/>
      <c r="DF22" s="265"/>
      <c r="DG22" s="265"/>
      <c r="DH22" s="265"/>
      <c r="DI22" s="265"/>
      <c r="DJ22" s="265"/>
      <c r="DK22" s="265"/>
      <c r="DL22" s="265"/>
      <c r="DM22" s="265"/>
      <c r="DN22" s="265"/>
      <c r="DO22" s="265"/>
      <c r="DP22" s="265"/>
      <c r="DQ22" s="265"/>
      <c r="DR22" s="265"/>
      <c r="DS22" s="265"/>
      <c r="DT22" s="265"/>
      <c r="DU22" s="265"/>
      <c r="DV22" s="265"/>
      <c r="DW22" s="265"/>
      <c r="DX22" s="265"/>
      <c r="DY22" s="265"/>
      <c r="DZ22" s="265"/>
      <c r="EA22" s="265"/>
      <c r="EB22" s="265"/>
      <c r="EC22" s="265"/>
      <c r="ED22" s="265"/>
      <c r="EE22" s="265"/>
      <c r="EF22" s="265"/>
      <c r="EG22" s="265"/>
      <c r="EH22" s="265"/>
      <c r="EI22" s="265"/>
      <c r="EJ22" s="265"/>
      <c r="EK22" s="265"/>
      <c r="EL22" s="265"/>
      <c r="EM22" s="265"/>
      <c r="EN22" s="265"/>
      <c r="EO22" s="265"/>
      <c r="EP22" s="265"/>
      <c r="EQ22" s="265"/>
      <c r="ER22" s="265"/>
      <c r="ES22" s="265"/>
      <c r="ET22" s="265"/>
      <c r="EU22" s="265"/>
      <c r="EV22" s="265"/>
      <c r="EW22" s="265"/>
      <c r="EX22" s="265"/>
      <c r="EY22" s="265"/>
      <c r="EZ22" s="265"/>
      <c r="FA22" s="265"/>
      <c r="FB22" s="265"/>
      <c r="FC22" s="265"/>
      <c r="FD22" s="265"/>
      <c r="FE22" s="265"/>
      <c r="FF22" s="265"/>
      <c r="FG22" s="265"/>
      <c r="FH22" s="265"/>
      <c r="FI22" s="265"/>
      <c r="FJ22" s="265"/>
      <c r="FK22" s="265"/>
      <c r="FL22" s="265"/>
      <c r="FM22" s="265"/>
      <c r="FN22" s="265"/>
      <c r="FO22" s="265"/>
      <c r="FP22" s="265"/>
      <c r="FQ22" s="265"/>
      <c r="FR22" s="265"/>
      <c r="FS22" s="265"/>
      <c r="FT22" s="265"/>
      <c r="FU22" s="265"/>
      <c r="FV22" s="265"/>
      <c r="FW22" s="265"/>
      <c r="FX22" s="265"/>
      <c r="FY22" s="265"/>
      <c r="FZ22" s="265"/>
      <c r="GA22" s="265"/>
      <c r="GB22" s="265"/>
      <c r="GC22" s="265"/>
      <c r="GD22" s="265"/>
      <c r="GE22" s="265"/>
      <c r="GF22" s="265"/>
      <c r="GG22" s="265"/>
      <c r="GH22" s="265"/>
      <c r="GI22" s="265"/>
      <c r="GJ22" s="265"/>
      <c r="GK22" s="265"/>
      <c r="GL22" s="265"/>
      <c r="GM22" s="265"/>
      <c r="GN22" s="265"/>
      <c r="GO22" s="265"/>
      <c r="GP22" s="265"/>
      <c r="GQ22" s="265"/>
      <c r="GR22" s="265"/>
      <c r="GS22" s="265"/>
      <c r="GT22" s="265"/>
      <c r="GU22" s="265"/>
      <c r="GV22" s="265"/>
      <c r="GW22" s="265"/>
      <c r="GX22" s="265"/>
      <c r="GY22" s="265"/>
      <c r="GZ22" s="265"/>
      <c r="HA22" s="265"/>
      <c r="HB22" s="265"/>
      <c r="HC22" s="265"/>
      <c r="HD22" s="265"/>
      <c r="HE22" s="265"/>
      <c r="HF22" s="265"/>
      <c r="HG22" s="265"/>
      <c r="HH22" s="265"/>
      <c r="HI22" s="265"/>
      <c r="HJ22" s="265"/>
      <c r="HK22" s="265"/>
      <c r="HL22" s="265"/>
      <c r="HM22" s="265"/>
      <c r="HN22" s="265"/>
      <c r="HO22" s="265"/>
      <c r="HP22" s="265"/>
      <c r="HQ22" s="265"/>
      <c r="HR22" s="265"/>
      <c r="HS22" s="265"/>
      <c r="HT22" s="265"/>
      <c r="HU22" s="265"/>
      <c r="HV22" s="265"/>
      <c r="HW22" s="265"/>
      <c r="HX22" s="265"/>
      <c r="HY22" s="265"/>
      <c r="HZ22" s="265"/>
      <c r="IA22" s="265"/>
      <c r="IB22" s="265"/>
      <c r="IC22" s="265"/>
      <c r="ID22" s="265"/>
      <c r="IE22" s="265"/>
      <c r="IF22" s="265"/>
      <c r="IG22" s="265"/>
      <c r="IH22" s="265"/>
      <c r="II22" s="265"/>
      <c r="IJ22" s="265"/>
      <c r="IK22" s="265"/>
      <c r="IL22" s="265"/>
      <c r="IM22" s="265"/>
      <c r="IN22" s="265"/>
      <c r="IO22" s="265"/>
      <c r="IP22" s="265"/>
      <c r="IQ22" s="265"/>
      <c r="IR22" s="265"/>
      <c r="IS22" s="265"/>
      <c r="IT22" s="265"/>
      <c r="IU22" s="265"/>
      <c r="IV22" s="265"/>
      <c r="IW22" s="265"/>
    </row>
    <row r="23" spans="2:257" ht="12.75" customHeight="1">
      <c r="B23" s="147" t="s">
        <v>43</v>
      </c>
      <c r="C23" s="108"/>
      <c r="D23" s="95"/>
      <c r="E23" s="95"/>
      <c r="F23" s="910"/>
      <c r="G23" s="911"/>
      <c r="H23" s="912"/>
      <c r="I23" s="845" t="s">
        <v>1428</v>
      </c>
      <c r="J23" s="846"/>
      <c r="K23" s="846"/>
      <c r="L23" s="846"/>
      <c r="M23" s="846"/>
      <c r="N23" s="846"/>
      <c r="O23" s="846"/>
      <c r="P23" s="847"/>
      <c r="Q23" s="108"/>
      <c r="R23" s="95"/>
      <c r="S23" s="95"/>
      <c r="T23" s="95"/>
      <c r="U23" s="95"/>
      <c r="V23" s="131"/>
      <c r="W23" s="845"/>
      <c r="X23" s="848"/>
      <c r="Y23" s="848"/>
      <c r="Z23" s="848"/>
      <c r="AA23" s="848"/>
      <c r="AB23" s="848"/>
      <c r="AC23" s="848"/>
      <c r="AD23" s="848"/>
      <c r="AE23" s="848"/>
      <c r="AF23" s="848"/>
      <c r="AG23" s="848"/>
      <c r="AH23" s="848"/>
      <c r="AI23" s="848"/>
      <c r="AJ23" s="848"/>
      <c r="AK23" s="849"/>
      <c r="AL23" s="108"/>
      <c r="AM23" s="95"/>
      <c r="AN23" s="95"/>
    </row>
    <row r="24" spans="2:257" ht="12.75" customHeight="1">
      <c r="B24" s="127"/>
      <c r="C24" s="95"/>
      <c r="D24" s="95"/>
      <c r="E24" s="95"/>
      <c r="F24" s="862" t="s">
        <v>44</v>
      </c>
      <c r="G24" s="863"/>
      <c r="H24" s="864"/>
      <c r="I24" s="860" t="s">
        <v>45</v>
      </c>
      <c r="J24" s="861"/>
      <c r="K24" s="861"/>
      <c r="L24" s="861"/>
      <c r="M24" s="861"/>
      <c r="N24" s="861"/>
      <c r="O24" s="861"/>
      <c r="P24" s="861"/>
      <c r="Q24" s="95"/>
      <c r="R24" s="95"/>
      <c r="S24" s="95"/>
      <c r="T24" s="95"/>
      <c r="U24" s="95"/>
      <c r="V24" s="95"/>
      <c r="W24" s="860" t="s">
        <v>46</v>
      </c>
      <c r="X24" s="861"/>
      <c r="Y24" s="861"/>
      <c r="Z24" s="861"/>
      <c r="AA24" s="861"/>
      <c r="AB24" s="861"/>
      <c r="AC24" s="861"/>
      <c r="AD24" s="861"/>
      <c r="AE24" s="861"/>
      <c r="AF24" s="861"/>
      <c r="AG24" s="861"/>
      <c r="AH24" s="861"/>
      <c r="AI24" s="861"/>
      <c r="AJ24" s="861"/>
      <c r="AK24" s="861"/>
      <c r="AL24" s="95"/>
      <c r="AM24" s="95"/>
      <c r="AN24" s="95"/>
    </row>
    <row r="25" spans="2:257" ht="8.15" customHeight="1">
      <c r="B25" s="377"/>
      <c r="C25" s="378"/>
      <c r="D25" s="379"/>
      <c r="E25" s="379"/>
      <c r="F25" s="379"/>
      <c r="G25" s="379"/>
      <c r="H25" s="379"/>
      <c r="I25" s="379"/>
      <c r="J25" s="379"/>
      <c r="K25" s="379"/>
      <c r="L25" s="379"/>
      <c r="M25" s="379"/>
      <c r="N25" s="379"/>
      <c r="O25" s="379"/>
      <c r="P25" s="379"/>
      <c r="Q25" s="379"/>
      <c r="R25" s="379"/>
      <c r="S25" s="379"/>
      <c r="T25" s="379"/>
      <c r="U25" s="379"/>
      <c r="V25" s="379"/>
      <c r="W25" s="379"/>
      <c r="X25" s="379"/>
      <c r="Y25" s="379"/>
      <c r="Z25" s="379"/>
      <c r="AA25" s="379"/>
      <c r="AB25" s="379"/>
      <c r="AC25" s="379"/>
      <c r="AD25" s="379"/>
      <c r="AE25" s="379"/>
      <c r="AF25" s="379"/>
      <c r="AG25" s="379"/>
      <c r="AH25" s="379"/>
      <c r="AI25" s="379"/>
      <c r="AJ25" s="379"/>
      <c r="AK25" s="379"/>
      <c r="AL25" s="379"/>
      <c r="AM25" s="379"/>
      <c r="AN25" s="362"/>
    </row>
    <row r="26" spans="2:257" s="373" customFormat="1" ht="8.15" customHeight="1">
      <c r="B26" s="380"/>
      <c r="C26" s="381"/>
      <c r="D26" s="371"/>
      <c r="E26" s="371"/>
      <c r="F26" s="371"/>
      <c r="G26" s="382"/>
      <c r="H26" s="382"/>
      <c r="I26" s="382"/>
      <c r="J26" s="382"/>
      <c r="K26" s="382"/>
      <c r="L26" s="382"/>
      <c r="M26" s="382"/>
      <c r="N26" s="382"/>
      <c r="O26" s="371"/>
      <c r="P26" s="371"/>
      <c r="Q26" s="371"/>
      <c r="R26" s="371"/>
      <c r="S26" s="382"/>
      <c r="T26" s="382"/>
      <c r="U26" s="382"/>
      <c r="V26" s="382"/>
      <c r="W26" s="382"/>
      <c r="X26" s="382"/>
      <c r="Y26" s="382"/>
      <c r="Z26" s="382"/>
      <c r="AA26" s="371"/>
      <c r="AB26" s="371"/>
      <c r="AC26" s="371"/>
      <c r="AD26" s="371"/>
      <c r="AE26" s="382"/>
      <c r="AF26" s="382"/>
      <c r="AG26" s="382"/>
      <c r="AH26" s="382"/>
      <c r="AI26" s="382"/>
      <c r="AJ26" s="382"/>
      <c r="AK26" s="382"/>
      <c r="AL26" s="382"/>
      <c r="AM26" s="371"/>
      <c r="AN26" s="368"/>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5"/>
      <c r="BK26" s="265"/>
      <c r="BL26" s="265"/>
      <c r="BM26" s="265"/>
      <c r="BN26" s="265"/>
      <c r="BO26" s="265"/>
      <c r="BP26" s="265"/>
      <c r="BQ26" s="265"/>
      <c r="BR26" s="265"/>
      <c r="BS26" s="265"/>
      <c r="BT26" s="265"/>
      <c r="BU26" s="265"/>
      <c r="BV26" s="265"/>
      <c r="BW26" s="265"/>
      <c r="BX26" s="265"/>
      <c r="BY26" s="265"/>
      <c r="BZ26" s="265"/>
      <c r="CA26" s="265"/>
      <c r="CB26" s="265"/>
      <c r="CC26" s="265"/>
      <c r="CD26" s="265"/>
      <c r="CE26" s="265"/>
      <c r="CF26" s="265"/>
      <c r="CG26" s="265"/>
      <c r="CH26" s="265"/>
      <c r="CI26" s="265"/>
      <c r="CJ26" s="265"/>
      <c r="CK26" s="265"/>
      <c r="CL26" s="265"/>
      <c r="CM26" s="265"/>
      <c r="CN26" s="265"/>
      <c r="CO26" s="265"/>
      <c r="CP26" s="265"/>
      <c r="CQ26" s="265"/>
      <c r="CR26" s="265"/>
      <c r="CS26" s="265"/>
      <c r="CT26" s="265"/>
      <c r="CU26" s="265"/>
      <c r="CV26" s="265"/>
      <c r="CW26" s="265"/>
      <c r="CX26" s="265"/>
      <c r="CY26" s="265"/>
      <c r="CZ26" s="265"/>
      <c r="DA26" s="265"/>
      <c r="DB26" s="265"/>
      <c r="DC26" s="265"/>
      <c r="DD26" s="265"/>
      <c r="DE26" s="265"/>
      <c r="DF26" s="265"/>
      <c r="DG26" s="265"/>
      <c r="DH26" s="265"/>
      <c r="DI26" s="265"/>
      <c r="DJ26" s="265"/>
      <c r="DK26" s="265"/>
      <c r="DL26" s="265"/>
      <c r="DM26" s="265"/>
      <c r="DN26" s="265"/>
      <c r="DO26" s="265"/>
      <c r="DP26" s="265"/>
      <c r="DQ26" s="265"/>
      <c r="DR26" s="265"/>
      <c r="DS26" s="265"/>
      <c r="DT26" s="265"/>
      <c r="DU26" s="265"/>
      <c r="DV26" s="265"/>
      <c r="DW26" s="265"/>
      <c r="DX26" s="265"/>
      <c r="DY26" s="265"/>
      <c r="DZ26" s="265"/>
      <c r="EA26" s="265"/>
      <c r="EB26" s="265"/>
      <c r="EC26" s="265"/>
      <c r="ED26" s="265"/>
      <c r="EE26" s="265"/>
      <c r="EF26" s="265"/>
      <c r="EG26" s="265"/>
      <c r="EH26" s="265"/>
      <c r="EI26" s="265"/>
      <c r="EJ26" s="265"/>
      <c r="EK26" s="265"/>
      <c r="EL26" s="265"/>
      <c r="EM26" s="265"/>
      <c r="EN26" s="265"/>
      <c r="EO26" s="265"/>
      <c r="EP26" s="265"/>
      <c r="EQ26" s="265"/>
      <c r="ER26" s="265"/>
      <c r="ES26" s="265"/>
      <c r="ET26" s="265"/>
      <c r="EU26" s="265"/>
      <c r="EV26" s="265"/>
      <c r="EW26" s="265"/>
      <c r="EX26" s="265"/>
      <c r="EY26" s="265"/>
      <c r="EZ26" s="265"/>
      <c r="FA26" s="265"/>
      <c r="FB26" s="265"/>
      <c r="FC26" s="265"/>
      <c r="FD26" s="265"/>
      <c r="FE26" s="265"/>
      <c r="FF26" s="265"/>
      <c r="FG26" s="265"/>
      <c r="FH26" s="265"/>
      <c r="FI26" s="265"/>
      <c r="FJ26" s="265"/>
      <c r="FK26" s="265"/>
      <c r="FL26" s="265"/>
      <c r="FM26" s="265"/>
      <c r="FN26" s="265"/>
      <c r="FO26" s="265"/>
      <c r="FP26" s="265"/>
      <c r="FQ26" s="265"/>
      <c r="FR26" s="265"/>
      <c r="FS26" s="265"/>
      <c r="FT26" s="265"/>
      <c r="FU26" s="265"/>
      <c r="FV26" s="265"/>
      <c r="FW26" s="265"/>
      <c r="FX26" s="265"/>
      <c r="FY26" s="265"/>
      <c r="FZ26" s="265"/>
      <c r="GA26" s="265"/>
      <c r="GB26" s="265"/>
      <c r="GC26" s="265"/>
      <c r="GD26" s="265"/>
      <c r="GE26" s="265"/>
      <c r="GF26" s="265"/>
      <c r="GG26" s="265"/>
      <c r="GH26" s="265"/>
      <c r="GI26" s="265"/>
      <c r="GJ26" s="265"/>
      <c r="GK26" s="265"/>
      <c r="GL26" s="265"/>
      <c r="GM26" s="265"/>
      <c r="GN26" s="265"/>
      <c r="GO26" s="265"/>
      <c r="GP26" s="265"/>
      <c r="GQ26" s="265"/>
      <c r="GR26" s="265"/>
      <c r="GS26" s="265"/>
      <c r="GT26" s="265"/>
      <c r="GU26" s="265"/>
      <c r="GV26" s="265"/>
      <c r="GW26" s="265"/>
      <c r="GX26" s="265"/>
      <c r="GY26" s="265"/>
      <c r="GZ26" s="265"/>
      <c r="HA26" s="265"/>
      <c r="HB26" s="265"/>
      <c r="HC26" s="265"/>
      <c r="HD26" s="265"/>
      <c r="HE26" s="265"/>
      <c r="HF26" s="265"/>
      <c r="HG26" s="265"/>
      <c r="HH26" s="265"/>
      <c r="HI26" s="265"/>
      <c r="HJ26" s="265"/>
      <c r="HK26" s="265"/>
      <c r="HL26" s="265"/>
      <c r="HM26" s="265"/>
      <c r="HN26" s="265"/>
      <c r="HO26" s="265"/>
      <c r="HP26" s="265"/>
      <c r="HQ26" s="265"/>
      <c r="HR26" s="265"/>
      <c r="HS26" s="265"/>
      <c r="HT26" s="265"/>
      <c r="HU26" s="265"/>
      <c r="HV26" s="265"/>
      <c r="HW26" s="265"/>
      <c r="HX26" s="265"/>
      <c r="HY26" s="265"/>
      <c r="HZ26" s="265"/>
      <c r="IA26" s="265"/>
      <c r="IB26" s="265"/>
      <c r="IC26" s="265"/>
      <c r="ID26" s="265"/>
      <c r="IE26" s="265"/>
      <c r="IF26" s="265"/>
      <c r="IG26" s="265"/>
      <c r="IH26" s="265"/>
      <c r="II26" s="265"/>
      <c r="IJ26" s="265"/>
      <c r="IK26" s="265"/>
      <c r="IL26" s="265"/>
      <c r="IM26" s="265"/>
      <c r="IN26" s="265"/>
      <c r="IO26" s="265"/>
      <c r="IP26" s="265"/>
      <c r="IQ26" s="265"/>
      <c r="IR26" s="265"/>
      <c r="IS26" s="265"/>
      <c r="IT26" s="265"/>
      <c r="IU26" s="265"/>
      <c r="IV26" s="265"/>
      <c r="IW26" s="265"/>
    </row>
    <row r="27" spans="2:257" ht="12.75" customHeight="1">
      <c r="B27" s="147" t="s">
        <v>47</v>
      </c>
      <c r="C27" s="108"/>
      <c r="D27" s="95"/>
      <c r="E27" s="95"/>
      <c r="F27" s="131"/>
      <c r="G27" s="845" t="s">
        <v>1429</v>
      </c>
      <c r="H27" s="846"/>
      <c r="I27" s="846"/>
      <c r="J27" s="846"/>
      <c r="K27" s="846"/>
      <c r="L27" s="846"/>
      <c r="M27" s="846"/>
      <c r="N27" s="847"/>
      <c r="O27" s="108"/>
      <c r="P27" s="95"/>
      <c r="Q27" s="95"/>
      <c r="R27" s="131"/>
      <c r="S27" s="859"/>
      <c r="T27" s="846"/>
      <c r="U27" s="846"/>
      <c r="V27" s="846"/>
      <c r="W27" s="846"/>
      <c r="X27" s="846"/>
      <c r="Y27" s="846"/>
      <c r="Z27" s="847"/>
      <c r="AA27" s="108"/>
      <c r="AB27" s="95"/>
      <c r="AC27" s="95"/>
      <c r="AD27" s="131"/>
      <c r="AE27" s="913" t="s">
        <v>1430</v>
      </c>
      <c r="AF27" s="914"/>
      <c r="AG27" s="914"/>
      <c r="AH27" s="914"/>
      <c r="AI27" s="914"/>
      <c r="AJ27" s="914"/>
      <c r="AK27" s="914"/>
      <c r="AL27" s="915"/>
      <c r="AM27" s="108"/>
      <c r="AN27" s="95"/>
    </row>
    <row r="28" spans="2:257" ht="12.75" customHeight="1">
      <c r="B28" s="127"/>
      <c r="C28" s="95"/>
      <c r="D28" s="95"/>
      <c r="E28" s="95"/>
      <c r="F28" s="95"/>
      <c r="G28" s="860" t="s">
        <v>48</v>
      </c>
      <c r="H28" s="861"/>
      <c r="I28" s="861"/>
      <c r="J28" s="861"/>
      <c r="K28" s="861"/>
      <c r="L28" s="861"/>
      <c r="M28" s="861"/>
      <c r="N28" s="861"/>
      <c r="O28" s="95"/>
      <c r="P28" s="95"/>
      <c r="Q28" s="95"/>
      <c r="R28" s="95"/>
      <c r="S28" s="860" t="s">
        <v>49</v>
      </c>
      <c r="T28" s="861"/>
      <c r="U28" s="861"/>
      <c r="V28" s="861"/>
      <c r="W28" s="861"/>
      <c r="X28" s="861"/>
      <c r="Y28" s="861"/>
      <c r="Z28" s="861"/>
      <c r="AA28" s="95"/>
      <c r="AB28" s="95"/>
      <c r="AC28" s="95"/>
      <c r="AD28" s="95"/>
      <c r="AE28" s="860" t="s">
        <v>50</v>
      </c>
      <c r="AF28" s="861"/>
      <c r="AG28" s="861"/>
      <c r="AH28" s="861"/>
      <c r="AI28" s="861"/>
      <c r="AJ28" s="861"/>
      <c r="AK28" s="861"/>
      <c r="AL28" s="861"/>
      <c r="AM28" s="95"/>
      <c r="AN28" s="95"/>
    </row>
    <row r="29" spans="2:257" ht="8.15" customHeight="1">
      <c r="B29" s="362"/>
      <c r="C29" s="362"/>
      <c r="D29" s="362"/>
      <c r="E29" s="362"/>
      <c r="F29" s="362"/>
      <c r="G29" s="379"/>
      <c r="H29" s="379"/>
      <c r="I29" s="379"/>
      <c r="J29" s="379"/>
      <c r="K29" s="379"/>
      <c r="L29" s="379"/>
      <c r="M29" s="379"/>
      <c r="N29" s="379"/>
      <c r="O29" s="362"/>
      <c r="P29" s="362"/>
      <c r="Q29" s="362"/>
      <c r="R29" s="362"/>
      <c r="S29" s="362"/>
      <c r="T29" s="362"/>
      <c r="U29" s="362"/>
      <c r="V29" s="362"/>
      <c r="W29" s="362"/>
      <c r="X29" s="362"/>
      <c r="Y29" s="362"/>
      <c r="Z29" s="362"/>
      <c r="AA29" s="362"/>
      <c r="AB29" s="362"/>
      <c r="AC29" s="362"/>
      <c r="AD29" s="362"/>
      <c r="AE29" s="362"/>
      <c r="AF29" s="362"/>
      <c r="AG29" s="362"/>
      <c r="AH29" s="362"/>
      <c r="AI29" s="362"/>
      <c r="AJ29" s="362"/>
      <c r="AK29" s="362"/>
      <c r="AL29" s="362"/>
      <c r="AM29" s="362"/>
      <c r="AN29" s="362"/>
    </row>
    <row r="30" spans="2:257" s="373" customFormat="1" ht="8.15" customHeight="1">
      <c r="B30" s="367"/>
      <c r="C30" s="368"/>
      <c r="D30" s="372"/>
      <c r="E30" s="372"/>
      <c r="F30" s="372"/>
      <c r="G30" s="382"/>
      <c r="H30" s="382"/>
      <c r="I30" s="382"/>
      <c r="J30" s="382"/>
      <c r="K30" s="382"/>
      <c r="L30" s="382"/>
      <c r="M30" s="382"/>
      <c r="N30" s="382"/>
      <c r="O30" s="372"/>
      <c r="P30" s="372"/>
      <c r="Q30" s="372"/>
      <c r="R30" s="372"/>
      <c r="S30" s="372"/>
      <c r="T30" s="372"/>
      <c r="U30" s="372"/>
      <c r="V30" s="372"/>
      <c r="W30" s="372"/>
      <c r="X30" s="372"/>
      <c r="Y30" s="372"/>
      <c r="Z30" s="372"/>
      <c r="AA30" s="372"/>
      <c r="AB30" s="372"/>
      <c r="AC30" s="372"/>
      <c r="AD30" s="372"/>
      <c r="AE30" s="372"/>
      <c r="AF30" s="372"/>
      <c r="AG30" s="372"/>
      <c r="AH30" s="372"/>
      <c r="AI30" s="372"/>
      <c r="AJ30" s="372"/>
      <c r="AK30" s="372"/>
      <c r="AL30" s="372"/>
      <c r="AM30" s="372"/>
      <c r="AN30" s="368"/>
      <c r="AO30" s="265"/>
      <c r="AP30" s="265"/>
      <c r="AQ30" s="265"/>
      <c r="AR30" s="265"/>
      <c r="AS30" s="265"/>
      <c r="AT30" s="265"/>
      <c r="AU30" s="265"/>
      <c r="AV30" s="265"/>
      <c r="AW30" s="265"/>
      <c r="AX30" s="265"/>
      <c r="AY30" s="265"/>
      <c r="AZ30" s="265"/>
      <c r="BA30" s="265"/>
      <c r="BB30" s="265"/>
      <c r="BC30" s="265"/>
      <c r="BD30" s="265"/>
      <c r="BE30" s="265"/>
      <c r="BF30" s="265"/>
      <c r="BG30" s="265"/>
      <c r="BH30" s="265"/>
      <c r="BI30" s="265"/>
      <c r="BJ30" s="265"/>
      <c r="BK30" s="265"/>
      <c r="BL30" s="265"/>
      <c r="BM30" s="265"/>
      <c r="BN30" s="265"/>
      <c r="BO30" s="265"/>
      <c r="BP30" s="265"/>
      <c r="BQ30" s="265"/>
      <c r="BR30" s="265"/>
      <c r="BS30" s="265"/>
      <c r="BT30" s="265"/>
      <c r="BU30" s="265"/>
      <c r="BV30" s="265"/>
      <c r="BW30" s="265"/>
      <c r="BX30" s="265"/>
      <c r="BY30" s="265"/>
      <c r="BZ30" s="265"/>
      <c r="CA30" s="265"/>
      <c r="CB30" s="265"/>
      <c r="CC30" s="265"/>
      <c r="CD30" s="265"/>
      <c r="CE30" s="265"/>
      <c r="CF30" s="265"/>
      <c r="CG30" s="265"/>
      <c r="CH30" s="265"/>
      <c r="CI30" s="265"/>
      <c r="CJ30" s="265"/>
      <c r="CK30" s="265"/>
      <c r="CL30" s="265"/>
      <c r="CM30" s="265"/>
      <c r="CN30" s="265"/>
      <c r="CO30" s="265"/>
      <c r="CP30" s="265"/>
      <c r="CQ30" s="265"/>
      <c r="CR30" s="265"/>
      <c r="CS30" s="265"/>
      <c r="CT30" s="265"/>
      <c r="CU30" s="265"/>
      <c r="CV30" s="265"/>
      <c r="CW30" s="265"/>
      <c r="CX30" s="265"/>
      <c r="CY30" s="265"/>
      <c r="CZ30" s="265"/>
      <c r="DA30" s="265"/>
      <c r="DB30" s="265"/>
      <c r="DC30" s="265"/>
      <c r="DD30" s="265"/>
      <c r="DE30" s="265"/>
      <c r="DF30" s="265"/>
      <c r="DG30" s="265"/>
      <c r="DH30" s="265"/>
      <c r="DI30" s="265"/>
      <c r="DJ30" s="265"/>
      <c r="DK30" s="265"/>
      <c r="DL30" s="265"/>
      <c r="DM30" s="265"/>
      <c r="DN30" s="265"/>
      <c r="DO30" s="265"/>
      <c r="DP30" s="265"/>
      <c r="DQ30" s="265"/>
      <c r="DR30" s="265"/>
      <c r="DS30" s="265"/>
      <c r="DT30" s="265"/>
      <c r="DU30" s="265"/>
      <c r="DV30" s="265"/>
      <c r="DW30" s="265"/>
      <c r="DX30" s="265"/>
      <c r="DY30" s="265"/>
      <c r="DZ30" s="265"/>
      <c r="EA30" s="265"/>
      <c r="EB30" s="265"/>
      <c r="EC30" s="265"/>
      <c r="ED30" s="265"/>
      <c r="EE30" s="265"/>
      <c r="EF30" s="265"/>
      <c r="EG30" s="265"/>
      <c r="EH30" s="265"/>
      <c r="EI30" s="265"/>
      <c r="EJ30" s="265"/>
      <c r="EK30" s="265"/>
      <c r="EL30" s="265"/>
      <c r="EM30" s="265"/>
      <c r="EN30" s="265"/>
      <c r="EO30" s="265"/>
      <c r="EP30" s="265"/>
      <c r="EQ30" s="265"/>
      <c r="ER30" s="265"/>
      <c r="ES30" s="265"/>
      <c r="ET30" s="265"/>
      <c r="EU30" s="265"/>
      <c r="EV30" s="265"/>
      <c r="EW30" s="265"/>
      <c r="EX30" s="265"/>
      <c r="EY30" s="265"/>
      <c r="EZ30" s="265"/>
      <c r="FA30" s="265"/>
      <c r="FB30" s="265"/>
      <c r="FC30" s="265"/>
      <c r="FD30" s="265"/>
      <c r="FE30" s="265"/>
      <c r="FF30" s="265"/>
      <c r="FG30" s="265"/>
      <c r="FH30" s="265"/>
      <c r="FI30" s="265"/>
      <c r="FJ30" s="265"/>
      <c r="FK30" s="265"/>
      <c r="FL30" s="265"/>
      <c r="FM30" s="265"/>
      <c r="FN30" s="265"/>
      <c r="FO30" s="265"/>
      <c r="FP30" s="265"/>
      <c r="FQ30" s="265"/>
      <c r="FR30" s="265"/>
      <c r="FS30" s="265"/>
      <c r="FT30" s="265"/>
      <c r="FU30" s="265"/>
      <c r="FV30" s="265"/>
      <c r="FW30" s="265"/>
      <c r="FX30" s="265"/>
      <c r="FY30" s="265"/>
      <c r="FZ30" s="265"/>
      <c r="GA30" s="265"/>
      <c r="GB30" s="265"/>
      <c r="GC30" s="265"/>
      <c r="GD30" s="265"/>
      <c r="GE30" s="265"/>
      <c r="GF30" s="265"/>
      <c r="GG30" s="265"/>
      <c r="GH30" s="265"/>
      <c r="GI30" s="265"/>
      <c r="GJ30" s="265"/>
      <c r="GK30" s="265"/>
      <c r="GL30" s="265"/>
      <c r="GM30" s="265"/>
      <c r="GN30" s="265"/>
      <c r="GO30" s="265"/>
      <c r="GP30" s="265"/>
      <c r="GQ30" s="265"/>
      <c r="GR30" s="265"/>
      <c r="GS30" s="265"/>
      <c r="GT30" s="265"/>
      <c r="GU30" s="265"/>
      <c r="GV30" s="265"/>
      <c r="GW30" s="265"/>
      <c r="GX30" s="265"/>
      <c r="GY30" s="265"/>
      <c r="GZ30" s="265"/>
      <c r="HA30" s="265"/>
      <c r="HB30" s="265"/>
      <c r="HC30" s="265"/>
      <c r="HD30" s="265"/>
      <c r="HE30" s="265"/>
      <c r="HF30" s="265"/>
      <c r="HG30" s="265"/>
      <c r="HH30" s="265"/>
      <c r="HI30" s="265"/>
      <c r="HJ30" s="265"/>
      <c r="HK30" s="265"/>
      <c r="HL30" s="265"/>
      <c r="HM30" s="265"/>
      <c r="HN30" s="265"/>
      <c r="HO30" s="265"/>
      <c r="HP30" s="265"/>
      <c r="HQ30" s="265"/>
      <c r="HR30" s="265"/>
      <c r="HS30" s="265"/>
      <c r="HT30" s="265"/>
      <c r="HU30" s="265"/>
      <c r="HV30" s="265"/>
      <c r="HW30" s="265"/>
      <c r="HX30" s="265"/>
      <c r="HY30" s="265"/>
      <c r="HZ30" s="265"/>
      <c r="IA30" s="265"/>
      <c r="IB30" s="265"/>
      <c r="IC30" s="265"/>
      <c r="ID30" s="265"/>
      <c r="IE30" s="265"/>
      <c r="IF30" s="265"/>
      <c r="IG30" s="265"/>
      <c r="IH30" s="265"/>
      <c r="II30" s="265"/>
      <c r="IJ30" s="265"/>
      <c r="IK30" s="265"/>
      <c r="IL30" s="265"/>
      <c r="IM30" s="265"/>
      <c r="IN30" s="265"/>
      <c r="IO30" s="265"/>
      <c r="IP30" s="265"/>
      <c r="IQ30" s="265"/>
      <c r="IR30" s="265"/>
      <c r="IS30" s="265"/>
      <c r="IT30" s="265"/>
      <c r="IU30" s="265"/>
      <c r="IV30" s="265"/>
      <c r="IW30" s="265"/>
    </row>
    <row r="31" spans="2:257" ht="12.75" customHeight="1">
      <c r="B31" s="147" t="s">
        <v>51</v>
      </c>
      <c r="C31" s="383"/>
      <c r="D31" s="865" t="s">
        <v>1423</v>
      </c>
      <c r="E31" s="866"/>
      <c r="F31" s="866"/>
      <c r="G31" s="866"/>
      <c r="H31" s="866"/>
      <c r="I31" s="866"/>
      <c r="J31" s="866"/>
      <c r="K31" s="866"/>
      <c r="L31" s="866"/>
      <c r="M31" s="866"/>
      <c r="N31" s="866"/>
      <c r="O31" s="866"/>
      <c r="P31" s="866"/>
      <c r="Q31" s="866"/>
      <c r="R31" s="866"/>
      <c r="S31" s="866"/>
      <c r="T31" s="866"/>
      <c r="U31" s="866"/>
      <c r="V31" s="866"/>
      <c r="W31" s="866"/>
      <c r="X31" s="866"/>
      <c r="Y31" s="866"/>
      <c r="Z31" s="866"/>
      <c r="AA31" s="866"/>
      <c r="AB31" s="866"/>
      <c r="AC31" s="866"/>
      <c r="AD31" s="867"/>
      <c r="AE31" s="845" t="s">
        <v>1424</v>
      </c>
      <c r="AF31" s="846"/>
      <c r="AG31" s="846"/>
      <c r="AH31" s="846"/>
      <c r="AI31" s="846"/>
      <c r="AJ31" s="846"/>
      <c r="AK31" s="846"/>
      <c r="AL31" s="846"/>
      <c r="AM31" s="847"/>
      <c r="AN31" s="108"/>
    </row>
    <row r="32" spans="2:257" ht="12.75" customHeight="1">
      <c r="B32" s="127"/>
      <c r="C32" s="95"/>
      <c r="D32" s="860" t="s">
        <v>28</v>
      </c>
      <c r="E32" s="861"/>
      <c r="F32" s="861"/>
      <c r="G32" s="861"/>
      <c r="H32" s="861"/>
      <c r="I32" s="861"/>
      <c r="J32" s="861"/>
      <c r="K32" s="861"/>
      <c r="L32" s="861"/>
      <c r="M32" s="861"/>
      <c r="N32" s="861"/>
      <c r="O32" s="861"/>
      <c r="P32" s="861"/>
      <c r="Q32" s="861"/>
      <c r="R32" s="861"/>
      <c r="S32" s="861"/>
      <c r="T32" s="861"/>
      <c r="U32" s="861"/>
      <c r="V32" s="861"/>
      <c r="W32" s="861"/>
      <c r="X32" s="861"/>
      <c r="Y32" s="861"/>
      <c r="Z32" s="861"/>
      <c r="AA32" s="861"/>
      <c r="AB32" s="861"/>
      <c r="AC32" s="861"/>
      <c r="AD32" s="861"/>
      <c r="AE32" s="860" t="s">
        <v>52</v>
      </c>
      <c r="AF32" s="861"/>
      <c r="AG32" s="861"/>
      <c r="AH32" s="861"/>
      <c r="AI32" s="861"/>
      <c r="AJ32" s="861"/>
      <c r="AK32" s="861"/>
      <c r="AL32" s="861"/>
      <c r="AM32" s="861"/>
      <c r="AN32" s="95"/>
    </row>
    <row r="33" spans="2:257" ht="8.15" customHeight="1">
      <c r="B33" s="362"/>
      <c r="C33" s="362"/>
      <c r="D33" s="362"/>
      <c r="E33" s="362"/>
      <c r="F33" s="362"/>
      <c r="G33" s="362"/>
      <c r="H33" s="362"/>
      <c r="I33" s="362"/>
      <c r="J33" s="362"/>
      <c r="K33" s="362"/>
      <c r="L33" s="362"/>
      <c r="M33" s="362"/>
      <c r="N33" s="362"/>
      <c r="O33" s="362"/>
      <c r="P33" s="362"/>
      <c r="Q33" s="362"/>
      <c r="R33" s="362"/>
      <c r="S33" s="362"/>
      <c r="T33" s="362"/>
      <c r="U33" s="362"/>
      <c r="V33" s="362"/>
      <c r="W33" s="362"/>
      <c r="X33" s="362"/>
      <c r="Y33" s="362"/>
      <c r="Z33" s="362"/>
      <c r="AA33" s="362"/>
      <c r="AB33" s="362"/>
      <c r="AC33" s="362"/>
      <c r="AD33" s="362"/>
      <c r="AE33" s="362"/>
      <c r="AF33" s="362"/>
      <c r="AG33" s="362"/>
      <c r="AH33" s="362"/>
      <c r="AI33" s="362"/>
      <c r="AJ33" s="362"/>
      <c r="AK33" s="362"/>
      <c r="AL33" s="362"/>
      <c r="AM33" s="362"/>
      <c r="AN33" s="362"/>
    </row>
    <row r="34" spans="2:257" s="373" customFormat="1" ht="8.15" customHeight="1">
      <c r="B34" s="367"/>
      <c r="C34" s="368"/>
      <c r="D34" s="368"/>
      <c r="E34" s="368"/>
      <c r="F34" s="368"/>
      <c r="G34" s="372"/>
      <c r="H34" s="372"/>
      <c r="I34" s="372"/>
      <c r="J34" s="372"/>
      <c r="K34" s="372"/>
      <c r="L34" s="372"/>
      <c r="M34" s="372"/>
      <c r="N34" s="372"/>
      <c r="O34" s="368"/>
      <c r="P34" s="368"/>
      <c r="Q34" s="372"/>
      <c r="R34" s="372"/>
      <c r="S34" s="372"/>
      <c r="T34" s="372"/>
      <c r="U34" s="372"/>
      <c r="V34" s="372"/>
      <c r="W34" s="368"/>
      <c r="X34" s="368"/>
      <c r="Y34" s="372"/>
      <c r="Z34" s="372"/>
      <c r="AA34" s="372"/>
      <c r="AB34" s="372"/>
      <c r="AC34" s="372"/>
      <c r="AD34" s="372"/>
      <c r="AE34" s="372"/>
      <c r="AF34" s="372"/>
      <c r="AG34" s="372"/>
      <c r="AH34" s="372"/>
      <c r="AI34" s="372"/>
      <c r="AJ34" s="372"/>
      <c r="AK34" s="372"/>
      <c r="AL34" s="372"/>
      <c r="AM34" s="372"/>
      <c r="AN34" s="368"/>
      <c r="AO34" s="265"/>
      <c r="AP34" s="265"/>
      <c r="AQ34" s="265"/>
      <c r="AR34" s="265"/>
      <c r="AS34" s="265"/>
      <c r="AT34" s="265"/>
      <c r="AU34" s="265"/>
      <c r="AV34" s="265"/>
      <c r="AW34" s="265"/>
      <c r="AX34" s="265"/>
      <c r="AY34" s="265"/>
      <c r="AZ34" s="265"/>
      <c r="BA34" s="265"/>
      <c r="BB34" s="265"/>
      <c r="BC34" s="265"/>
      <c r="BD34" s="265"/>
      <c r="BE34" s="265"/>
      <c r="BF34" s="265"/>
      <c r="BG34" s="265"/>
      <c r="BH34" s="265"/>
      <c r="BI34" s="265"/>
      <c r="BJ34" s="265"/>
      <c r="BK34" s="265"/>
      <c r="BL34" s="265"/>
      <c r="BM34" s="265"/>
      <c r="BN34" s="265"/>
      <c r="BO34" s="265"/>
      <c r="BP34" s="265"/>
      <c r="BQ34" s="265"/>
      <c r="BR34" s="265"/>
      <c r="BS34" s="265"/>
      <c r="BT34" s="265"/>
      <c r="BU34" s="265"/>
      <c r="BV34" s="265"/>
      <c r="BW34" s="265"/>
      <c r="BX34" s="265"/>
      <c r="BY34" s="265"/>
      <c r="BZ34" s="265"/>
      <c r="CA34" s="265"/>
      <c r="CB34" s="265"/>
      <c r="CC34" s="265"/>
      <c r="CD34" s="265"/>
      <c r="CE34" s="265"/>
      <c r="CF34" s="265"/>
      <c r="CG34" s="265"/>
      <c r="CH34" s="265"/>
      <c r="CI34" s="265"/>
      <c r="CJ34" s="265"/>
      <c r="CK34" s="265"/>
      <c r="CL34" s="265"/>
      <c r="CM34" s="265"/>
      <c r="CN34" s="265"/>
      <c r="CO34" s="265"/>
      <c r="CP34" s="265"/>
      <c r="CQ34" s="265"/>
      <c r="CR34" s="265"/>
      <c r="CS34" s="265"/>
      <c r="CT34" s="265"/>
      <c r="CU34" s="265"/>
      <c r="CV34" s="265"/>
      <c r="CW34" s="265"/>
      <c r="CX34" s="265"/>
      <c r="CY34" s="265"/>
      <c r="CZ34" s="265"/>
      <c r="DA34" s="265"/>
      <c r="DB34" s="265"/>
      <c r="DC34" s="265"/>
      <c r="DD34" s="265"/>
      <c r="DE34" s="265"/>
      <c r="DF34" s="265"/>
      <c r="DG34" s="265"/>
      <c r="DH34" s="265"/>
      <c r="DI34" s="265"/>
      <c r="DJ34" s="265"/>
      <c r="DK34" s="265"/>
      <c r="DL34" s="265"/>
      <c r="DM34" s="265"/>
      <c r="DN34" s="265"/>
      <c r="DO34" s="265"/>
      <c r="DP34" s="265"/>
      <c r="DQ34" s="265"/>
      <c r="DR34" s="265"/>
      <c r="DS34" s="265"/>
      <c r="DT34" s="265"/>
      <c r="DU34" s="265"/>
      <c r="DV34" s="265"/>
      <c r="DW34" s="265"/>
      <c r="DX34" s="265"/>
      <c r="DY34" s="265"/>
      <c r="DZ34" s="265"/>
      <c r="EA34" s="265"/>
      <c r="EB34" s="265"/>
      <c r="EC34" s="265"/>
      <c r="ED34" s="265"/>
      <c r="EE34" s="265"/>
      <c r="EF34" s="265"/>
      <c r="EG34" s="265"/>
      <c r="EH34" s="265"/>
      <c r="EI34" s="265"/>
      <c r="EJ34" s="265"/>
      <c r="EK34" s="265"/>
      <c r="EL34" s="265"/>
      <c r="EM34" s="265"/>
      <c r="EN34" s="265"/>
      <c r="EO34" s="265"/>
      <c r="EP34" s="265"/>
      <c r="EQ34" s="265"/>
      <c r="ER34" s="265"/>
      <c r="ES34" s="265"/>
      <c r="ET34" s="265"/>
      <c r="EU34" s="265"/>
      <c r="EV34" s="265"/>
      <c r="EW34" s="265"/>
      <c r="EX34" s="265"/>
      <c r="EY34" s="265"/>
      <c r="EZ34" s="265"/>
      <c r="FA34" s="265"/>
      <c r="FB34" s="265"/>
      <c r="FC34" s="265"/>
      <c r="FD34" s="265"/>
      <c r="FE34" s="265"/>
      <c r="FF34" s="265"/>
      <c r="FG34" s="265"/>
      <c r="FH34" s="265"/>
      <c r="FI34" s="265"/>
      <c r="FJ34" s="265"/>
      <c r="FK34" s="265"/>
      <c r="FL34" s="265"/>
      <c r="FM34" s="265"/>
      <c r="FN34" s="265"/>
      <c r="FO34" s="265"/>
      <c r="FP34" s="265"/>
      <c r="FQ34" s="265"/>
      <c r="FR34" s="265"/>
      <c r="FS34" s="265"/>
      <c r="FT34" s="265"/>
      <c r="FU34" s="265"/>
      <c r="FV34" s="265"/>
      <c r="FW34" s="265"/>
      <c r="FX34" s="265"/>
      <c r="FY34" s="265"/>
      <c r="FZ34" s="265"/>
      <c r="GA34" s="265"/>
      <c r="GB34" s="265"/>
      <c r="GC34" s="265"/>
      <c r="GD34" s="265"/>
      <c r="GE34" s="265"/>
      <c r="GF34" s="265"/>
      <c r="GG34" s="265"/>
      <c r="GH34" s="265"/>
      <c r="GI34" s="265"/>
      <c r="GJ34" s="265"/>
      <c r="GK34" s="265"/>
      <c r="GL34" s="265"/>
      <c r="GM34" s="265"/>
      <c r="GN34" s="265"/>
      <c r="GO34" s="265"/>
      <c r="GP34" s="265"/>
      <c r="GQ34" s="265"/>
      <c r="GR34" s="265"/>
      <c r="GS34" s="265"/>
      <c r="GT34" s="265"/>
      <c r="GU34" s="265"/>
      <c r="GV34" s="265"/>
      <c r="GW34" s="265"/>
      <c r="GX34" s="265"/>
      <c r="GY34" s="265"/>
      <c r="GZ34" s="265"/>
      <c r="HA34" s="265"/>
      <c r="HB34" s="265"/>
      <c r="HC34" s="265"/>
      <c r="HD34" s="265"/>
      <c r="HE34" s="265"/>
      <c r="HF34" s="265"/>
      <c r="HG34" s="265"/>
      <c r="HH34" s="265"/>
      <c r="HI34" s="265"/>
      <c r="HJ34" s="265"/>
      <c r="HK34" s="265"/>
      <c r="HL34" s="265"/>
      <c r="HM34" s="265"/>
      <c r="HN34" s="265"/>
      <c r="HO34" s="265"/>
      <c r="HP34" s="265"/>
      <c r="HQ34" s="265"/>
      <c r="HR34" s="265"/>
      <c r="HS34" s="265"/>
      <c r="HT34" s="265"/>
      <c r="HU34" s="265"/>
      <c r="HV34" s="265"/>
      <c r="HW34" s="265"/>
      <c r="HX34" s="265"/>
      <c r="HY34" s="265"/>
      <c r="HZ34" s="265"/>
      <c r="IA34" s="265"/>
      <c r="IB34" s="265"/>
      <c r="IC34" s="265"/>
      <c r="ID34" s="265"/>
      <c r="IE34" s="265"/>
      <c r="IF34" s="265"/>
      <c r="IG34" s="265"/>
      <c r="IH34" s="265"/>
      <c r="II34" s="265"/>
      <c r="IJ34" s="265"/>
      <c r="IK34" s="265"/>
      <c r="IL34" s="265"/>
      <c r="IM34" s="265"/>
      <c r="IN34" s="265"/>
      <c r="IO34" s="265"/>
      <c r="IP34" s="265"/>
      <c r="IQ34" s="265"/>
      <c r="IR34" s="265"/>
      <c r="IS34" s="265"/>
      <c r="IT34" s="265"/>
      <c r="IU34" s="265"/>
      <c r="IV34" s="265"/>
      <c r="IW34" s="265"/>
    </row>
    <row r="35" spans="2:257" ht="12.75" customHeight="1">
      <c r="B35" s="147" t="s">
        <v>53</v>
      </c>
      <c r="C35" s="108"/>
      <c r="D35" s="95"/>
      <c r="E35" s="95"/>
      <c r="F35" s="131"/>
      <c r="G35" s="868" t="s">
        <v>1519</v>
      </c>
      <c r="H35" s="869"/>
      <c r="I35" s="869"/>
      <c r="J35" s="869"/>
      <c r="K35" s="869"/>
      <c r="L35" s="869"/>
      <c r="M35" s="869"/>
      <c r="N35" s="870"/>
      <c r="O35" s="108"/>
      <c r="P35" s="131"/>
      <c r="Q35" s="845"/>
      <c r="R35" s="846"/>
      <c r="S35" s="846"/>
      <c r="T35" s="846"/>
      <c r="U35" s="846"/>
      <c r="V35" s="847"/>
      <c r="W35" s="108"/>
      <c r="X35" s="131"/>
      <c r="Y35" s="859">
        <v>0</v>
      </c>
      <c r="Z35" s="847"/>
      <c r="AA35" s="845" t="s">
        <v>1431</v>
      </c>
      <c r="AB35" s="846"/>
      <c r="AC35" s="846"/>
      <c r="AD35" s="847"/>
      <c r="AE35" s="845" t="s">
        <v>1414</v>
      </c>
      <c r="AF35" s="846"/>
      <c r="AG35" s="846"/>
      <c r="AH35" s="846"/>
      <c r="AI35" s="846"/>
      <c r="AJ35" s="846"/>
      <c r="AK35" s="846"/>
      <c r="AL35" s="846"/>
      <c r="AM35" s="847"/>
      <c r="AN35" s="108"/>
    </row>
    <row r="36" spans="2:257" ht="12.75" customHeight="1">
      <c r="B36" s="127"/>
      <c r="C36" s="95"/>
      <c r="D36" s="95"/>
      <c r="E36" s="95"/>
      <c r="F36" s="95"/>
      <c r="G36" s="860" t="s">
        <v>54</v>
      </c>
      <c r="H36" s="861"/>
      <c r="I36" s="861"/>
      <c r="J36" s="861"/>
      <c r="K36" s="861"/>
      <c r="L36" s="861"/>
      <c r="M36" s="861"/>
      <c r="N36" s="861"/>
      <c r="O36" s="95"/>
      <c r="P36" s="95"/>
      <c r="Q36" s="860" t="s">
        <v>55</v>
      </c>
      <c r="R36" s="861"/>
      <c r="S36" s="861"/>
      <c r="T36" s="861"/>
      <c r="U36" s="861"/>
      <c r="V36" s="861"/>
      <c r="W36" s="95"/>
      <c r="X36" s="95"/>
      <c r="Y36" s="860" t="s">
        <v>56</v>
      </c>
      <c r="Z36" s="861"/>
      <c r="AA36" s="860" t="s">
        <v>57</v>
      </c>
      <c r="AB36" s="861"/>
      <c r="AC36" s="861"/>
      <c r="AD36" s="861"/>
      <c r="AE36" s="860" t="s">
        <v>58</v>
      </c>
      <c r="AF36" s="861"/>
      <c r="AG36" s="861"/>
      <c r="AH36" s="861"/>
      <c r="AI36" s="861"/>
      <c r="AJ36" s="861"/>
      <c r="AK36" s="861"/>
      <c r="AL36" s="861"/>
      <c r="AM36" s="861"/>
      <c r="AN36" s="95"/>
    </row>
    <row r="37" spans="2:257" ht="8.15" customHeight="1">
      <c r="B37" s="362"/>
      <c r="C37" s="362"/>
      <c r="D37" s="362"/>
      <c r="E37" s="362"/>
      <c r="F37" s="362"/>
      <c r="G37" s="362"/>
      <c r="H37" s="362"/>
      <c r="I37" s="362"/>
      <c r="J37" s="362"/>
      <c r="K37" s="362"/>
      <c r="L37" s="362"/>
      <c r="M37" s="362"/>
      <c r="N37" s="362"/>
      <c r="O37" s="362"/>
      <c r="P37" s="362"/>
      <c r="Q37" s="362"/>
      <c r="R37" s="362"/>
      <c r="S37" s="362"/>
      <c r="T37" s="362"/>
      <c r="U37" s="362"/>
      <c r="V37" s="362"/>
      <c r="W37" s="362"/>
      <c r="X37" s="362"/>
      <c r="Y37" s="362"/>
      <c r="Z37" s="362"/>
      <c r="AA37" s="362"/>
      <c r="AB37" s="362"/>
      <c r="AC37" s="362"/>
      <c r="AD37" s="362"/>
      <c r="AE37" s="362"/>
      <c r="AF37" s="362"/>
      <c r="AG37" s="362"/>
      <c r="AH37" s="362"/>
      <c r="AI37" s="362"/>
      <c r="AJ37" s="362"/>
      <c r="AK37" s="362"/>
      <c r="AL37" s="362"/>
      <c r="AM37" s="362"/>
      <c r="AN37" s="362"/>
    </row>
    <row r="38" spans="2:257" s="373" customFormat="1" ht="8.15" customHeight="1">
      <c r="B38" s="367"/>
      <c r="C38" s="368"/>
      <c r="D38" s="372"/>
      <c r="E38" s="372"/>
      <c r="F38" s="372"/>
      <c r="G38" s="372"/>
      <c r="H38" s="372"/>
      <c r="I38" s="372"/>
      <c r="J38" s="372"/>
      <c r="K38" s="372"/>
      <c r="L38" s="372"/>
      <c r="M38" s="372"/>
      <c r="N38" s="372"/>
      <c r="O38" s="372"/>
      <c r="P38" s="372"/>
      <c r="Q38" s="372"/>
      <c r="R38" s="372"/>
      <c r="S38" s="372"/>
      <c r="T38" s="372"/>
      <c r="U38" s="372"/>
      <c r="V38" s="372"/>
      <c r="W38" s="372"/>
      <c r="X38" s="372"/>
      <c r="Y38" s="372"/>
      <c r="Z38" s="372"/>
      <c r="AA38" s="372"/>
      <c r="AB38" s="372"/>
      <c r="AC38" s="372"/>
      <c r="AD38" s="372"/>
      <c r="AE38" s="372"/>
      <c r="AF38" s="372"/>
      <c r="AG38" s="372"/>
      <c r="AH38" s="372"/>
      <c r="AI38" s="372"/>
      <c r="AJ38" s="372"/>
      <c r="AK38" s="372"/>
      <c r="AL38" s="372"/>
      <c r="AM38" s="372"/>
      <c r="AN38" s="368"/>
      <c r="AO38" s="265"/>
      <c r="AP38" s="265"/>
      <c r="AQ38" s="265"/>
      <c r="AR38" s="265"/>
      <c r="AS38" s="265"/>
      <c r="AT38" s="265"/>
      <c r="AU38" s="265"/>
      <c r="AV38" s="265"/>
      <c r="AW38" s="265"/>
      <c r="AX38" s="265"/>
      <c r="AY38" s="265"/>
      <c r="AZ38" s="265"/>
      <c r="BA38" s="265"/>
      <c r="BB38" s="265"/>
      <c r="BC38" s="265"/>
      <c r="BD38" s="265"/>
      <c r="BE38" s="265"/>
      <c r="BF38" s="265"/>
      <c r="BG38" s="265"/>
      <c r="BH38" s="265"/>
      <c r="BI38" s="265"/>
      <c r="BJ38" s="265"/>
      <c r="BK38" s="265"/>
      <c r="BL38" s="265"/>
      <c r="BM38" s="265"/>
      <c r="BN38" s="265"/>
      <c r="BO38" s="265"/>
      <c r="BP38" s="265"/>
      <c r="BQ38" s="265"/>
      <c r="BR38" s="265"/>
      <c r="BS38" s="265"/>
      <c r="BT38" s="265"/>
      <c r="BU38" s="265"/>
      <c r="BV38" s="265"/>
      <c r="BW38" s="265"/>
      <c r="BX38" s="265"/>
      <c r="BY38" s="265"/>
      <c r="BZ38" s="265"/>
      <c r="CA38" s="265"/>
      <c r="CB38" s="265"/>
      <c r="CC38" s="265"/>
      <c r="CD38" s="265"/>
      <c r="CE38" s="265"/>
      <c r="CF38" s="265"/>
      <c r="CG38" s="265"/>
      <c r="CH38" s="265"/>
      <c r="CI38" s="265"/>
      <c r="CJ38" s="265"/>
      <c r="CK38" s="265"/>
      <c r="CL38" s="265"/>
      <c r="CM38" s="265"/>
      <c r="CN38" s="265"/>
      <c r="CO38" s="265"/>
      <c r="CP38" s="265"/>
      <c r="CQ38" s="265"/>
      <c r="CR38" s="265"/>
      <c r="CS38" s="265"/>
      <c r="CT38" s="265"/>
      <c r="CU38" s="265"/>
      <c r="CV38" s="265"/>
      <c r="CW38" s="265"/>
      <c r="CX38" s="265"/>
      <c r="CY38" s="265"/>
      <c r="CZ38" s="265"/>
      <c r="DA38" s="265"/>
      <c r="DB38" s="265"/>
      <c r="DC38" s="265"/>
      <c r="DD38" s="265"/>
      <c r="DE38" s="265"/>
      <c r="DF38" s="265"/>
      <c r="DG38" s="265"/>
      <c r="DH38" s="265"/>
      <c r="DI38" s="265"/>
      <c r="DJ38" s="265"/>
      <c r="DK38" s="265"/>
      <c r="DL38" s="265"/>
      <c r="DM38" s="265"/>
      <c r="DN38" s="265"/>
      <c r="DO38" s="265"/>
      <c r="DP38" s="265"/>
      <c r="DQ38" s="265"/>
      <c r="DR38" s="265"/>
      <c r="DS38" s="265"/>
      <c r="DT38" s="265"/>
      <c r="DU38" s="265"/>
      <c r="DV38" s="265"/>
      <c r="DW38" s="265"/>
      <c r="DX38" s="265"/>
      <c r="DY38" s="265"/>
      <c r="DZ38" s="265"/>
      <c r="EA38" s="265"/>
      <c r="EB38" s="265"/>
      <c r="EC38" s="265"/>
      <c r="ED38" s="265"/>
      <c r="EE38" s="265"/>
      <c r="EF38" s="265"/>
      <c r="EG38" s="265"/>
      <c r="EH38" s="265"/>
      <c r="EI38" s="265"/>
      <c r="EJ38" s="265"/>
      <c r="EK38" s="265"/>
      <c r="EL38" s="265"/>
      <c r="EM38" s="265"/>
      <c r="EN38" s="265"/>
      <c r="EO38" s="265"/>
      <c r="EP38" s="265"/>
      <c r="EQ38" s="265"/>
      <c r="ER38" s="265"/>
      <c r="ES38" s="265"/>
      <c r="ET38" s="265"/>
      <c r="EU38" s="265"/>
      <c r="EV38" s="265"/>
      <c r="EW38" s="265"/>
      <c r="EX38" s="265"/>
      <c r="EY38" s="265"/>
      <c r="EZ38" s="265"/>
      <c r="FA38" s="265"/>
      <c r="FB38" s="265"/>
      <c r="FC38" s="265"/>
      <c r="FD38" s="265"/>
      <c r="FE38" s="265"/>
      <c r="FF38" s="265"/>
      <c r="FG38" s="265"/>
      <c r="FH38" s="265"/>
      <c r="FI38" s="265"/>
      <c r="FJ38" s="265"/>
      <c r="FK38" s="265"/>
      <c r="FL38" s="265"/>
      <c r="FM38" s="265"/>
      <c r="FN38" s="265"/>
      <c r="FO38" s="265"/>
      <c r="FP38" s="265"/>
      <c r="FQ38" s="265"/>
      <c r="FR38" s="265"/>
      <c r="FS38" s="265"/>
      <c r="FT38" s="265"/>
      <c r="FU38" s="265"/>
      <c r="FV38" s="265"/>
      <c r="FW38" s="265"/>
      <c r="FX38" s="265"/>
      <c r="FY38" s="265"/>
      <c r="FZ38" s="265"/>
      <c r="GA38" s="265"/>
      <c r="GB38" s="265"/>
      <c r="GC38" s="265"/>
      <c r="GD38" s="265"/>
      <c r="GE38" s="265"/>
      <c r="GF38" s="265"/>
      <c r="GG38" s="265"/>
      <c r="GH38" s="265"/>
      <c r="GI38" s="265"/>
      <c r="GJ38" s="265"/>
      <c r="GK38" s="265"/>
      <c r="GL38" s="265"/>
      <c r="GM38" s="265"/>
      <c r="GN38" s="265"/>
      <c r="GO38" s="265"/>
      <c r="GP38" s="265"/>
      <c r="GQ38" s="265"/>
      <c r="GR38" s="265"/>
      <c r="GS38" s="265"/>
      <c r="GT38" s="265"/>
      <c r="GU38" s="265"/>
      <c r="GV38" s="265"/>
      <c r="GW38" s="265"/>
      <c r="GX38" s="265"/>
      <c r="GY38" s="265"/>
      <c r="GZ38" s="265"/>
      <c r="HA38" s="265"/>
      <c r="HB38" s="265"/>
      <c r="HC38" s="265"/>
      <c r="HD38" s="265"/>
      <c r="HE38" s="265"/>
      <c r="HF38" s="265"/>
      <c r="HG38" s="265"/>
      <c r="HH38" s="265"/>
      <c r="HI38" s="265"/>
      <c r="HJ38" s="265"/>
      <c r="HK38" s="265"/>
      <c r="HL38" s="265"/>
      <c r="HM38" s="265"/>
      <c r="HN38" s="265"/>
      <c r="HO38" s="265"/>
      <c r="HP38" s="265"/>
      <c r="HQ38" s="265"/>
      <c r="HR38" s="265"/>
      <c r="HS38" s="265"/>
      <c r="HT38" s="265"/>
      <c r="HU38" s="265"/>
      <c r="HV38" s="265"/>
      <c r="HW38" s="265"/>
      <c r="HX38" s="265"/>
      <c r="HY38" s="265"/>
      <c r="HZ38" s="265"/>
      <c r="IA38" s="265"/>
      <c r="IB38" s="265"/>
      <c r="IC38" s="265"/>
      <c r="ID38" s="265"/>
      <c r="IE38" s="265"/>
      <c r="IF38" s="265"/>
      <c r="IG38" s="265"/>
      <c r="IH38" s="265"/>
      <c r="II38" s="265"/>
      <c r="IJ38" s="265"/>
      <c r="IK38" s="265"/>
      <c r="IL38" s="265"/>
      <c r="IM38" s="265"/>
      <c r="IN38" s="265"/>
      <c r="IO38" s="265"/>
      <c r="IP38" s="265"/>
      <c r="IQ38" s="265"/>
      <c r="IR38" s="265"/>
      <c r="IS38" s="265"/>
      <c r="IT38" s="265"/>
      <c r="IU38" s="265"/>
      <c r="IV38" s="265"/>
      <c r="IW38" s="265"/>
    </row>
    <row r="39" spans="2:257" ht="12.75" customHeight="1">
      <c r="B39" s="147" t="s">
        <v>59</v>
      </c>
      <c r="C39" s="384"/>
      <c r="D39" s="845" t="s">
        <v>1425</v>
      </c>
      <c r="E39" s="846"/>
      <c r="F39" s="846"/>
      <c r="G39" s="846"/>
      <c r="H39" s="846"/>
      <c r="I39" s="846"/>
      <c r="J39" s="846"/>
      <c r="K39" s="846"/>
      <c r="L39" s="846"/>
      <c r="M39" s="846"/>
      <c r="N39" s="846"/>
      <c r="O39" s="846"/>
      <c r="P39" s="846"/>
      <c r="Q39" s="846"/>
      <c r="R39" s="846"/>
      <c r="S39" s="846"/>
      <c r="T39" s="846"/>
      <c r="U39" s="846"/>
      <c r="V39" s="846"/>
      <c r="W39" s="846"/>
      <c r="X39" s="846"/>
      <c r="Y39" s="846"/>
      <c r="Z39" s="846"/>
      <c r="AA39" s="846"/>
      <c r="AB39" s="846"/>
      <c r="AC39" s="846"/>
      <c r="AD39" s="846"/>
      <c r="AE39" s="846"/>
      <c r="AF39" s="846"/>
      <c r="AG39" s="846"/>
      <c r="AH39" s="846"/>
      <c r="AI39" s="846"/>
      <c r="AJ39" s="846"/>
      <c r="AK39" s="846"/>
      <c r="AL39" s="846"/>
      <c r="AM39" s="847"/>
      <c r="AN39" s="108"/>
    </row>
    <row r="40" spans="2:257" ht="12.75" customHeight="1">
      <c r="B40" s="127"/>
      <c r="C40" s="95"/>
      <c r="D40" s="860" t="s">
        <v>60</v>
      </c>
      <c r="E40" s="861"/>
      <c r="F40" s="861"/>
      <c r="G40" s="861"/>
      <c r="H40" s="861"/>
      <c r="I40" s="861"/>
      <c r="J40" s="861"/>
      <c r="K40" s="861"/>
      <c r="L40" s="861"/>
      <c r="M40" s="861"/>
      <c r="N40" s="861"/>
      <c r="O40" s="861"/>
      <c r="P40" s="861"/>
      <c r="Q40" s="861"/>
      <c r="R40" s="861"/>
      <c r="S40" s="861"/>
      <c r="T40" s="861"/>
      <c r="U40" s="861"/>
      <c r="V40" s="861"/>
      <c r="W40" s="861"/>
      <c r="X40" s="861"/>
      <c r="Y40" s="861"/>
      <c r="Z40" s="861"/>
      <c r="AA40" s="861"/>
      <c r="AB40" s="861"/>
      <c r="AC40" s="861"/>
      <c r="AD40" s="861"/>
      <c r="AE40" s="861"/>
      <c r="AF40" s="861"/>
      <c r="AG40" s="861"/>
      <c r="AH40" s="861"/>
      <c r="AI40" s="861"/>
      <c r="AJ40" s="861"/>
      <c r="AK40" s="861"/>
      <c r="AL40" s="861"/>
      <c r="AM40" s="861"/>
      <c r="AN40" s="95"/>
    </row>
    <row r="41" spans="2:257" ht="8.15" customHeight="1">
      <c r="B41" s="362"/>
      <c r="C41" s="362"/>
      <c r="D41" s="362"/>
      <c r="E41" s="362"/>
      <c r="F41" s="362"/>
      <c r="G41" s="362"/>
      <c r="H41" s="362"/>
      <c r="I41" s="362"/>
      <c r="J41" s="362"/>
      <c r="K41" s="362"/>
      <c r="L41" s="362"/>
      <c r="M41" s="362"/>
      <c r="N41" s="362"/>
      <c r="O41" s="362"/>
      <c r="P41" s="362"/>
      <c r="Q41" s="362"/>
      <c r="R41" s="362"/>
      <c r="S41" s="362"/>
      <c r="T41" s="362"/>
      <c r="U41" s="362"/>
      <c r="V41" s="362"/>
      <c r="W41" s="362"/>
      <c r="X41" s="362"/>
      <c r="Y41" s="362"/>
      <c r="Z41" s="362"/>
      <c r="AA41" s="362"/>
      <c r="AB41" s="362"/>
      <c r="AC41" s="362"/>
      <c r="AD41" s="362"/>
      <c r="AE41" s="362"/>
      <c r="AF41" s="362"/>
      <c r="AG41" s="362"/>
      <c r="AH41" s="362"/>
      <c r="AI41" s="362"/>
      <c r="AJ41" s="362"/>
      <c r="AK41" s="362"/>
      <c r="AL41" s="362"/>
      <c r="AM41" s="362"/>
      <c r="AN41" s="362"/>
    </row>
    <row r="42" spans="2:257" s="373" customFormat="1" ht="8.15" customHeight="1">
      <c r="B42" s="367"/>
      <c r="C42" s="368"/>
      <c r="D42" s="372"/>
      <c r="E42" s="372"/>
      <c r="F42" s="372"/>
      <c r="G42" s="372"/>
      <c r="H42" s="372"/>
      <c r="I42" s="372"/>
      <c r="J42" s="372"/>
      <c r="K42" s="372"/>
      <c r="L42" s="372"/>
      <c r="M42" s="372"/>
      <c r="N42" s="372"/>
      <c r="O42" s="372"/>
      <c r="P42" s="372"/>
      <c r="Q42" s="372"/>
      <c r="R42" s="372"/>
      <c r="S42" s="372"/>
      <c r="T42" s="372"/>
      <c r="U42" s="372"/>
      <c r="V42" s="372"/>
      <c r="W42" s="372"/>
      <c r="X42" s="372"/>
      <c r="Y42" s="372"/>
      <c r="Z42" s="372"/>
      <c r="AA42" s="372"/>
      <c r="AB42" s="372"/>
      <c r="AC42" s="372"/>
      <c r="AD42" s="372"/>
      <c r="AE42" s="372"/>
      <c r="AF42" s="372"/>
      <c r="AG42" s="372"/>
      <c r="AH42" s="372"/>
      <c r="AI42" s="372"/>
      <c r="AJ42" s="372"/>
      <c r="AK42" s="372"/>
      <c r="AL42" s="372"/>
      <c r="AM42" s="372"/>
      <c r="AN42" s="368"/>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5"/>
      <c r="BL42" s="265"/>
      <c r="BM42" s="265"/>
      <c r="BN42" s="265"/>
      <c r="BO42" s="265"/>
      <c r="BP42" s="265"/>
      <c r="BQ42" s="265"/>
      <c r="BR42" s="265"/>
      <c r="BS42" s="265"/>
      <c r="BT42" s="265"/>
      <c r="BU42" s="265"/>
      <c r="BV42" s="265"/>
      <c r="BW42" s="265"/>
      <c r="BX42" s="265"/>
      <c r="BY42" s="265"/>
      <c r="BZ42" s="265"/>
      <c r="CA42" s="265"/>
      <c r="CB42" s="265"/>
      <c r="CC42" s="265"/>
      <c r="CD42" s="265"/>
      <c r="CE42" s="265"/>
      <c r="CF42" s="265"/>
      <c r="CG42" s="265"/>
      <c r="CH42" s="265"/>
      <c r="CI42" s="265"/>
      <c r="CJ42" s="265"/>
      <c r="CK42" s="265"/>
      <c r="CL42" s="265"/>
      <c r="CM42" s="265"/>
      <c r="CN42" s="265"/>
      <c r="CO42" s="265"/>
      <c r="CP42" s="265"/>
      <c r="CQ42" s="265"/>
      <c r="CR42" s="265"/>
      <c r="CS42" s="265"/>
      <c r="CT42" s="265"/>
      <c r="CU42" s="265"/>
      <c r="CV42" s="265"/>
      <c r="CW42" s="265"/>
      <c r="CX42" s="265"/>
      <c r="CY42" s="265"/>
      <c r="CZ42" s="265"/>
      <c r="DA42" s="265"/>
      <c r="DB42" s="265"/>
      <c r="DC42" s="265"/>
      <c r="DD42" s="265"/>
      <c r="DE42" s="265"/>
      <c r="DF42" s="265"/>
      <c r="DG42" s="265"/>
      <c r="DH42" s="265"/>
      <c r="DI42" s="265"/>
      <c r="DJ42" s="265"/>
      <c r="DK42" s="265"/>
      <c r="DL42" s="265"/>
      <c r="DM42" s="265"/>
      <c r="DN42" s="265"/>
      <c r="DO42" s="265"/>
      <c r="DP42" s="265"/>
      <c r="DQ42" s="265"/>
      <c r="DR42" s="265"/>
      <c r="DS42" s="265"/>
      <c r="DT42" s="265"/>
      <c r="DU42" s="265"/>
      <c r="DV42" s="265"/>
      <c r="DW42" s="265"/>
      <c r="DX42" s="265"/>
      <c r="DY42" s="265"/>
      <c r="DZ42" s="265"/>
      <c r="EA42" s="265"/>
      <c r="EB42" s="265"/>
      <c r="EC42" s="265"/>
      <c r="ED42" s="265"/>
      <c r="EE42" s="265"/>
      <c r="EF42" s="265"/>
      <c r="EG42" s="265"/>
      <c r="EH42" s="265"/>
      <c r="EI42" s="265"/>
      <c r="EJ42" s="265"/>
      <c r="EK42" s="265"/>
      <c r="EL42" s="265"/>
      <c r="EM42" s="265"/>
      <c r="EN42" s="265"/>
      <c r="EO42" s="265"/>
      <c r="EP42" s="265"/>
      <c r="EQ42" s="265"/>
      <c r="ER42" s="265"/>
      <c r="ES42" s="265"/>
      <c r="ET42" s="265"/>
      <c r="EU42" s="265"/>
      <c r="EV42" s="265"/>
      <c r="EW42" s="265"/>
      <c r="EX42" s="265"/>
      <c r="EY42" s="265"/>
      <c r="EZ42" s="265"/>
      <c r="FA42" s="265"/>
      <c r="FB42" s="265"/>
      <c r="FC42" s="265"/>
      <c r="FD42" s="265"/>
      <c r="FE42" s="265"/>
      <c r="FF42" s="265"/>
      <c r="FG42" s="265"/>
      <c r="FH42" s="265"/>
      <c r="FI42" s="265"/>
      <c r="FJ42" s="265"/>
      <c r="FK42" s="265"/>
      <c r="FL42" s="265"/>
      <c r="FM42" s="265"/>
      <c r="FN42" s="265"/>
      <c r="FO42" s="265"/>
      <c r="FP42" s="265"/>
      <c r="FQ42" s="265"/>
      <c r="FR42" s="265"/>
      <c r="FS42" s="265"/>
      <c r="FT42" s="265"/>
      <c r="FU42" s="265"/>
      <c r="FV42" s="265"/>
      <c r="FW42" s="265"/>
      <c r="FX42" s="265"/>
      <c r="FY42" s="265"/>
      <c r="FZ42" s="265"/>
      <c r="GA42" s="265"/>
      <c r="GB42" s="265"/>
      <c r="GC42" s="265"/>
      <c r="GD42" s="265"/>
      <c r="GE42" s="265"/>
      <c r="GF42" s="265"/>
      <c r="GG42" s="265"/>
      <c r="GH42" s="265"/>
      <c r="GI42" s="265"/>
      <c r="GJ42" s="265"/>
      <c r="GK42" s="265"/>
      <c r="GL42" s="265"/>
      <c r="GM42" s="265"/>
      <c r="GN42" s="265"/>
      <c r="GO42" s="265"/>
      <c r="GP42" s="265"/>
      <c r="GQ42" s="265"/>
      <c r="GR42" s="265"/>
      <c r="GS42" s="265"/>
      <c r="GT42" s="265"/>
      <c r="GU42" s="265"/>
      <c r="GV42" s="265"/>
      <c r="GW42" s="265"/>
      <c r="GX42" s="265"/>
      <c r="GY42" s="265"/>
      <c r="GZ42" s="265"/>
      <c r="HA42" s="265"/>
      <c r="HB42" s="265"/>
      <c r="HC42" s="265"/>
      <c r="HD42" s="265"/>
      <c r="HE42" s="265"/>
      <c r="HF42" s="265"/>
      <c r="HG42" s="265"/>
      <c r="HH42" s="265"/>
      <c r="HI42" s="265"/>
      <c r="HJ42" s="265"/>
      <c r="HK42" s="265"/>
      <c r="HL42" s="265"/>
      <c r="HM42" s="265"/>
      <c r="HN42" s="265"/>
      <c r="HO42" s="265"/>
      <c r="HP42" s="265"/>
      <c r="HQ42" s="265"/>
      <c r="HR42" s="265"/>
      <c r="HS42" s="265"/>
      <c r="HT42" s="265"/>
      <c r="HU42" s="265"/>
      <c r="HV42" s="265"/>
      <c r="HW42" s="265"/>
      <c r="HX42" s="265"/>
      <c r="HY42" s="265"/>
      <c r="HZ42" s="265"/>
      <c r="IA42" s="265"/>
      <c r="IB42" s="265"/>
      <c r="IC42" s="265"/>
      <c r="ID42" s="265"/>
      <c r="IE42" s="265"/>
      <c r="IF42" s="265"/>
      <c r="IG42" s="265"/>
      <c r="IH42" s="265"/>
      <c r="II42" s="265"/>
      <c r="IJ42" s="265"/>
      <c r="IK42" s="265"/>
      <c r="IL42" s="265"/>
      <c r="IM42" s="265"/>
      <c r="IN42" s="265"/>
      <c r="IO42" s="265"/>
      <c r="IP42" s="265"/>
      <c r="IQ42" s="265"/>
      <c r="IR42" s="265"/>
      <c r="IS42" s="265"/>
      <c r="IT42" s="265"/>
      <c r="IU42" s="265"/>
      <c r="IV42" s="265"/>
      <c r="IW42" s="265"/>
    </row>
    <row r="43" spans="2:257" ht="12.75" customHeight="1">
      <c r="B43" s="147" t="s">
        <v>61</v>
      </c>
      <c r="C43" s="384"/>
      <c r="D43" s="871" t="s">
        <v>1432</v>
      </c>
      <c r="E43" s="869"/>
      <c r="F43" s="869"/>
      <c r="G43" s="869"/>
      <c r="H43" s="869"/>
      <c r="I43" s="869"/>
      <c r="J43" s="869"/>
      <c r="K43" s="869"/>
      <c r="L43" s="869"/>
      <c r="M43" s="869"/>
      <c r="N43" s="869"/>
      <c r="O43" s="869"/>
      <c r="P43" s="869"/>
      <c r="Q43" s="869"/>
      <c r="R43" s="869"/>
      <c r="S43" s="869"/>
      <c r="T43" s="869"/>
      <c r="U43" s="869"/>
      <c r="V43" s="869"/>
      <c r="W43" s="869"/>
      <c r="X43" s="869"/>
      <c r="Y43" s="869"/>
      <c r="Z43" s="869"/>
      <c r="AA43" s="869"/>
      <c r="AB43" s="869"/>
      <c r="AC43" s="869"/>
      <c r="AD43" s="870"/>
      <c r="AE43" s="859"/>
      <c r="AF43" s="846"/>
      <c r="AG43" s="846"/>
      <c r="AH43" s="846"/>
      <c r="AI43" s="846"/>
      <c r="AJ43" s="846"/>
      <c r="AK43" s="846"/>
      <c r="AL43" s="846"/>
      <c r="AM43" s="847"/>
      <c r="AN43" s="108"/>
    </row>
    <row r="44" spans="2:257" ht="12.75" customHeight="1">
      <c r="B44" s="127"/>
      <c r="C44" s="95"/>
      <c r="D44" s="860" t="s">
        <v>62</v>
      </c>
      <c r="E44" s="861"/>
      <c r="F44" s="861"/>
      <c r="G44" s="861"/>
      <c r="H44" s="861"/>
      <c r="I44" s="861"/>
      <c r="J44" s="861"/>
      <c r="K44" s="861"/>
      <c r="L44" s="861"/>
      <c r="M44" s="861"/>
      <c r="N44" s="861"/>
      <c r="O44" s="861"/>
      <c r="P44" s="861"/>
      <c r="Q44" s="861"/>
      <c r="R44" s="861"/>
      <c r="S44" s="861"/>
      <c r="T44" s="861"/>
      <c r="U44" s="861"/>
      <c r="V44" s="861"/>
      <c r="W44" s="861"/>
      <c r="X44" s="861"/>
      <c r="Y44" s="861"/>
      <c r="Z44" s="861"/>
      <c r="AA44" s="861"/>
      <c r="AB44" s="861"/>
      <c r="AC44" s="861"/>
      <c r="AD44" s="861"/>
      <c r="AE44" s="860" t="s">
        <v>63</v>
      </c>
      <c r="AF44" s="861"/>
      <c r="AG44" s="861"/>
      <c r="AH44" s="861"/>
      <c r="AI44" s="861"/>
      <c r="AJ44" s="861"/>
      <c r="AK44" s="861"/>
      <c r="AL44" s="861"/>
      <c r="AM44" s="861"/>
      <c r="AN44" s="95"/>
    </row>
    <row r="45" spans="2:257" ht="8.15" customHeight="1">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95"/>
    </row>
    <row r="46" spans="2:257" ht="8.15" customHeight="1">
      <c r="B46" s="95"/>
      <c r="C46" s="385"/>
      <c r="D46" s="386"/>
      <c r="E46" s="362"/>
      <c r="F46" s="362"/>
      <c r="G46" s="362"/>
      <c r="H46" s="362"/>
      <c r="I46" s="362"/>
      <c r="J46" s="362"/>
      <c r="K46" s="362"/>
      <c r="L46" s="362"/>
      <c r="M46" s="362"/>
      <c r="N46" s="362"/>
      <c r="O46" s="362"/>
      <c r="P46" s="362"/>
      <c r="Q46" s="362"/>
      <c r="R46" s="362"/>
      <c r="S46" s="362"/>
      <c r="T46" s="362"/>
      <c r="U46" s="362"/>
      <c r="V46" s="362"/>
      <c r="W46" s="362"/>
      <c r="X46" s="362"/>
      <c r="Y46" s="362"/>
      <c r="Z46" s="362"/>
      <c r="AA46" s="362"/>
      <c r="AB46" s="362"/>
      <c r="AC46" s="362"/>
      <c r="AD46" s="362"/>
      <c r="AE46" s="362"/>
      <c r="AF46" s="362"/>
      <c r="AG46" s="362"/>
      <c r="AH46" s="362"/>
      <c r="AI46" s="362"/>
      <c r="AJ46" s="362"/>
      <c r="AK46" s="362"/>
      <c r="AL46" s="362"/>
      <c r="AM46" s="387"/>
      <c r="AN46" s="388"/>
    </row>
    <row r="47" spans="2:257" ht="12.75" customHeight="1">
      <c r="B47" s="95"/>
      <c r="C47" s="131"/>
      <c r="D47" s="871" t="s">
        <v>1433</v>
      </c>
      <c r="E47" s="869"/>
      <c r="F47" s="869"/>
      <c r="G47" s="869"/>
      <c r="H47" s="869"/>
      <c r="I47" s="869"/>
      <c r="J47" s="869"/>
      <c r="K47" s="869"/>
      <c r="L47" s="869"/>
      <c r="M47" s="869"/>
      <c r="N47" s="869"/>
      <c r="O47" s="869"/>
      <c r="P47" s="869"/>
      <c r="Q47" s="869"/>
      <c r="R47" s="869"/>
      <c r="S47" s="869"/>
      <c r="T47" s="869"/>
      <c r="U47" s="869"/>
      <c r="V47" s="869"/>
      <c r="W47" s="869"/>
      <c r="X47" s="869"/>
      <c r="Y47" s="869"/>
      <c r="Z47" s="869"/>
      <c r="AA47" s="869"/>
      <c r="AB47" s="869"/>
      <c r="AC47" s="869"/>
      <c r="AD47" s="869"/>
      <c r="AE47" s="869"/>
      <c r="AF47" s="869"/>
      <c r="AG47" s="869"/>
      <c r="AH47" s="869"/>
      <c r="AI47" s="869"/>
      <c r="AJ47" s="869"/>
      <c r="AK47" s="869"/>
      <c r="AL47" s="869"/>
      <c r="AM47" s="870"/>
      <c r="AN47" s="108"/>
    </row>
    <row r="48" spans="2:257" ht="12.75" customHeight="1">
      <c r="B48" s="95"/>
      <c r="C48" s="95"/>
      <c r="D48" s="860" t="s">
        <v>64</v>
      </c>
      <c r="E48" s="861"/>
      <c r="F48" s="861"/>
      <c r="G48" s="861"/>
      <c r="H48" s="861"/>
      <c r="I48" s="861"/>
      <c r="J48" s="861"/>
      <c r="K48" s="861"/>
      <c r="L48" s="861"/>
      <c r="M48" s="861"/>
      <c r="N48" s="861"/>
      <c r="O48" s="861"/>
      <c r="P48" s="861"/>
      <c r="Q48" s="861"/>
      <c r="R48" s="861"/>
      <c r="S48" s="861"/>
      <c r="T48" s="861"/>
      <c r="U48" s="861"/>
      <c r="V48" s="861"/>
      <c r="W48" s="861"/>
      <c r="X48" s="861"/>
      <c r="Y48" s="861"/>
      <c r="Z48" s="861"/>
      <c r="AA48" s="861"/>
      <c r="AB48" s="861"/>
      <c r="AC48" s="861"/>
      <c r="AD48" s="861"/>
      <c r="AE48" s="861"/>
      <c r="AF48" s="861"/>
      <c r="AG48" s="861"/>
      <c r="AH48" s="861"/>
      <c r="AI48" s="861"/>
      <c r="AJ48" s="861"/>
      <c r="AK48" s="861"/>
      <c r="AL48" s="861"/>
      <c r="AM48" s="861"/>
      <c r="AN48" s="95"/>
    </row>
    <row r="49" spans="2:40" ht="8.15" customHeight="1">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95"/>
    </row>
    <row r="50" spans="2:40" ht="8.15" customHeight="1">
      <c r="B50" s="95"/>
      <c r="C50" s="385"/>
      <c r="D50" s="386"/>
      <c r="E50" s="362"/>
      <c r="F50" s="362"/>
      <c r="G50" s="362"/>
      <c r="H50" s="362"/>
      <c r="I50" s="362"/>
      <c r="J50" s="362"/>
      <c r="K50" s="362"/>
      <c r="L50" s="362"/>
      <c r="M50" s="362"/>
      <c r="N50" s="362"/>
      <c r="O50" s="362"/>
      <c r="P50" s="362"/>
      <c r="Q50" s="362"/>
      <c r="R50" s="362"/>
      <c r="S50" s="362"/>
      <c r="T50" s="362"/>
      <c r="U50" s="362"/>
      <c r="V50" s="362"/>
      <c r="W50" s="362"/>
      <c r="X50" s="362"/>
      <c r="Y50" s="362"/>
      <c r="Z50" s="362"/>
      <c r="AA50" s="362"/>
      <c r="AB50" s="362"/>
      <c r="AC50" s="362"/>
      <c r="AD50" s="362"/>
      <c r="AE50" s="362"/>
      <c r="AF50" s="362"/>
      <c r="AG50" s="362"/>
      <c r="AH50" s="362"/>
      <c r="AI50" s="362"/>
      <c r="AJ50" s="362"/>
      <c r="AK50" s="362"/>
      <c r="AL50" s="362"/>
      <c r="AM50" s="387"/>
      <c r="AN50" s="388"/>
    </row>
    <row r="51" spans="2:40" ht="12.75" customHeight="1">
      <c r="B51" s="95"/>
      <c r="C51" s="131"/>
      <c r="D51" s="871" t="s">
        <v>1434</v>
      </c>
      <c r="E51" s="872"/>
      <c r="F51" s="872"/>
      <c r="G51" s="872"/>
      <c r="H51" s="872"/>
      <c r="I51" s="872"/>
      <c r="J51" s="872"/>
      <c r="K51" s="872"/>
      <c r="L51" s="872"/>
      <c r="M51" s="872"/>
      <c r="N51" s="872"/>
      <c r="O51" s="872"/>
      <c r="P51" s="872"/>
      <c r="Q51" s="872"/>
      <c r="R51" s="872"/>
      <c r="S51" s="872"/>
      <c r="T51" s="872"/>
      <c r="U51" s="872"/>
      <c r="V51" s="872"/>
      <c r="W51" s="872"/>
      <c r="X51" s="872"/>
      <c r="Y51" s="872"/>
      <c r="Z51" s="872"/>
      <c r="AA51" s="872"/>
      <c r="AB51" s="872"/>
      <c r="AC51" s="872"/>
      <c r="AD51" s="872"/>
      <c r="AE51" s="872"/>
      <c r="AF51" s="872"/>
      <c r="AG51" s="872"/>
      <c r="AH51" s="872"/>
      <c r="AI51" s="872"/>
      <c r="AJ51" s="872"/>
      <c r="AK51" s="872"/>
      <c r="AL51" s="872"/>
      <c r="AM51" s="873"/>
      <c r="AN51" s="108"/>
    </row>
    <row r="52" spans="2:40" ht="26.25" customHeight="1">
      <c r="B52" s="95"/>
      <c r="C52" s="95"/>
      <c r="D52" s="874" t="s">
        <v>65</v>
      </c>
      <c r="E52" s="875"/>
      <c r="F52" s="875"/>
      <c r="G52" s="875"/>
      <c r="H52" s="875"/>
      <c r="I52" s="875"/>
      <c r="J52" s="875"/>
      <c r="K52" s="875"/>
      <c r="L52" s="875"/>
      <c r="M52" s="875"/>
      <c r="N52" s="875"/>
      <c r="O52" s="875"/>
      <c r="P52" s="875"/>
      <c r="Q52" s="875"/>
      <c r="R52" s="875"/>
      <c r="S52" s="875"/>
      <c r="T52" s="875"/>
      <c r="U52" s="875"/>
      <c r="V52" s="875"/>
      <c r="W52" s="875"/>
      <c r="X52" s="875"/>
      <c r="Y52" s="875"/>
      <c r="Z52" s="875"/>
      <c r="AA52" s="875"/>
      <c r="AB52" s="875"/>
      <c r="AC52" s="875"/>
      <c r="AD52" s="875"/>
      <c r="AE52" s="875"/>
      <c r="AF52" s="875"/>
      <c r="AG52" s="875"/>
      <c r="AH52" s="875"/>
      <c r="AI52" s="875"/>
      <c r="AJ52" s="875"/>
      <c r="AK52" s="875"/>
      <c r="AL52" s="875"/>
      <c r="AM52" s="875"/>
      <c r="AN52" s="95"/>
    </row>
    <row r="53" spans="2:40" ht="8.15" customHeight="1">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row>
    <row r="54" spans="2:40" ht="8.15" customHeight="1">
      <c r="B54" s="95"/>
      <c r="C54" s="385"/>
      <c r="D54" s="386"/>
      <c r="E54" s="362"/>
      <c r="F54" s="362"/>
      <c r="G54" s="362"/>
      <c r="H54" s="362"/>
      <c r="I54" s="362"/>
      <c r="J54" s="362"/>
      <c r="K54" s="362"/>
      <c r="L54" s="362"/>
      <c r="M54" s="362"/>
      <c r="N54" s="362"/>
      <c r="O54" s="362"/>
      <c r="P54" s="362"/>
      <c r="Q54" s="362"/>
      <c r="R54" s="389"/>
      <c r="S54" s="362"/>
      <c r="T54" s="362"/>
      <c r="U54" s="362"/>
      <c r="V54" s="362"/>
      <c r="W54" s="362"/>
      <c r="X54" s="362"/>
      <c r="Y54" s="362"/>
      <c r="Z54" s="362"/>
      <c r="AA54" s="362"/>
      <c r="AB54" s="362"/>
      <c r="AC54" s="362"/>
      <c r="AD54" s="362"/>
      <c r="AE54" s="362"/>
      <c r="AF54" s="362"/>
      <c r="AG54" s="362"/>
      <c r="AH54" s="362"/>
      <c r="AI54" s="362"/>
      <c r="AJ54" s="362"/>
      <c r="AK54" s="362"/>
      <c r="AL54" s="362"/>
      <c r="AM54" s="387"/>
      <c r="AN54" s="388"/>
    </row>
    <row r="55" spans="2:40" ht="12.75" customHeight="1">
      <c r="B55" s="95"/>
      <c r="C55" s="131"/>
      <c r="D55" s="871" t="s">
        <v>1435</v>
      </c>
      <c r="E55" s="872"/>
      <c r="F55" s="872"/>
      <c r="G55" s="872"/>
      <c r="H55" s="872"/>
      <c r="I55" s="872"/>
      <c r="J55" s="872"/>
      <c r="K55" s="872"/>
      <c r="L55" s="872"/>
      <c r="M55" s="872"/>
      <c r="N55" s="872"/>
      <c r="O55" s="872"/>
      <c r="P55" s="872"/>
      <c r="Q55" s="872"/>
      <c r="R55" s="872"/>
      <c r="S55" s="872"/>
      <c r="T55" s="872"/>
      <c r="U55" s="872"/>
      <c r="V55" s="872"/>
      <c r="W55" s="872"/>
      <c r="X55" s="872"/>
      <c r="Y55" s="872"/>
      <c r="Z55" s="872"/>
      <c r="AA55" s="872"/>
      <c r="AB55" s="872"/>
      <c r="AC55" s="872"/>
      <c r="AD55" s="872"/>
      <c r="AE55" s="872"/>
      <c r="AF55" s="872"/>
      <c r="AG55" s="872"/>
      <c r="AH55" s="872"/>
      <c r="AI55" s="872"/>
      <c r="AJ55" s="872"/>
      <c r="AK55" s="872"/>
      <c r="AL55" s="872"/>
      <c r="AM55" s="873"/>
      <c r="AN55" s="108"/>
    </row>
    <row r="56" spans="2:40" ht="15" customHeight="1">
      <c r="B56" s="95"/>
      <c r="C56" s="95"/>
      <c r="D56" s="860" t="s">
        <v>66</v>
      </c>
      <c r="E56" s="861"/>
      <c r="F56" s="861"/>
      <c r="G56" s="861"/>
      <c r="H56" s="861"/>
      <c r="I56" s="861"/>
      <c r="J56" s="861"/>
      <c r="K56" s="861"/>
      <c r="L56" s="861"/>
      <c r="M56" s="861"/>
      <c r="N56" s="861"/>
      <c r="O56" s="861"/>
      <c r="P56" s="861"/>
      <c r="Q56" s="861"/>
      <c r="R56" s="861"/>
      <c r="S56" s="861"/>
      <c r="T56" s="861"/>
      <c r="U56" s="861"/>
      <c r="V56" s="861"/>
      <c r="W56" s="861"/>
      <c r="X56" s="861"/>
      <c r="Y56" s="861"/>
      <c r="Z56" s="861"/>
      <c r="AA56" s="861"/>
      <c r="AB56" s="861"/>
      <c r="AC56" s="861"/>
      <c r="AD56" s="861"/>
      <c r="AE56" s="861"/>
      <c r="AF56" s="861"/>
      <c r="AG56" s="861"/>
      <c r="AH56" s="861"/>
      <c r="AI56" s="861"/>
      <c r="AJ56" s="861"/>
      <c r="AK56" s="861"/>
      <c r="AL56" s="861"/>
      <c r="AM56" s="861"/>
      <c r="AN56" s="95"/>
    </row>
    <row r="57" spans="2:40" ht="15" customHeight="1">
      <c r="B57" s="95"/>
      <c r="C57" s="385"/>
      <c r="D57" s="390"/>
      <c r="E57" s="555"/>
      <c r="F57" s="555"/>
      <c r="G57" s="555"/>
      <c r="H57" s="555"/>
      <c r="I57" s="555"/>
      <c r="J57" s="555"/>
      <c r="K57" s="555"/>
      <c r="L57" s="555"/>
      <c r="M57" s="555"/>
      <c r="N57" s="555"/>
      <c r="O57" s="555"/>
      <c r="P57" s="555"/>
      <c r="Q57" s="555"/>
      <c r="R57" s="555"/>
      <c r="S57" s="555"/>
      <c r="T57" s="555"/>
      <c r="U57" s="555"/>
      <c r="V57" s="555"/>
      <c r="W57" s="555"/>
      <c r="X57" s="555"/>
      <c r="Y57" s="555"/>
      <c r="Z57" s="555"/>
      <c r="AA57" s="555"/>
      <c r="AB57" s="555"/>
      <c r="AC57" s="555"/>
      <c r="AD57" s="555"/>
      <c r="AE57" s="555"/>
      <c r="AF57" s="555"/>
      <c r="AG57" s="555"/>
      <c r="AH57" s="555"/>
      <c r="AI57" s="555"/>
      <c r="AJ57" s="555"/>
      <c r="AK57" s="555"/>
      <c r="AL57" s="555"/>
      <c r="AM57" s="556"/>
      <c r="AN57" s="388"/>
    </row>
    <row r="58" spans="2:40" ht="12.75" customHeight="1">
      <c r="B58" s="95"/>
      <c r="C58" s="131"/>
      <c r="D58" s="579" t="s">
        <v>1436</v>
      </c>
      <c r="E58" s="558"/>
      <c r="F58" s="558"/>
      <c r="G58" s="558"/>
      <c r="H58" s="558"/>
      <c r="I58" s="558"/>
      <c r="J58" s="558"/>
      <c r="K58" s="558"/>
      <c r="L58" s="558"/>
      <c r="M58" s="558"/>
      <c r="N58" s="558"/>
      <c r="O58" s="558"/>
      <c r="P58" s="558"/>
      <c r="Q58" s="558"/>
      <c r="R58" s="558"/>
      <c r="S58" s="558"/>
      <c r="T58" s="558"/>
      <c r="U58" s="558"/>
      <c r="V58" s="558"/>
      <c r="W58" s="558"/>
      <c r="X58" s="558"/>
      <c r="Y58" s="558"/>
      <c r="Z58" s="558"/>
      <c r="AA58" s="558"/>
      <c r="AB58" s="558"/>
      <c r="AC58" s="558"/>
      <c r="AD58" s="558"/>
      <c r="AE58" s="558"/>
      <c r="AF58" s="558"/>
      <c r="AG58" s="558"/>
      <c r="AH58" s="558"/>
      <c r="AI58" s="558"/>
      <c r="AJ58" s="558"/>
      <c r="AK58" s="558"/>
      <c r="AL58" s="558"/>
      <c r="AM58" s="559"/>
      <c r="AN58" s="108"/>
    </row>
    <row r="59" spans="2:40" ht="8.15" customHeight="1">
      <c r="B59" s="95"/>
      <c r="C59" s="95"/>
      <c r="D59" s="127"/>
      <c r="E59" s="127"/>
      <c r="F59" s="127"/>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c r="AH59" s="127"/>
      <c r="AI59" s="127"/>
      <c r="AJ59" s="127"/>
      <c r="AK59" s="127"/>
      <c r="AL59" s="127"/>
      <c r="AM59" s="127"/>
      <c r="AN59" s="95"/>
    </row>
    <row r="60" spans="2:40" ht="8.15" customHeight="1">
      <c r="B60" s="95"/>
      <c r="C60" s="95"/>
      <c r="D60" s="263"/>
      <c r="E60" s="263"/>
      <c r="F60" s="263"/>
      <c r="G60" s="263"/>
      <c r="H60" s="263"/>
      <c r="I60" s="263"/>
      <c r="J60" s="263"/>
      <c r="K60" s="263"/>
      <c r="L60" s="263"/>
      <c r="M60" s="263"/>
      <c r="N60" s="263"/>
      <c r="O60" s="263"/>
      <c r="P60" s="263"/>
      <c r="Q60" s="263"/>
      <c r="R60" s="263"/>
      <c r="S60" s="263"/>
      <c r="T60" s="263"/>
      <c r="U60" s="263"/>
      <c r="V60" s="263"/>
      <c r="W60" s="263"/>
      <c r="X60" s="263"/>
      <c r="Y60" s="263"/>
      <c r="Z60" s="263"/>
      <c r="AA60" s="263"/>
      <c r="AB60" s="263"/>
      <c r="AC60" s="263"/>
      <c r="AD60" s="263"/>
      <c r="AE60" s="263"/>
      <c r="AF60" s="263"/>
      <c r="AG60" s="263"/>
      <c r="AH60" s="263"/>
      <c r="AI60" s="263"/>
      <c r="AJ60" s="263"/>
      <c r="AK60" s="263"/>
      <c r="AL60" s="263"/>
      <c r="AM60" s="263"/>
      <c r="AN60" s="95"/>
    </row>
    <row r="61" spans="2:40" ht="8.15" customHeight="1">
      <c r="B61" s="95"/>
      <c r="C61" s="95"/>
      <c r="D61" s="95"/>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95"/>
      <c r="AF61" s="95"/>
      <c r="AG61" s="95"/>
      <c r="AH61" s="95"/>
      <c r="AI61" s="95"/>
      <c r="AJ61" s="95"/>
      <c r="AK61" s="95"/>
      <c r="AL61" s="95"/>
      <c r="AM61" s="95"/>
      <c r="AN61" s="95"/>
    </row>
    <row r="62" spans="2:40" ht="8.15" customHeight="1">
      <c r="B62" s="131"/>
      <c r="C62" s="391"/>
      <c r="D62" s="124"/>
      <c r="E62" s="117"/>
      <c r="F62" s="117"/>
      <c r="G62" s="117"/>
      <c r="H62" s="117"/>
      <c r="I62" s="117"/>
      <c r="J62" s="124"/>
      <c r="K62" s="117"/>
      <c r="L62" s="117"/>
      <c r="M62" s="117"/>
      <c r="N62" s="124"/>
      <c r="O62" s="117"/>
      <c r="P62" s="117"/>
      <c r="Q62" s="117"/>
      <c r="R62" s="117"/>
      <c r="S62" s="124"/>
      <c r="T62" s="117"/>
      <c r="U62" s="117"/>
      <c r="V62" s="117"/>
      <c r="W62" s="118"/>
      <c r="X62" s="120"/>
      <c r="Y62" s="124"/>
      <c r="Z62" s="117"/>
      <c r="AA62" s="117"/>
      <c r="AB62" s="117"/>
      <c r="AC62" s="117"/>
      <c r="AD62" s="117"/>
      <c r="AE62" s="379"/>
      <c r="AF62" s="117"/>
      <c r="AG62" s="117"/>
      <c r="AH62" s="117"/>
      <c r="AI62" s="117"/>
      <c r="AJ62" s="379"/>
      <c r="AK62" s="117"/>
      <c r="AL62" s="117"/>
      <c r="AM62" s="117"/>
      <c r="AN62" s="95"/>
    </row>
    <row r="63" spans="2:40" ht="18.75" customHeight="1">
      <c r="B63" s="131"/>
      <c r="C63" s="392"/>
      <c r="D63" s="147"/>
      <c r="E63" s="393" t="s">
        <v>67</v>
      </c>
      <c r="F63" s="121"/>
      <c r="G63" s="117"/>
      <c r="H63" s="117"/>
      <c r="I63" s="118"/>
      <c r="J63" s="394"/>
      <c r="K63" s="876" t="s">
        <v>68</v>
      </c>
      <c r="L63" s="877"/>
      <c r="M63" s="395"/>
      <c r="N63" s="394"/>
      <c r="O63" s="876" t="s">
        <v>69</v>
      </c>
      <c r="P63" s="877"/>
      <c r="Q63" s="877"/>
      <c r="R63" s="118"/>
      <c r="S63" s="750" t="s">
        <v>18</v>
      </c>
      <c r="T63" s="876" t="s">
        <v>70</v>
      </c>
      <c r="U63" s="877"/>
      <c r="V63" s="877"/>
      <c r="W63" s="118"/>
      <c r="X63" s="119"/>
      <c r="Y63" s="396"/>
      <c r="Z63" s="393" t="s">
        <v>67</v>
      </c>
      <c r="AA63" s="121"/>
      <c r="AB63" s="117"/>
      <c r="AC63" s="117"/>
      <c r="AD63" s="397"/>
      <c r="AE63" s="373"/>
      <c r="AF63" s="394"/>
      <c r="AG63" s="393" t="s">
        <v>71</v>
      </c>
      <c r="AH63" s="117"/>
      <c r="AI63" s="385"/>
      <c r="AJ63" s="398"/>
      <c r="AK63" s="580" t="s">
        <v>18</v>
      </c>
      <c r="AL63" s="393" t="s">
        <v>72</v>
      </c>
      <c r="AM63" s="118"/>
      <c r="AN63" s="108"/>
    </row>
    <row r="64" spans="2:40" ht="8.15" customHeight="1">
      <c r="B64" s="131"/>
      <c r="C64" s="399"/>
      <c r="D64" s="106"/>
      <c r="E64" s="124"/>
      <c r="F64" s="124"/>
      <c r="G64" s="124"/>
      <c r="H64" s="124"/>
      <c r="I64" s="124"/>
      <c r="J64" s="106"/>
      <c r="K64" s="124"/>
      <c r="L64" s="124"/>
      <c r="M64" s="124"/>
      <c r="N64" s="106"/>
      <c r="O64" s="124"/>
      <c r="P64" s="124"/>
      <c r="Q64" s="124"/>
      <c r="R64" s="124"/>
      <c r="S64" s="106"/>
      <c r="T64" s="124"/>
      <c r="U64" s="124"/>
      <c r="V64" s="124"/>
      <c r="W64" s="125"/>
      <c r="X64" s="126"/>
      <c r="Y64" s="106"/>
      <c r="Z64" s="124"/>
      <c r="AA64" s="124"/>
      <c r="AB64" s="124"/>
      <c r="AC64" s="124"/>
      <c r="AD64" s="124"/>
      <c r="AE64" s="400"/>
      <c r="AF64" s="124"/>
      <c r="AG64" s="124"/>
      <c r="AH64" s="124"/>
      <c r="AI64" s="124"/>
      <c r="AJ64" s="400"/>
      <c r="AK64" s="124"/>
      <c r="AL64" s="124"/>
      <c r="AM64" s="125"/>
      <c r="AN64" s="108"/>
    </row>
    <row r="65" spans="2:40" ht="22.5" customHeight="1">
      <c r="B65" s="95"/>
      <c r="C65" s="878" t="s">
        <v>73</v>
      </c>
      <c r="D65" s="879"/>
      <c r="E65" s="879"/>
      <c r="F65" s="879"/>
      <c r="G65" s="879"/>
      <c r="H65" s="879"/>
      <c r="I65" s="879"/>
      <c r="J65" s="879"/>
      <c r="K65" s="879"/>
      <c r="L65" s="879"/>
      <c r="M65" s="879"/>
      <c r="N65" s="879"/>
      <c r="O65" s="879"/>
      <c r="P65" s="879"/>
      <c r="Q65" s="879"/>
      <c r="R65" s="879"/>
      <c r="S65" s="879"/>
      <c r="T65" s="879"/>
      <c r="U65" s="879"/>
      <c r="V65" s="879"/>
      <c r="W65" s="879"/>
      <c r="X65" s="880" t="s">
        <v>74</v>
      </c>
      <c r="Y65" s="881"/>
      <c r="Z65" s="881"/>
      <c r="AA65" s="881"/>
      <c r="AB65" s="881"/>
      <c r="AC65" s="881"/>
      <c r="AD65" s="881"/>
      <c r="AE65" s="881"/>
      <c r="AF65" s="881"/>
      <c r="AG65" s="881"/>
      <c r="AH65" s="881"/>
      <c r="AI65" s="881"/>
      <c r="AJ65" s="881"/>
      <c r="AK65" s="881"/>
      <c r="AL65" s="881"/>
      <c r="AM65" s="881"/>
      <c r="AN65" s="95"/>
    </row>
    <row r="66" spans="2:40" ht="10.15" customHeight="1">
      <c r="B66" s="95"/>
      <c r="C66" s="95"/>
      <c r="D66" s="95"/>
      <c r="E66" s="95"/>
      <c r="F66" s="95"/>
      <c r="G66" s="95"/>
      <c r="H66" s="95"/>
      <c r="I66" s="95"/>
      <c r="J66" s="95"/>
      <c r="K66" s="95"/>
      <c r="L66" s="95"/>
      <c r="M66" s="95"/>
      <c r="N66" s="95"/>
      <c r="O66" s="95"/>
      <c r="P66" s="95"/>
      <c r="Q66" s="95"/>
      <c r="R66" s="95"/>
      <c r="S66" s="385"/>
      <c r="T66" s="388"/>
      <c r="U66" s="95"/>
      <c r="V66" s="95"/>
      <c r="W66" s="95"/>
      <c r="X66" s="95"/>
      <c r="Y66" s="95"/>
      <c r="Z66" s="95"/>
      <c r="AA66" s="95"/>
      <c r="AB66" s="95"/>
      <c r="AC66" s="95"/>
      <c r="AD66" s="95"/>
      <c r="AE66" s="95"/>
      <c r="AF66" s="95"/>
      <c r="AG66" s="95"/>
      <c r="AH66" s="95"/>
      <c r="AI66" s="95"/>
      <c r="AJ66" s="95"/>
      <c r="AK66" s="95"/>
      <c r="AL66" s="95"/>
      <c r="AM66" s="95"/>
      <c r="AN66" s="388"/>
    </row>
    <row r="67" spans="2:40" ht="10.15" customHeight="1">
      <c r="B67" s="95"/>
      <c r="C67" s="385"/>
      <c r="D67" s="386"/>
      <c r="E67" s="362"/>
      <c r="F67" s="362"/>
      <c r="G67" s="362"/>
      <c r="H67" s="362"/>
      <c r="I67" s="362"/>
      <c r="J67" s="362"/>
      <c r="K67" s="362"/>
      <c r="L67" s="362"/>
      <c r="M67" s="362"/>
      <c r="N67" s="362"/>
      <c r="O67" s="362"/>
      <c r="P67" s="362"/>
      <c r="Q67" s="387"/>
      <c r="R67" s="388"/>
      <c r="S67" s="385"/>
      <c r="T67" s="401"/>
      <c r="U67" s="101"/>
      <c r="V67" s="101"/>
      <c r="W67" s="101"/>
      <c r="X67" s="101"/>
      <c r="Y67" s="101"/>
      <c r="Z67" s="101"/>
      <c r="AA67" s="101"/>
      <c r="AB67" s="101"/>
      <c r="AC67" s="101"/>
      <c r="AD67" s="101"/>
      <c r="AE67" s="101"/>
      <c r="AF67" s="101"/>
      <c r="AG67" s="101"/>
      <c r="AH67" s="101"/>
      <c r="AI67" s="101"/>
      <c r="AJ67" s="101"/>
      <c r="AK67" s="101"/>
      <c r="AL67" s="101"/>
      <c r="AM67" s="101"/>
      <c r="AN67" s="388"/>
    </row>
    <row r="68" spans="2:40" ht="12.75" customHeight="1">
      <c r="B68" s="95"/>
      <c r="C68" s="131"/>
      <c r="D68" s="871" t="s">
        <v>1437</v>
      </c>
      <c r="E68" s="869"/>
      <c r="F68" s="869"/>
      <c r="G68" s="869"/>
      <c r="H68" s="869"/>
      <c r="I68" s="869"/>
      <c r="J68" s="869"/>
      <c r="K68" s="869"/>
      <c r="L68" s="869"/>
      <c r="M68" s="869"/>
      <c r="N68" s="869"/>
      <c r="O68" s="869"/>
      <c r="P68" s="869"/>
      <c r="Q68" s="870"/>
      <c r="R68" s="108"/>
      <c r="S68" s="131"/>
      <c r="T68" s="882" t="s">
        <v>75</v>
      </c>
      <c r="U68" s="883"/>
      <c r="V68" s="883"/>
      <c r="W68" s="883"/>
      <c r="X68" s="883"/>
      <c r="Y68" s="883"/>
      <c r="Z68" s="883"/>
      <c r="AA68" s="883"/>
      <c r="AB68" s="883"/>
      <c r="AC68" s="883"/>
      <c r="AD68" s="883"/>
      <c r="AE68" s="883"/>
      <c r="AF68" s="883"/>
      <c r="AG68" s="883"/>
      <c r="AH68" s="883"/>
      <c r="AI68" s="883"/>
      <c r="AJ68" s="883"/>
      <c r="AK68" s="883"/>
      <c r="AL68" s="883"/>
      <c r="AM68" s="884"/>
      <c r="AN68" s="108"/>
    </row>
    <row r="69" spans="2:40" ht="12.75" customHeight="1">
      <c r="B69" s="95"/>
      <c r="C69" s="95"/>
      <c r="D69" s="860" t="s">
        <v>76</v>
      </c>
      <c r="E69" s="861"/>
      <c r="F69" s="861"/>
      <c r="G69" s="861"/>
      <c r="H69" s="861"/>
      <c r="I69" s="861"/>
      <c r="J69" s="861"/>
      <c r="K69" s="861"/>
      <c r="L69" s="861"/>
      <c r="M69" s="861"/>
      <c r="N69" s="861"/>
      <c r="O69" s="861"/>
      <c r="P69" s="861"/>
      <c r="Q69" s="861"/>
      <c r="R69" s="95"/>
      <c r="S69" s="131"/>
      <c r="T69" s="894" t="s">
        <v>77</v>
      </c>
      <c r="U69" s="895"/>
      <c r="V69" s="895"/>
      <c r="W69" s="895"/>
      <c r="X69" s="895"/>
      <c r="Y69" s="895"/>
      <c r="Z69" s="895"/>
      <c r="AA69" s="895"/>
      <c r="AB69" s="895"/>
      <c r="AC69" s="896"/>
      <c r="AD69" s="894" t="s">
        <v>78</v>
      </c>
      <c r="AE69" s="895"/>
      <c r="AF69" s="895"/>
      <c r="AG69" s="895"/>
      <c r="AH69" s="895"/>
      <c r="AI69" s="895"/>
      <c r="AJ69" s="895"/>
      <c r="AK69" s="895"/>
      <c r="AL69" s="895"/>
      <c r="AM69" s="896"/>
      <c r="AN69" s="108"/>
    </row>
    <row r="70" spans="2:40" ht="12.75" customHeight="1">
      <c r="B70" s="95"/>
      <c r="C70" s="95"/>
      <c r="D70" s="95"/>
      <c r="E70" s="95"/>
      <c r="F70" s="95"/>
      <c r="G70" s="95"/>
      <c r="H70" s="95"/>
      <c r="I70" s="95"/>
      <c r="J70" s="95"/>
      <c r="K70" s="95"/>
      <c r="L70" s="95"/>
      <c r="M70" s="95"/>
      <c r="N70" s="95"/>
      <c r="O70" s="95"/>
      <c r="P70" s="95"/>
      <c r="Q70" s="95"/>
      <c r="R70" s="95"/>
      <c r="S70" s="131"/>
      <c r="T70" s="889" t="s">
        <v>1439</v>
      </c>
      <c r="U70" s="890"/>
      <c r="V70" s="890"/>
      <c r="W70" s="890"/>
      <c r="X70" s="890"/>
      <c r="Y70" s="890"/>
      <c r="Z70" s="890"/>
      <c r="AA70" s="890"/>
      <c r="AB70" s="890"/>
      <c r="AC70" s="891"/>
      <c r="AD70" s="889" t="s">
        <v>1440</v>
      </c>
      <c r="AE70" s="890"/>
      <c r="AF70" s="890"/>
      <c r="AG70" s="890"/>
      <c r="AH70" s="890"/>
      <c r="AI70" s="890"/>
      <c r="AJ70" s="890"/>
      <c r="AK70" s="890"/>
      <c r="AL70" s="890"/>
      <c r="AM70" s="891"/>
      <c r="AN70" s="108"/>
    </row>
    <row r="71" spans="2:40" ht="12.75" customHeight="1">
      <c r="B71" s="95"/>
      <c r="C71" s="131"/>
      <c r="D71" s="871" t="s">
        <v>1438</v>
      </c>
      <c r="E71" s="869"/>
      <c r="F71" s="869"/>
      <c r="G71" s="869"/>
      <c r="H71" s="869"/>
      <c r="I71" s="869"/>
      <c r="J71" s="869"/>
      <c r="K71" s="869"/>
      <c r="L71" s="869"/>
      <c r="M71" s="869"/>
      <c r="N71" s="869"/>
      <c r="O71" s="869"/>
      <c r="P71" s="869"/>
      <c r="Q71" s="870"/>
      <c r="R71" s="108"/>
      <c r="S71" s="131"/>
      <c r="T71" s="889" t="s">
        <v>1441</v>
      </c>
      <c r="U71" s="892"/>
      <c r="V71" s="892"/>
      <c r="W71" s="892"/>
      <c r="X71" s="892"/>
      <c r="Y71" s="892"/>
      <c r="Z71" s="892"/>
      <c r="AA71" s="892"/>
      <c r="AB71" s="892"/>
      <c r="AC71" s="893"/>
      <c r="AD71" s="889" t="s">
        <v>1442</v>
      </c>
      <c r="AE71" s="892"/>
      <c r="AF71" s="892"/>
      <c r="AG71" s="892"/>
      <c r="AH71" s="892"/>
      <c r="AI71" s="892"/>
      <c r="AJ71" s="892"/>
      <c r="AK71" s="892"/>
      <c r="AL71" s="892"/>
      <c r="AM71" s="893"/>
      <c r="AN71" s="108"/>
    </row>
    <row r="72" spans="2:40" ht="12.75" customHeight="1">
      <c r="B72" s="95"/>
      <c r="C72" s="95"/>
      <c r="D72" s="860" t="s">
        <v>79</v>
      </c>
      <c r="E72" s="861"/>
      <c r="F72" s="861"/>
      <c r="G72" s="861"/>
      <c r="H72" s="861"/>
      <c r="I72" s="861"/>
      <c r="J72" s="861"/>
      <c r="K72" s="861"/>
      <c r="L72" s="861"/>
      <c r="M72" s="861"/>
      <c r="N72" s="861"/>
      <c r="O72" s="861"/>
      <c r="P72" s="861"/>
      <c r="Q72" s="861"/>
      <c r="R72" s="95"/>
      <c r="S72" s="131"/>
      <c r="T72" s="889" t="s">
        <v>1443</v>
      </c>
      <c r="U72" s="892"/>
      <c r="V72" s="892"/>
      <c r="W72" s="892"/>
      <c r="X72" s="892"/>
      <c r="Y72" s="892"/>
      <c r="Z72" s="892"/>
      <c r="AA72" s="892"/>
      <c r="AB72" s="892"/>
      <c r="AC72" s="893"/>
      <c r="AD72" s="889" t="s">
        <v>1444</v>
      </c>
      <c r="AE72" s="892"/>
      <c r="AF72" s="892"/>
      <c r="AG72" s="892"/>
      <c r="AH72" s="892"/>
      <c r="AI72" s="892"/>
      <c r="AJ72" s="892"/>
      <c r="AK72" s="892"/>
      <c r="AL72" s="892"/>
      <c r="AM72" s="893"/>
      <c r="AN72" s="108"/>
    </row>
    <row r="73" spans="2:40" ht="12.75" customHeight="1">
      <c r="B73" s="95"/>
      <c r="C73" s="95"/>
      <c r="D73" s="95"/>
      <c r="E73" s="95"/>
      <c r="F73" s="95"/>
      <c r="G73" s="95"/>
      <c r="H73" s="95"/>
      <c r="I73" s="95"/>
      <c r="J73" s="95"/>
      <c r="K73" s="95"/>
      <c r="L73" s="95"/>
      <c r="M73" s="95"/>
      <c r="N73" s="95"/>
      <c r="O73" s="95"/>
      <c r="P73" s="95"/>
      <c r="Q73" s="95"/>
      <c r="R73" s="95"/>
      <c r="S73" s="131"/>
      <c r="T73" s="889" t="s">
        <v>1445</v>
      </c>
      <c r="U73" s="892"/>
      <c r="V73" s="892"/>
      <c r="W73" s="892"/>
      <c r="X73" s="892"/>
      <c r="Y73" s="892"/>
      <c r="Z73" s="892"/>
      <c r="AA73" s="892"/>
      <c r="AB73" s="892"/>
      <c r="AC73" s="893"/>
      <c r="AD73" s="889" t="s">
        <v>1446</v>
      </c>
      <c r="AE73" s="892"/>
      <c r="AF73" s="892"/>
      <c r="AG73" s="892"/>
      <c r="AH73" s="892"/>
      <c r="AI73" s="892"/>
      <c r="AJ73" s="892"/>
      <c r="AK73" s="892"/>
      <c r="AL73" s="892"/>
      <c r="AM73" s="893"/>
      <c r="AN73" s="108"/>
    </row>
    <row r="74" spans="2:40" ht="12.75" customHeight="1">
      <c r="B74" s="95"/>
      <c r="C74" s="131"/>
      <c r="D74" s="885">
        <v>45046</v>
      </c>
      <c r="E74" s="872"/>
      <c r="F74" s="872"/>
      <c r="G74" s="872"/>
      <c r="H74" s="872"/>
      <c r="I74" s="872"/>
      <c r="J74" s="872"/>
      <c r="K74" s="872"/>
      <c r="L74" s="872"/>
      <c r="M74" s="872"/>
      <c r="N74" s="872"/>
      <c r="O74" s="872"/>
      <c r="P74" s="872"/>
      <c r="Q74" s="873"/>
      <c r="R74" s="108"/>
      <c r="S74" s="131"/>
      <c r="T74" s="886" t="s">
        <v>1447</v>
      </c>
      <c r="U74" s="887"/>
      <c r="V74" s="887"/>
      <c r="W74" s="887"/>
      <c r="X74" s="887"/>
      <c r="Y74" s="887"/>
      <c r="Z74" s="887"/>
      <c r="AA74" s="887"/>
      <c r="AB74" s="887"/>
      <c r="AC74" s="888"/>
      <c r="AD74" s="886" t="s">
        <v>1448</v>
      </c>
      <c r="AE74" s="887"/>
      <c r="AF74" s="887"/>
      <c r="AG74" s="887"/>
      <c r="AH74" s="887"/>
      <c r="AI74" s="887"/>
      <c r="AJ74" s="887"/>
      <c r="AK74" s="887"/>
      <c r="AL74" s="887"/>
      <c r="AM74" s="888"/>
      <c r="AN74" s="108"/>
    </row>
    <row r="75" spans="2:40" ht="12.75" customHeight="1">
      <c r="B75" s="95"/>
      <c r="C75" s="95"/>
      <c r="D75" s="860" t="s">
        <v>80</v>
      </c>
      <c r="E75" s="861"/>
      <c r="F75" s="861"/>
      <c r="G75" s="861"/>
      <c r="H75" s="861"/>
      <c r="I75" s="861"/>
      <c r="J75" s="861"/>
      <c r="K75" s="861"/>
      <c r="L75" s="861"/>
      <c r="M75" s="861"/>
      <c r="N75" s="861"/>
      <c r="O75" s="861"/>
      <c r="P75" s="861"/>
      <c r="Q75" s="861"/>
      <c r="R75" s="95"/>
      <c r="S75" s="131"/>
      <c r="T75" s="906" t="s">
        <v>1449</v>
      </c>
      <c r="U75" s="907"/>
      <c r="V75" s="907"/>
      <c r="W75" s="907"/>
      <c r="X75" s="907"/>
      <c r="Y75" s="907"/>
      <c r="Z75" s="907"/>
      <c r="AA75" s="907"/>
      <c r="AB75" s="907"/>
      <c r="AC75" s="908"/>
      <c r="AD75" s="906" t="s">
        <v>1450</v>
      </c>
      <c r="AE75" s="907"/>
      <c r="AF75" s="907"/>
      <c r="AG75" s="907"/>
      <c r="AH75" s="907"/>
      <c r="AI75" s="907"/>
      <c r="AJ75" s="907"/>
      <c r="AK75" s="907"/>
      <c r="AL75" s="907"/>
      <c r="AM75" s="908"/>
      <c r="AN75" s="108"/>
    </row>
    <row r="76" spans="2:40" ht="12.75" customHeight="1">
      <c r="B76" s="95"/>
      <c r="C76" s="95"/>
      <c r="D76" s="101"/>
      <c r="E76" s="101"/>
      <c r="F76" s="101"/>
      <c r="G76" s="101"/>
      <c r="H76" s="101"/>
      <c r="I76" s="101"/>
      <c r="J76" s="101"/>
      <c r="K76" s="101"/>
      <c r="L76" s="101"/>
      <c r="M76" s="101"/>
      <c r="N76" s="101"/>
      <c r="O76" s="101"/>
      <c r="P76" s="101"/>
      <c r="Q76" s="101"/>
      <c r="R76" s="95"/>
      <c r="S76" s="131"/>
      <c r="T76" s="906" t="s">
        <v>1451</v>
      </c>
      <c r="U76" s="907"/>
      <c r="V76" s="907"/>
      <c r="W76" s="907"/>
      <c r="X76" s="907"/>
      <c r="Y76" s="907"/>
      <c r="Z76" s="907"/>
      <c r="AA76" s="907"/>
      <c r="AB76" s="907"/>
      <c r="AC76" s="908"/>
      <c r="AD76" s="906" t="s">
        <v>1452</v>
      </c>
      <c r="AE76" s="907"/>
      <c r="AF76" s="907"/>
      <c r="AG76" s="907"/>
      <c r="AH76" s="907"/>
      <c r="AI76" s="907"/>
      <c r="AJ76" s="907"/>
      <c r="AK76" s="907"/>
      <c r="AL76" s="907"/>
      <c r="AM76" s="908"/>
      <c r="AN76" s="108"/>
    </row>
    <row r="77" spans="2:40" ht="12.75" customHeight="1">
      <c r="B77" s="95"/>
      <c r="C77" s="131"/>
      <c r="D77" s="897"/>
      <c r="E77" s="898"/>
      <c r="F77" s="898"/>
      <c r="G77" s="898"/>
      <c r="H77" s="898"/>
      <c r="I77" s="898"/>
      <c r="J77" s="898"/>
      <c r="K77" s="898"/>
      <c r="L77" s="898"/>
      <c r="M77" s="898"/>
      <c r="N77" s="898"/>
      <c r="O77" s="898"/>
      <c r="P77" s="898"/>
      <c r="Q77" s="899"/>
      <c r="R77" s="108"/>
      <c r="S77" s="131"/>
      <c r="T77" s="909"/>
      <c r="U77" s="907"/>
      <c r="V77" s="907"/>
      <c r="W77" s="907"/>
      <c r="X77" s="907"/>
      <c r="Y77" s="907"/>
      <c r="Z77" s="907"/>
      <c r="AA77" s="907"/>
      <c r="AB77" s="907"/>
      <c r="AC77" s="908"/>
      <c r="AD77" s="909"/>
      <c r="AE77" s="907"/>
      <c r="AF77" s="907"/>
      <c r="AG77" s="907"/>
      <c r="AH77" s="907"/>
      <c r="AI77" s="907"/>
      <c r="AJ77" s="907"/>
      <c r="AK77" s="907"/>
      <c r="AL77" s="907"/>
      <c r="AM77" s="908"/>
      <c r="AN77" s="108"/>
    </row>
    <row r="78" spans="2:40" ht="12.75" customHeight="1">
      <c r="B78" s="95"/>
      <c r="C78" s="131"/>
      <c r="D78" s="900"/>
      <c r="E78" s="901"/>
      <c r="F78" s="901"/>
      <c r="G78" s="901"/>
      <c r="H78" s="901"/>
      <c r="I78" s="901"/>
      <c r="J78" s="901"/>
      <c r="K78" s="901"/>
      <c r="L78" s="901"/>
      <c r="M78" s="901"/>
      <c r="N78" s="901"/>
      <c r="O78" s="901"/>
      <c r="P78" s="901"/>
      <c r="Q78" s="902"/>
      <c r="R78" s="108"/>
      <c r="S78" s="131"/>
      <c r="T78" s="909"/>
      <c r="U78" s="907"/>
      <c r="V78" s="907"/>
      <c r="W78" s="907"/>
      <c r="X78" s="907"/>
      <c r="Y78" s="907"/>
      <c r="Z78" s="907"/>
      <c r="AA78" s="907"/>
      <c r="AB78" s="907"/>
      <c r="AC78" s="908"/>
      <c r="AD78" s="909"/>
      <c r="AE78" s="907"/>
      <c r="AF78" s="907"/>
      <c r="AG78" s="907"/>
      <c r="AH78" s="907"/>
      <c r="AI78" s="907"/>
      <c r="AJ78" s="907"/>
      <c r="AK78" s="907"/>
      <c r="AL78" s="907"/>
      <c r="AM78" s="908"/>
      <c r="AN78" s="108"/>
    </row>
    <row r="79" spans="2:40" ht="12.75" customHeight="1">
      <c r="B79" s="95"/>
      <c r="C79" s="131"/>
      <c r="D79" s="900"/>
      <c r="E79" s="901"/>
      <c r="F79" s="901"/>
      <c r="G79" s="901"/>
      <c r="H79" s="901"/>
      <c r="I79" s="901"/>
      <c r="J79" s="901"/>
      <c r="K79" s="901"/>
      <c r="L79" s="901"/>
      <c r="M79" s="901"/>
      <c r="N79" s="901"/>
      <c r="O79" s="901"/>
      <c r="P79" s="901"/>
      <c r="Q79" s="902"/>
      <c r="R79" s="108"/>
      <c r="S79" s="131"/>
      <c r="T79" s="909"/>
      <c r="U79" s="907"/>
      <c r="V79" s="907"/>
      <c r="W79" s="907"/>
      <c r="X79" s="907"/>
      <c r="Y79" s="907"/>
      <c r="Z79" s="907"/>
      <c r="AA79" s="907"/>
      <c r="AB79" s="907"/>
      <c r="AC79" s="908"/>
      <c r="AD79" s="909"/>
      <c r="AE79" s="907"/>
      <c r="AF79" s="907"/>
      <c r="AG79" s="907"/>
      <c r="AH79" s="907"/>
      <c r="AI79" s="907"/>
      <c r="AJ79" s="907"/>
      <c r="AK79" s="907"/>
      <c r="AL79" s="907"/>
      <c r="AM79" s="908"/>
      <c r="AN79" s="108"/>
    </row>
    <row r="80" spans="2:40" ht="12.75" customHeight="1">
      <c r="B80" s="95"/>
      <c r="C80" s="131"/>
      <c r="D80" s="900"/>
      <c r="E80" s="901"/>
      <c r="F80" s="901"/>
      <c r="G80" s="901"/>
      <c r="H80" s="901"/>
      <c r="I80" s="901"/>
      <c r="J80" s="901"/>
      <c r="K80" s="901"/>
      <c r="L80" s="901"/>
      <c r="M80" s="901"/>
      <c r="N80" s="901"/>
      <c r="O80" s="901"/>
      <c r="P80" s="901"/>
      <c r="Q80" s="902"/>
      <c r="R80" s="108"/>
      <c r="S80" s="131"/>
      <c r="T80" s="909"/>
      <c r="U80" s="907"/>
      <c r="V80" s="907"/>
      <c r="W80" s="907"/>
      <c r="X80" s="907"/>
      <c r="Y80" s="907"/>
      <c r="Z80" s="907"/>
      <c r="AA80" s="907"/>
      <c r="AB80" s="907"/>
      <c r="AC80" s="908"/>
      <c r="AD80" s="909"/>
      <c r="AE80" s="907"/>
      <c r="AF80" s="907"/>
      <c r="AG80" s="907"/>
      <c r="AH80" s="907"/>
      <c r="AI80" s="907"/>
      <c r="AJ80" s="907"/>
      <c r="AK80" s="907"/>
      <c r="AL80" s="907"/>
      <c r="AM80" s="908"/>
      <c r="AN80" s="108"/>
    </row>
    <row r="81" spans="2:40" ht="12.75" customHeight="1">
      <c r="B81" s="95"/>
      <c r="C81" s="95"/>
      <c r="D81" s="903"/>
      <c r="E81" s="904"/>
      <c r="F81" s="904"/>
      <c r="G81" s="904"/>
      <c r="H81" s="904"/>
      <c r="I81" s="904"/>
      <c r="J81" s="904"/>
      <c r="K81" s="904"/>
      <c r="L81" s="904"/>
      <c r="M81" s="904"/>
      <c r="N81" s="904"/>
      <c r="O81" s="904"/>
      <c r="P81" s="904"/>
      <c r="Q81" s="905"/>
      <c r="R81" s="95"/>
      <c r="S81" s="131"/>
      <c r="T81" s="916"/>
      <c r="U81" s="917"/>
      <c r="V81" s="917"/>
      <c r="W81" s="917"/>
      <c r="X81" s="917"/>
      <c r="Y81" s="917"/>
      <c r="Z81" s="917"/>
      <c r="AA81" s="917"/>
      <c r="AB81" s="917"/>
      <c r="AC81" s="918"/>
      <c r="AD81" s="916"/>
      <c r="AE81" s="917"/>
      <c r="AF81" s="917"/>
      <c r="AG81" s="917"/>
      <c r="AH81" s="917"/>
      <c r="AI81" s="917"/>
      <c r="AJ81" s="917"/>
      <c r="AK81" s="917"/>
      <c r="AL81" s="917"/>
      <c r="AM81" s="918"/>
      <c r="AN81" s="108"/>
    </row>
    <row r="82" spans="2:40" ht="12.75" customHeight="1">
      <c r="D82" s="878" t="s">
        <v>81</v>
      </c>
      <c r="E82" s="879"/>
      <c r="F82" s="879"/>
      <c r="G82" s="879"/>
      <c r="H82" s="879"/>
      <c r="I82" s="879"/>
      <c r="J82" s="879"/>
      <c r="K82" s="879"/>
      <c r="L82" s="879"/>
      <c r="M82" s="879"/>
      <c r="N82" s="879"/>
      <c r="O82" s="879"/>
      <c r="P82" s="879"/>
      <c r="Q82" s="879"/>
    </row>
  </sheetData>
  <sheetProtection sheet="false"/>
  <mergeCells count="89">
    <mergeCell ref="F23:H23"/>
    <mergeCell ref="AE27:AL27"/>
    <mergeCell ref="T81:AC81"/>
    <mergeCell ref="AD75:AM75"/>
    <mergeCell ref="AD76:AM76"/>
    <mergeCell ref="AD77:AM77"/>
    <mergeCell ref="AD78:AM78"/>
    <mergeCell ref="AD79:AM79"/>
    <mergeCell ref="AD80:AM80"/>
    <mergeCell ref="AD81:AM81"/>
    <mergeCell ref="D75:Q75"/>
    <mergeCell ref="D72:Q72"/>
    <mergeCell ref="T72:AC72"/>
    <mergeCell ref="AD72:AM72"/>
    <mergeCell ref="T73:AC73"/>
    <mergeCell ref="AD73:AM73"/>
    <mergeCell ref="D82:Q82"/>
    <mergeCell ref="D77:Q81"/>
    <mergeCell ref="T75:AC75"/>
    <mergeCell ref="T76:AC76"/>
    <mergeCell ref="T77:AC77"/>
    <mergeCell ref="T78:AC78"/>
    <mergeCell ref="T79:AC79"/>
    <mergeCell ref="T80:AC80"/>
    <mergeCell ref="D74:Q74"/>
    <mergeCell ref="T74:AC74"/>
    <mergeCell ref="AD74:AM74"/>
    <mergeCell ref="D69:Q69"/>
    <mergeCell ref="T70:AC70"/>
    <mergeCell ref="AD70:AM70"/>
    <mergeCell ref="D71:Q71"/>
    <mergeCell ref="T71:AC71"/>
    <mergeCell ref="AD71:AM71"/>
    <mergeCell ref="T69:AC69"/>
    <mergeCell ref="AD69:AM69"/>
    <mergeCell ref="D68:Q68"/>
    <mergeCell ref="D47:AM47"/>
    <mergeCell ref="D48:AM48"/>
    <mergeCell ref="D51:AM51"/>
    <mergeCell ref="D52:AM52"/>
    <mergeCell ref="D55:AM55"/>
    <mergeCell ref="D56:AM56"/>
    <mergeCell ref="K63:L63"/>
    <mergeCell ref="O63:Q63"/>
    <mergeCell ref="T63:V63"/>
    <mergeCell ref="C65:W65"/>
    <mergeCell ref="X65:AM65"/>
    <mergeCell ref="T68:AM68"/>
    <mergeCell ref="D39:AM39"/>
    <mergeCell ref="D40:AM40"/>
    <mergeCell ref="D43:AD43"/>
    <mergeCell ref="AE43:AM43"/>
    <mergeCell ref="D44:AD44"/>
    <mergeCell ref="AE44:AM44"/>
    <mergeCell ref="G35:N35"/>
    <mergeCell ref="Q35:V35"/>
    <mergeCell ref="Y35:Z35"/>
    <mergeCell ref="AA35:AD35"/>
    <mergeCell ref="AE35:AM35"/>
    <mergeCell ref="G36:N36"/>
    <mergeCell ref="Q36:V36"/>
    <mergeCell ref="Y36:Z36"/>
    <mergeCell ref="AA36:AD36"/>
    <mergeCell ref="AE36:AM36"/>
    <mergeCell ref="D32:AD32"/>
    <mergeCell ref="AE32:AM32"/>
    <mergeCell ref="I24:P24"/>
    <mergeCell ref="W24:AK24"/>
    <mergeCell ref="G27:N27"/>
    <mergeCell ref="S27:Z27"/>
    <mergeCell ref="F24:H24"/>
    <mergeCell ref="G28:N28"/>
    <mergeCell ref="S28:Z28"/>
    <mergeCell ref="AE28:AL28"/>
    <mergeCell ref="D31:AD31"/>
    <mergeCell ref="AE31:AM31"/>
    <mergeCell ref="I23:P23"/>
    <mergeCell ref="W23:AK23"/>
    <mergeCell ref="J3:AM3"/>
    <mergeCell ref="J6:Y6"/>
    <mergeCell ref="AD6:AM6"/>
    <mergeCell ref="J9:P9"/>
    <mergeCell ref="V9:AB9"/>
    <mergeCell ref="AH9:AM9"/>
    <mergeCell ref="Y12:AD12"/>
    <mergeCell ref="AH12:AM12"/>
    <mergeCell ref="U15:Z15"/>
    <mergeCell ref="Q19:V19"/>
    <mergeCell ref="AL19:AM19"/>
  </mergeCells>
  <pageMargins left="0.7" right="0.7" top="0.75" bottom="0.75" header="0.3" footer="0.3"/>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59"/>
  <sheetViews>
    <sheetView topLeftCell="B46" zoomScaleNormal="100" workbookViewId="0">
      <selection activeCell="H39" sqref="H39"/>
    </sheetView>
  </sheetViews>
  <sheetFormatPr baseColWidth="10" defaultColWidth="13.5" defaultRowHeight="12.75" customHeight="1"/>
  <cols>
    <col min="1" max="1" customWidth="true" style="96" width="5.0" collapsed="true"/>
    <col min="2" max="2" customWidth="true" style="96" width="47.69921875" collapsed="true"/>
    <col min="3" max="3" customWidth="true" style="96" width="1.69921875" collapsed="true"/>
    <col min="4" max="9" customWidth="true" style="96" width="3.5" collapsed="true"/>
    <col min="10" max="10" customWidth="true" style="96" width="1.69921875" collapsed="true"/>
    <col min="11" max="11" customWidth="true" style="96" width="4.296875" collapsed="true"/>
    <col min="12" max="12" customWidth="true" style="96" width="25.796875" collapsed="true"/>
    <col min="13" max="13" customWidth="true" style="96" width="20.69921875" collapsed="true"/>
    <col min="14" max="19" customWidth="true" style="96" width="2.69921875" collapsed="true"/>
    <col min="20" max="20" customWidth="true" style="265" width="4.5" collapsed="true"/>
    <col min="21" max="256" customWidth="true" style="96" width="13.5" collapsed="true"/>
    <col min="257" max="16384" style="94" width="13.5" collapsed="true"/>
  </cols>
  <sheetData>
    <row r="1" spans="1:256" ht="17.149999999999999" customHeight="1">
      <c r="B1" s="262" t="s">
        <v>82</v>
      </c>
      <c r="C1" s="850" t="s">
        <v>1423</v>
      </c>
      <c r="D1" s="851"/>
      <c r="E1" s="851"/>
      <c r="F1" s="851"/>
      <c r="G1" s="851"/>
      <c r="H1" s="851"/>
      <c r="I1" s="851"/>
      <c r="J1" s="851"/>
      <c r="K1" s="851"/>
      <c r="L1" s="851"/>
      <c r="M1" s="851"/>
      <c r="N1" s="851"/>
      <c r="O1" s="851"/>
      <c r="P1" s="851"/>
      <c r="Q1" s="851"/>
      <c r="R1" s="851"/>
      <c r="S1" s="851"/>
      <c r="IV1" s="94"/>
    </row>
    <row r="2" spans="1:256" ht="17.149999999999999" customHeight="1">
      <c r="A2" s="260"/>
      <c r="B2" s="262" t="s">
        <v>83</v>
      </c>
      <c r="C2" s="98"/>
      <c r="D2" s="99"/>
      <c r="E2" s="99"/>
      <c r="F2" s="99"/>
      <c r="G2" s="100"/>
      <c r="H2" s="100"/>
      <c r="I2" s="100"/>
      <c r="J2" s="100"/>
      <c r="K2" s="100"/>
      <c r="L2" s="100"/>
      <c r="M2" s="100"/>
      <c r="N2" s="100"/>
      <c r="O2" s="100"/>
      <c r="P2" s="100"/>
      <c r="Q2" s="100"/>
      <c r="R2" s="100"/>
      <c r="S2" s="100"/>
      <c r="IV2" s="94"/>
    </row>
    <row r="3" spans="1:256" ht="17.149999999999999" customHeight="1">
      <c r="B3" s="928" t="s">
        <v>1425</v>
      </c>
      <c r="C3" s="929"/>
      <c r="D3" s="929"/>
      <c r="E3" s="929"/>
      <c r="F3" s="929"/>
      <c r="G3" s="929"/>
      <c r="H3" s="929"/>
      <c r="I3" s="929"/>
      <c r="J3" s="929"/>
      <c r="K3" s="930"/>
      <c r="L3" s="261" t="s">
        <v>84</v>
      </c>
      <c r="M3" s="937" t="s">
        <v>1424</v>
      </c>
      <c r="N3" s="938"/>
      <c r="O3" s="938"/>
      <c r="P3" s="938"/>
      <c r="Q3" s="938"/>
      <c r="R3" s="938"/>
      <c r="S3" s="939"/>
      <c r="IV3" s="94"/>
    </row>
    <row r="4" spans="1:256" ht="17.149999999999999" customHeight="1">
      <c r="A4" s="260"/>
      <c r="B4" s="266" t="s">
        <v>85</v>
      </c>
      <c r="C4" s="267"/>
      <c r="D4" s="268"/>
      <c r="E4" s="264"/>
      <c r="F4" s="264"/>
      <c r="G4" s="263"/>
      <c r="H4" s="263"/>
      <c r="I4" s="263"/>
      <c r="J4" s="263"/>
      <c r="K4" s="263"/>
      <c r="L4" s="261" t="s">
        <v>86</v>
      </c>
      <c r="M4" s="100"/>
      <c r="N4" s="100"/>
      <c r="O4" s="100"/>
      <c r="P4" s="100"/>
      <c r="Q4" s="100"/>
      <c r="R4" s="100"/>
      <c r="S4" s="100"/>
      <c r="IV4" s="94"/>
    </row>
    <row r="5" spans="1:256" ht="17.149999999999999" customHeight="1">
      <c r="B5" s="931" t="s">
        <v>1426</v>
      </c>
      <c r="C5" s="932"/>
      <c r="D5" s="932"/>
      <c r="E5" s="932"/>
      <c r="F5" s="932"/>
      <c r="G5" s="932"/>
      <c r="H5" s="932"/>
      <c r="I5" s="932"/>
      <c r="J5" s="95"/>
      <c r="L5" s="576">
        <v>44926</v>
      </c>
      <c r="M5" s="269" t="s">
        <v>33</v>
      </c>
      <c r="N5" s="935">
        <v>12</v>
      </c>
      <c r="O5" s="936"/>
      <c r="P5" s="936"/>
      <c r="Q5" s="936"/>
      <c r="R5" s="936"/>
      <c r="S5" s="936"/>
      <c r="IV5" s="94"/>
    </row>
    <row r="6" spans="1:256" ht="17.149999999999999" customHeight="1">
      <c r="A6" s="101"/>
      <c r="B6" s="272"/>
      <c r="C6" s="273"/>
      <c r="D6" s="273"/>
      <c r="E6" s="273"/>
      <c r="F6" s="273"/>
      <c r="G6" s="273"/>
      <c r="H6" s="273"/>
      <c r="I6" s="273"/>
      <c r="J6" s="102"/>
      <c r="K6" s="102"/>
      <c r="L6" s="102"/>
      <c r="M6" s="103"/>
      <c r="N6" s="101"/>
      <c r="O6" s="101"/>
      <c r="P6" s="101"/>
      <c r="Q6" s="101"/>
      <c r="R6" s="101"/>
      <c r="S6" s="101"/>
      <c r="T6" s="270"/>
    </row>
    <row r="7" spans="1:256" ht="17.149999999999999" customHeight="1">
      <c r="A7" s="104"/>
      <c r="B7" s="105"/>
      <c r="C7" s="323"/>
      <c r="D7" s="323"/>
      <c r="E7" s="323"/>
      <c r="F7" s="323"/>
      <c r="G7" s="323"/>
      <c r="H7" s="323"/>
      <c r="I7" s="323"/>
      <c r="J7" s="331"/>
      <c r="K7" s="328"/>
      <c r="L7" s="933" t="s">
        <v>87</v>
      </c>
      <c r="M7" s="934"/>
      <c r="N7" s="934"/>
      <c r="O7" s="934"/>
      <c r="P7" s="934"/>
      <c r="Q7" s="934"/>
      <c r="R7" s="106"/>
      <c r="S7" s="107"/>
      <c r="T7" s="271"/>
    </row>
    <row r="8" spans="1:256" ht="8.15" customHeight="1">
      <c r="A8" s="109"/>
      <c r="B8" s="97"/>
      <c r="C8" s="110"/>
      <c r="D8" s="110"/>
      <c r="E8" s="110"/>
      <c r="F8" s="110"/>
      <c r="G8" s="110"/>
      <c r="H8" s="110"/>
      <c r="I8" s="110"/>
      <c r="J8" s="329"/>
      <c r="K8" s="330"/>
      <c r="L8" s="111"/>
      <c r="M8" s="112"/>
      <c r="N8" s="113"/>
      <c r="O8" s="113"/>
      <c r="P8" s="113"/>
      <c r="Q8" s="106"/>
      <c r="R8" s="106"/>
      <c r="S8" s="114"/>
      <c r="T8" s="271"/>
    </row>
    <row r="9" spans="1:256" ht="17.149999999999999" customHeight="1">
      <c r="A9" s="115" t="s">
        <v>88</v>
      </c>
      <c r="B9" s="116" t="s">
        <v>89</v>
      </c>
      <c r="C9" s="117"/>
      <c r="D9" s="117"/>
      <c r="E9" s="118"/>
      <c r="F9" s="580" t="s">
        <v>1453</v>
      </c>
      <c r="G9" s="580" t="s">
        <v>1454</v>
      </c>
      <c r="H9" s="324"/>
      <c r="I9" s="325"/>
      <c r="J9" s="118"/>
      <c r="K9" s="115" t="s">
        <v>90</v>
      </c>
      <c r="L9" s="116" t="s">
        <v>91</v>
      </c>
      <c r="M9" s="117"/>
      <c r="N9" s="117"/>
      <c r="O9" s="117"/>
      <c r="P9" s="118"/>
      <c r="Q9" s="919"/>
      <c r="R9" s="920"/>
      <c r="S9" s="119"/>
      <c r="T9" s="271"/>
    </row>
    <row r="10" spans="1:256" ht="17.149999999999999" customHeight="1">
      <c r="A10" s="120"/>
      <c r="B10" s="117"/>
      <c r="C10" s="117"/>
      <c r="D10" s="117"/>
      <c r="E10" s="117"/>
      <c r="F10" s="113"/>
      <c r="G10" s="113"/>
      <c r="H10" s="117"/>
      <c r="I10" s="117"/>
      <c r="J10" s="118"/>
      <c r="K10" s="120"/>
      <c r="L10" s="117"/>
      <c r="M10" s="117"/>
      <c r="N10" s="117"/>
      <c r="O10" s="117"/>
      <c r="P10" s="117"/>
      <c r="Q10" s="106"/>
      <c r="R10" s="106"/>
      <c r="S10" s="118"/>
      <c r="T10" s="271"/>
    </row>
    <row r="11" spans="1:256" ht="17.149999999999999" customHeight="1">
      <c r="A11" s="115" t="s">
        <v>92</v>
      </c>
      <c r="B11" s="116" t="s">
        <v>93</v>
      </c>
      <c r="C11" s="117"/>
      <c r="D11" s="117"/>
      <c r="E11" s="118"/>
      <c r="F11" s="580" t="s">
        <v>1455</v>
      </c>
      <c r="G11" s="120"/>
      <c r="H11" s="325"/>
      <c r="I11" s="325"/>
      <c r="J11" s="118"/>
      <c r="K11" s="115" t="s">
        <v>94</v>
      </c>
      <c r="L11" s="116" t="s">
        <v>95</v>
      </c>
      <c r="M11" s="117"/>
      <c r="N11" s="117"/>
      <c r="O11" s="117"/>
      <c r="P11" s="118"/>
      <c r="Q11" s="919"/>
      <c r="R11" s="920"/>
      <c r="S11" s="119"/>
      <c r="T11" s="271"/>
    </row>
    <row r="12" spans="1:256" ht="17.149999999999999" customHeight="1">
      <c r="A12" s="120"/>
      <c r="B12" s="325"/>
      <c r="C12" s="117"/>
      <c r="D12" s="117"/>
      <c r="E12" s="117"/>
      <c r="F12" s="113"/>
      <c r="G12" s="117"/>
      <c r="H12" s="117"/>
      <c r="I12" s="117"/>
      <c r="J12" s="118"/>
      <c r="K12" s="120"/>
      <c r="L12" s="117"/>
      <c r="M12" s="117"/>
      <c r="N12" s="117"/>
      <c r="O12" s="117"/>
      <c r="P12" s="117"/>
      <c r="Q12" s="106"/>
      <c r="R12" s="106"/>
      <c r="S12" s="118"/>
      <c r="T12" s="271"/>
    </row>
    <row r="13" spans="1:256" ht="17.149999999999999" customHeight="1">
      <c r="A13" s="115" t="s">
        <v>96</v>
      </c>
      <c r="B13" s="116" t="s">
        <v>97</v>
      </c>
      <c r="C13" s="117"/>
      <c r="D13" s="117"/>
      <c r="E13" s="118"/>
      <c r="F13" s="580" t="s">
        <v>1453</v>
      </c>
      <c r="G13" s="580" t="s">
        <v>1456</v>
      </c>
      <c r="H13" s="324"/>
      <c r="I13" s="325"/>
      <c r="J13" s="326"/>
      <c r="K13" s="115" t="s">
        <v>98</v>
      </c>
      <c r="L13" s="116" t="s">
        <v>99</v>
      </c>
      <c r="M13" s="117"/>
      <c r="N13" s="117"/>
      <c r="O13" s="117"/>
      <c r="P13" s="118"/>
      <c r="Q13" s="919" t="s">
        <v>18</v>
      </c>
      <c r="R13" s="920"/>
      <c r="S13" s="119"/>
      <c r="T13" s="271"/>
    </row>
    <row r="14" spans="1:256" ht="17.149999999999999" customHeight="1">
      <c r="A14" s="120"/>
      <c r="B14" s="117"/>
      <c r="C14" s="117"/>
      <c r="D14" s="117"/>
      <c r="E14" s="117"/>
      <c r="F14" s="113"/>
      <c r="G14" s="113"/>
      <c r="H14" s="117"/>
      <c r="I14" s="117"/>
      <c r="J14" s="118"/>
      <c r="K14" s="120"/>
      <c r="L14" s="121"/>
      <c r="M14" s="117"/>
      <c r="N14" s="117"/>
      <c r="O14" s="117"/>
      <c r="P14" s="117"/>
      <c r="Q14" s="113"/>
      <c r="R14" s="113"/>
      <c r="S14" s="118"/>
      <c r="T14" s="271"/>
    </row>
    <row r="15" spans="1:256" ht="17.149999999999999" customHeight="1">
      <c r="A15" s="115" t="s">
        <v>100</v>
      </c>
      <c r="B15" s="116" t="s">
        <v>101</v>
      </c>
      <c r="C15" s="117"/>
      <c r="D15" s="117"/>
      <c r="E15" s="118"/>
      <c r="F15" s="580">
        <v>0</v>
      </c>
      <c r="G15" s="580">
        <v>1</v>
      </c>
      <c r="H15" s="324"/>
      <c r="I15" s="325"/>
      <c r="J15" s="326"/>
      <c r="K15" s="324"/>
      <c r="L15" s="121"/>
      <c r="M15" s="117"/>
      <c r="N15" s="117"/>
      <c r="O15" s="117"/>
      <c r="P15" s="117"/>
      <c r="Q15" s="117"/>
      <c r="R15" s="117"/>
      <c r="S15" s="118"/>
      <c r="T15" s="271"/>
    </row>
    <row r="16" spans="1:256" ht="17.149999999999999" customHeight="1">
      <c r="A16" s="120"/>
      <c r="B16" s="117"/>
      <c r="C16" s="117"/>
      <c r="D16" s="117"/>
      <c r="E16" s="117"/>
      <c r="F16" s="113"/>
      <c r="G16" s="113"/>
      <c r="H16" s="117"/>
      <c r="I16" s="117"/>
      <c r="J16" s="118"/>
      <c r="K16" s="120"/>
      <c r="L16" s="121"/>
      <c r="M16" s="117"/>
      <c r="N16" s="117"/>
      <c r="O16" s="117"/>
      <c r="P16" s="117"/>
      <c r="Q16" s="117"/>
      <c r="R16" s="117"/>
      <c r="S16" s="118"/>
      <c r="T16" s="271"/>
    </row>
    <row r="17" spans="1:20" ht="17.149999999999999" customHeight="1">
      <c r="A17" s="115" t="s">
        <v>102</v>
      </c>
      <c r="B17" s="116" t="s">
        <v>103</v>
      </c>
      <c r="C17" s="117"/>
      <c r="D17" s="117"/>
      <c r="E17" s="118"/>
      <c r="F17" s="580">
        <v>0</v>
      </c>
      <c r="G17" s="580">
        <v>0</v>
      </c>
      <c r="H17" s="120"/>
      <c r="I17" s="117"/>
      <c r="J17" s="118"/>
      <c r="K17" s="120"/>
      <c r="L17" s="121"/>
      <c r="M17" s="117"/>
      <c r="N17" s="117"/>
      <c r="O17" s="117"/>
      <c r="P17" s="117"/>
      <c r="Q17" s="117"/>
      <c r="R17" s="117"/>
      <c r="S17" s="118"/>
      <c r="T17" s="271"/>
    </row>
    <row r="18" spans="1:20" ht="17.149999999999999" customHeight="1">
      <c r="A18" s="120"/>
      <c r="B18" s="116" t="s">
        <v>104</v>
      </c>
      <c r="C18" s="117"/>
      <c r="D18" s="117"/>
      <c r="E18" s="117"/>
      <c r="F18" s="113"/>
      <c r="G18" s="327"/>
      <c r="H18" s="325"/>
      <c r="I18" s="325"/>
      <c r="J18" s="326"/>
      <c r="K18" s="324"/>
      <c r="L18" s="121"/>
      <c r="M18" s="117"/>
      <c r="N18" s="117"/>
      <c r="O18" s="117"/>
      <c r="P18" s="122"/>
      <c r="Q18" s="117"/>
      <c r="R18" s="117"/>
      <c r="S18" s="118"/>
      <c r="T18" s="271"/>
    </row>
    <row r="19" spans="1:20" ht="17.149999999999999" customHeight="1">
      <c r="A19" s="120"/>
      <c r="B19" s="117"/>
      <c r="C19" s="117"/>
      <c r="D19" s="117"/>
      <c r="E19" s="117"/>
      <c r="F19" s="117"/>
      <c r="G19" s="117"/>
      <c r="H19" s="117"/>
      <c r="I19" s="117"/>
      <c r="J19" s="118"/>
      <c r="K19" s="120"/>
      <c r="L19" s="121"/>
      <c r="M19" s="117"/>
      <c r="N19" s="117"/>
      <c r="O19" s="117"/>
      <c r="P19" s="117"/>
      <c r="Q19" s="117"/>
      <c r="R19" s="117"/>
      <c r="S19" s="118"/>
      <c r="T19" s="271"/>
    </row>
    <row r="20" spans="1:20" ht="17.149999999999999" customHeight="1">
      <c r="A20" s="115" t="s">
        <v>105</v>
      </c>
      <c r="B20" s="116" t="s">
        <v>106</v>
      </c>
      <c r="C20" s="117"/>
      <c r="D20" s="118"/>
      <c r="E20" s="578" t="s">
        <v>1457</v>
      </c>
      <c r="F20" s="578" t="s">
        <v>1453</v>
      </c>
      <c r="G20" s="578" t="s">
        <v>1455</v>
      </c>
      <c r="H20" s="578" t="s">
        <v>1458</v>
      </c>
      <c r="I20" s="324"/>
      <c r="J20" s="326"/>
      <c r="K20" s="324"/>
      <c r="L20" s="121"/>
      <c r="M20" s="117"/>
      <c r="N20" s="117"/>
      <c r="O20" s="117"/>
      <c r="P20" s="117"/>
      <c r="Q20" s="117"/>
      <c r="R20" s="117"/>
      <c r="S20" s="118"/>
      <c r="T20" s="271"/>
    </row>
    <row r="21" spans="1:20" ht="17.149999999999999" customHeight="1">
      <c r="A21" s="123"/>
      <c r="B21" s="124"/>
      <c r="C21" s="124"/>
      <c r="D21" s="124"/>
      <c r="E21" s="106"/>
      <c r="F21" s="106"/>
      <c r="G21" s="106"/>
      <c r="H21" s="106"/>
      <c r="I21" s="124"/>
      <c r="J21" s="125"/>
      <c r="K21" s="126"/>
      <c r="L21" s="124"/>
      <c r="M21" s="124"/>
      <c r="N21" s="124"/>
      <c r="O21" s="124"/>
      <c r="P21" s="124"/>
      <c r="Q21" s="124"/>
      <c r="R21" s="124"/>
      <c r="S21" s="125"/>
      <c r="T21" s="271"/>
    </row>
    <row r="22" spans="1:20" ht="17.149999999999999" customHeight="1">
      <c r="A22" s="127"/>
      <c r="B22" s="127"/>
      <c r="C22" s="127"/>
      <c r="D22" s="127"/>
      <c r="E22" s="127"/>
      <c r="F22" s="127"/>
      <c r="G22" s="127"/>
      <c r="H22" s="127"/>
      <c r="I22" s="127"/>
      <c r="J22" s="127"/>
      <c r="K22" s="127"/>
      <c r="L22" s="127"/>
      <c r="M22" s="127"/>
      <c r="N22" s="127"/>
      <c r="O22" s="127"/>
      <c r="P22" s="127"/>
      <c r="Q22" s="127"/>
      <c r="R22" s="127"/>
      <c r="S22" s="127"/>
      <c r="T22" s="270"/>
    </row>
    <row r="23" spans="1:20" ht="17.149999999999999" customHeight="1">
      <c r="A23" s="921" t="s">
        <v>107</v>
      </c>
      <c r="B23" s="922"/>
      <c r="C23" s="922"/>
      <c r="D23" s="922"/>
      <c r="E23" s="922"/>
      <c r="F23" s="922"/>
      <c r="G23" s="922"/>
      <c r="H23" s="922"/>
      <c r="I23" s="922"/>
      <c r="J23" s="922"/>
      <c r="K23" s="922"/>
      <c r="L23" s="922"/>
      <c r="M23" s="922"/>
      <c r="N23" s="922"/>
      <c r="O23" s="922"/>
      <c r="P23" s="922"/>
      <c r="Q23" s="922"/>
      <c r="R23" s="922"/>
      <c r="S23" s="922"/>
      <c r="T23" s="922"/>
    </row>
    <row r="24" spans="1:20" ht="17.149999999999999" customHeight="1">
      <c r="A24" s="95"/>
      <c r="B24" s="101"/>
      <c r="C24" s="101"/>
      <c r="D24" s="101"/>
      <c r="E24" s="101"/>
      <c r="F24" s="101"/>
      <c r="G24" s="101"/>
      <c r="H24" s="101"/>
      <c r="I24" s="101"/>
      <c r="J24" s="101"/>
      <c r="K24" s="101"/>
      <c r="L24" s="101"/>
      <c r="M24" s="101"/>
      <c r="N24" s="95"/>
      <c r="O24" s="95"/>
      <c r="P24" s="95"/>
      <c r="Q24" s="95"/>
      <c r="R24" s="95"/>
      <c r="S24" s="95"/>
      <c r="T24" s="270"/>
    </row>
    <row r="25" spans="1:20" ht="29.15" customHeight="1">
      <c r="A25" s="128"/>
      <c r="B25" s="129" t="s">
        <v>108</v>
      </c>
      <c r="C25" s="923" t="s">
        <v>109</v>
      </c>
      <c r="D25" s="924"/>
      <c r="E25" s="924"/>
      <c r="F25" s="924"/>
      <c r="G25" s="924"/>
      <c r="H25" s="924"/>
      <c r="I25" s="924"/>
      <c r="J25" s="925"/>
      <c r="K25" s="926" t="s">
        <v>110</v>
      </c>
      <c r="L25" s="927"/>
      <c r="M25" s="130" t="s">
        <v>111</v>
      </c>
      <c r="N25" s="108"/>
      <c r="O25" s="95"/>
      <c r="P25" s="95"/>
      <c r="Q25" s="95"/>
      <c r="R25" s="95"/>
      <c r="S25" s="95"/>
      <c r="T25" s="270"/>
    </row>
    <row r="26" spans="1:20" ht="17.149999999999999" customHeight="1">
      <c r="A26" s="131"/>
      <c r="B26" s="132"/>
      <c r="C26" s="133"/>
      <c r="D26" s="113"/>
      <c r="E26" s="113"/>
      <c r="F26" s="113"/>
      <c r="G26" s="113"/>
      <c r="H26" s="113"/>
      <c r="I26" s="113"/>
      <c r="J26" s="114"/>
      <c r="K26" s="133"/>
      <c r="L26" s="114"/>
      <c r="M26" s="132"/>
      <c r="N26" s="108"/>
      <c r="O26" s="95"/>
      <c r="P26" s="95"/>
      <c r="Q26" s="95"/>
      <c r="R26" s="95"/>
      <c r="S26" s="95"/>
      <c r="T26" s="270"/>
    </row>
    <row r="27" spans="1:20" ht="17.149999999999999" customHeight="1">
      <c r="A27" s="131"/>
      <c r="B27" s="119"/>
      <c r="C27" s="120"/>
      <c r="D27" s="563"/>
      <c r="E27" s="563"/>
      <c r="F27" s="563"/>
      <c r="G27" s="563"/>
      <c r="H27" s="563"/>
      <c r="I27" s="563"/>
      <c r="J27" s="118"/>
      <c r="K27" s="120"/>
      <c r="L27" s="118"/>
      <c r="M27" s="134"/>
      <c r="N27" s="108"/>
      <c r="O27" s="95"/>
      <c r="P27" s="95"/>
      <c r="Q27" s="95"/>
      <c r="R27" s="95"/>
      <c r="S27" s="95"/>
      <c r="T27" s="270"/>
    </row>
    <row r="28" spans="1:20" ht="17.149999999999999" customHeight="1">
      <c r="A28" s="131"/>
      <c r="B28" s="582" t="s">
        <v>1459</v>
      </c>
      <c r="C28" s="496"/>
      <c r="D28" s="581">
        <v>0</v>
      </c>
      <c r="E28" s="581">
        <v>0</v>
      </c>
      <c r="F28" s="581">
        <v>6</v>
      </c>
      <c r="G28" s="581">
        <v>0</v>
      </c>
      <c r="H28" s="581">
        <v>0</v>
      </c>
      <c r="I28" s="581">
        <v>2</v>
      </c>
      <c r="J28" s="136"/>
      <c r="K28" s="120"/>
      <c r="L28" s="756">
        <v>208567180824</v>
      </c>
      <c r="M28" s="583">
        <v>100</v>
      </c>
      <c r="N28" s="108"/>
      <c r="O28" s="95"/>
      <c r="P28" s="95"/>
      <c r="Q28" s="95"/>
      <c r="R28" s="95"/>
      <c r="S28" s="95"/>
      <c r="T28" s="270"/>
    </row>
    <row r="29" spans="1:20" ht="17.149999999999999" customHeight="1">
      <c r="A29" s="131"/>
      <c r="B29" s="119"/>
      <c r="C29" s="120"/>
      <c r="D29" s="319"/>
      <c r="E29" s="319"/>
      <c r="F29" s="319"/>
      <c r="G29" s="319"/>
      <c r="H29" s="319"/>
      <c r="I29" s="319"/>
      <c r="J29" s="118"/>
      <c r="K29" s="120"/>
      <c r="L29" s="118"/>
      <c r="M29" s="119"/>
      <c r="N29" s="108"/>
      <c r="O29" s="95"/>
      <c r="P29" s="95"/>
      <c r="Q29" s="95"/>
      <c r="R29" s="95"/>
      <c r="S29" s="95"/>
      <c r="T29" s="270"/>
    </row>
    <row r="30" spans="1:20" ht="17.149999999999999" customHeight="1">
      <c r="A30" s="131"/>
      <c r="B30" s="119"/>
      <c r="C30" s="120"/>
      <c r="D30" s="565"/>
      <c r="E30" s="565"/>
      <c r="F30" s="565"/>
      <c r="G30" s="565"/>
      <c r="H30" s="565"/>
      <c r="I30" s="565"/>
      <c r="J30" s="118"/>
      <c r="K30" s="120"/>
      <c r="L30" s="118"/>
      <c r="M30" s="119"/>
      <c r="N30" s="108"/>
      <c r="O30" s="95"/>
      <c r="P30" s="95"/>
      <c r="Q30" s="95"/>
      <c r="R30" s="95"/>
      <c r="S30" s="95"/>
      <c r="T30" s="270"/>
    </row>
    <row r="31" spans="1:20" ht="17.149999999999999" customHeight="1">
      <c r="A31" s="131"/>
      <c r="B31" s="562"/>
      <c r="C31" s="566"/>
      <c r="D31" s="564"/>
      <c r="E31" s="564"/>
      <c r="F31" s="564"/>
      <c r="G31" s="564"/>
      <c r="H31" s="564"/>
      <c r="I31" s="564"/>
      <c r="J31" s="567"/>
      <c r="K31" s="120"/>
      <c r="L31" s="570"/>
      <c r="M31" s="134"/>
      <c r="N31" s="108"/>
      <c r="O31" s="95"/>
      <c r="P31" s="95"/>
      <c r="Q31" s="95"/>
      <c r="R31" s="95"/>
      <c r="S31" s="95"/>
      <c r="T31" s="270"/>
    </row>
    <row r="32" spans="1:20" ht="17.149999999999999" customHeight="1">
      <c r="A32" s="131"/>
      <c r="B32" s="119"/>
      <c r="C32" s="120"/>
      <c r="D32" s="319"/>
      <c r="E32" s="319"/>
      <c r="F32" s="319"/>
      <c r="G32" s="319"/>
      <c r="H32" s="319"/>
      <c r="I32" s="319"/>
      <c r="J32" s="118"/>
      <c r="K32" s="120"/>
      <c r="L32" s="118"/>
      <c r="M32" s="119"/>
      <c r="N32" s="108"/>
      <c r="O32" s="95"/>
      <c r="P32" s="95"/>
      <c r="Q32" s="95"/>
      <c r="R32" s="95"/>
      <c r="S32" s="95"/>
      <c r="T32" s="270"/>
    </row>
    <row r="33" spans="1:20" ht="17.149999999999999" customHeight="1">
      <c r="A33" s="131"/>
      <c r="B33" s="119"/>
      <c r="C33" s="120"/>
      <c r="D33" s="565"/>
      <c r="E33" s="565"/>
      <c r="F33" s="565"/>
      <c r="G33" s="565"/>
      <c r="H33" s="565"/>
      <c r="I33" s="565"/>
      <c r="J33" s="118"/>
      <c r="K33" s="120"/>
      <c r="L33" s="118"/>
      <c r="M33" s="119"/>
      <c r="N33" s="108"/>
      <c r="O33" s="95"/>
      <c r="P33" s="95"/>
      <c r="Q33" s="95"/>
      <c r="R33" s="95"/>
      <c r="S33" s="95"/>
      <c r="T33" s="270"/>
    </row>
    <row r="34" spans="1:20" ht="17.149999999999999" customHeight="1">
      <c r="A34" s="131"/>
      <c r="B34" s="562"/>
      <c r="C34" s="569"/>
      <c r="D34" s="564"/>
      <c r="E34" s="564"/>
      <c r="F34" s="564"/>
      <c r="G34" s="564"/>
      <c r="H34" s="564"/>
      <c r="I34" s="564"/>
      <c r="J34" s="136"/>
      <c r="K34" s="120"/>
      <c r="L34" s="570"/>
      <c r="M34" s="134"/>
      <c r="N34" s="108"/>
      <c r="O34" s="95"/>
      <c r="P34" s="95"/>
      <c r="Q34" s="95"/>
      <c r="R34" s="95"/>
      <c r="S34" s="95"/>
      <c r="T34" s="270"/>
    </row>
    <row r="35" spans="1:20" ht="17.149999999999999" customHeight="1">
      <c r="A35" s="131"/>
      <c r="B35" s="119"/>
      <c r="C35" s="120"/>
      <c r="D35" s="319"/>
      <c r="E35" s="319"/>
      <c r="F35" s="319"/>
      <c r="G35" s="319"/>
      <c r="H35" s="319"/>
      <c r="I35" s="319"/>
      <c r="J35" s="118"/>
      <c r="K35" s="120"/>
      <c r="L35" s="118"/>
      <c r="M35" s="119"/>
      <c r="N35" s="108"/>
      <c r="O35" s="95"/>
      <c r="P35" s="95"/>
      <c r="Q35" s="95"/>
      <c r="R35" s="95"/>
      <c r="S35" s="95"/>
      <c r="T35" s="270"/>
    </row>
    <row r="36" spans="1:20" ht="17.149999999999999" customHeight="1">
      <c r="A36" s="131"/>
      <c r="B36" s="119"/>
      <c r="C36" s="120"/>
      <c r="D36" s="565"/>
      <c r="E36" s="565"/>
      <c r="F36" s="565"/>
      <c r="G36" s="565"/>
      <c r="H36" s="565"/>
      <c r="I36" s="565"/>
      <c r="J36" s="118"/>
      <c r="K36" s="120"/>
      <c r="L36" s="118"/>
      <c r="M36" s="119"/>
      <c r="N36" s="108"/>
      <c r="O36" s="95"/>
      <c r="P36" s="95"/>
      <c r="Q36" s="95"/>
      <c r="R36" s="95"/>
      <c r="S36" s="95"/>
      <c r="T36" s="270"/>
    </row>
    <row r="37" spans="1:20" ht="17.149999999999999" customHeight="1">
      <c r="A37" s="131"/>
      <c r="B37" s="562"/>
      <c r="C37" s="566"/>
      <c r="D37" s="564"/>
      <c r="E37" s="564"/>
      <c r="F37" s="564"/>
      <c r="G37" s="564"/>
      <c r="H37" s="564"/>
      <c r="I37" s="564"/>
      <c r="J37" s="567"/>
      <c r="K37" s="120"/>
      <c r="L37" s="570"/>
      <c r="M37" s="134"/>
      <c r="N37" s="108"/>
      <c r="O37" s="95"/>
      <c r="P37" s="95"/>
      <c r="Q37" s="95"/>
      <c r="R37" s="95"/>
      <c r="S37" s="95"/>
      <c r="T37" s="270"/>
    </row>
    <row r="38" spans="1:20" ht="17.149999999999999" customHeight="1">
      <c r="A38" s="131"/>
      <c r="B38" s="119"/>
      <c r="C38" s="120"/>
      <c r="D38" s="319"/>
      <c r="E38" s="319"/>
      <c r="F38" s="319"/>
      <c r="G38" s="319"/>
      <c r="H38" s="319"/>
      <c r="I38" s="319"/>
      <c r="J38" s="118"/>
      <c r="K38" s="120"/>
      <c r="L38" s="118"/>
      <c r="M38" s="119"/>
      <c r="N38" s="108"/>
      <c r="O38" s="95"/>
      <c r="P38" s="95"/>
      <c r="Q38" s="95"/>
      <c r="R38" s="95"/>
      <c r="S38" s="95"/>
      <c r="T38" s="270"/>
    </row>
    <row r="39" spans="1:20" ht="17.149999999999999" customHeight="1">
      <c r="A39" s="131"/>
      <c r="B39" s="119"/>
      <c r="C39" s="120"/>
      <c r="D39" s="565"/>
      <c r="E39" s="565"/>
      <c r="F39" s="565"/>
      <c r="G39" s="565"/>
      <c r="H39" s="565"/>
      <c r="I39" s="565"/>
      <c r="J39" s="118"/>
      <c r="K39" s="120"/>
      <c r="L39" s="118"/>
      <c r="M39" s="119"/>
      <c r="N39" s="108"/>
      <c r="O39" s="95"/>
      <c r="P39" s="95"/>
      <c r="Q39" s="95"/>
      <c r="R39" s="95"/>
      <c r="S39" s="95"/>
      <c r="T39" s="270"/>
    </row>
    <row r="40" spans="1:20" ht="17.149999999999999" customHeight="1">
      <c r="A40" s="131"/>
      <c r="B40" s="562"/>
      <c r="C40" s="566"/>
      <c r="D40" s="564"/>
      <c r="E40" s="564"/>
      <c r="F40" s="564"/>
      <c r="G40" s="564"/>
      <c r="H40" s="564"/>
      <c r="I40" s="564"/>
      <c r="J40" s="567"/>
      <c r="K40" s="120"/>
      <c r="L40" s="570"/>
      <c r="M40" s="134"/>
      <c r="N40" s="108"/>
      <c r="O40" s="95"/>
      <c r="P40" s="95"/>
      <c r="Q40" s="95"/>
      <c r="R40" s="95"/>
      <c r="S40" s="95"/>
      <c r="T40" s="270"/>
    </row>
    <row r="41" spans="1:20" ht="17.149999999999999" customHeight="1">
      <c r="A41" s="131"/>
      <c r="B41" s="119"/>
      <c r="C41" s="120"/>
      <c r="D41" s="319"/>
      <c r="E41" s="319"/>
      <c r="F41" s="319"/>
      <c r="G41" s="319"/>
      <c r="H41" s="319"/>
      <c r="I41" s="319"/>
      <c r="J41" s="118"/>
      <c r="K41" s="120"/>
      <c r="L41" s="118"/>
      <c r="M41" s="119"/>
      <c r="N41" s="108"/>
      <c r="O41" s="95"/>
      <c r="P41" s="95"/>
      <c r="Q41" s="95"/>
      <c r="R41" s="95"/>
      <c r="S41" s="95"/>
      <c r="T41" s="270"/>
    </row>
    <row r="42" spans="1:20" ht="17.149999999999999" customHeight="1">
      <c r="A42" s="131"/>
      <c r="B42" s="119"/>
      <c r="C42" s="120"/>
      <c r="D42" s="565"/>
      <c r="E42" s="565"/>
      <c r="F42" s="565"/>
      <c r="G42" s="565"/>
      <c r="H42" s="565"/>
      <c r="I42" s="565"/>
      <c r="J42" s="118"/>
      <c r="K42" s="120"/>
      <c r="L42" s="118"/>
      <c r="M42" s="119"/>
      <c r="N42" s="108"/>
      <c r="O42" s="95"/>
      <c r="P42" s="95"/>
      <c r="Q42" s="95"/>
      <c r="R42" s="95"/>
      <c r="S42" s="95"/>
      <c r="T42" s="270"/>
    </row>
    <row r="43" spans="1:20" ht="17.149999999999999" customHeight="1">
      <c r="A43" s="131"/>
      <c r="B43" s="562"/>
      <c r="C43" s="566"/>
      <c r="D43" s="564"/>
      <c r="E43" s="564"/>
      <c r="F43" s="564"/>
      <c r="G43" s="564"/>
      <c r="H43" s="564"/>
      <c r="I43" s="564"/>
      <c r="J43" s="567"/>
      <c r="K43" s="120"/>
      <c r="L43" s="570"/>
      <c r="M43" s="134"/>
      <c r="N43" s="108"/>
      <c r="O43" s="95"/>
      <c r="P43" s="95"/>
      <c r="Q43" s="95"/>
      <c r="R43" s="95"/>
      <c r="S43" s="95"/>
      <c r="T43" s="270"/>
    </row>
    <row r="44" spans="1:20" ht="17.149999999999999" customHeight="1">
      <c r="A44" s="131"/>
      <c r="B44" s="119"/>
      <c r="C44" s="120"/>
      <c r="D44" s="319"/>
      <c r="E44" s="319"/>
      <c r="F44" s="319"/>
      <c r="G44" s="319"/>
      <c r="H44" s="319"/>
      <c r="I44" s="319"/>
      <c r="J44" s="118"/>
      <c r="K44" s="120"/>
      <c r="L44" s="118"/>
      <c r="M44" s="119"/>
      <c r="N44" s="108"/>
      <c r="O44" s="95"/>
      <c r="P44" s="95"/>
      <c r="Q44" s="95"/>
      <c r="R44" s="95"/>
      <c r="S44" s="95"/>
      <c r="T44" s="270"/>
    </row>
    <row r="45" spans="1:20" ht="17.149999999999999" customHeight="1">
      <c r="A45" s="131"/>
      <c r="B45" s="119"/>
      <c r="C45" s="120"/>
      <c r="D45" s="565"/>
      <c r="E45" s="565"/>
      <c r="F45" s="565"/>
      <c r="G45" s="565"/>
      <c r="H45" s="565"/>
      <c r="I45" s="565"/>
      <c r="J45" s="118"/>
      <c r="K45" s="120"/>
      <c r="L45" s="118"/>
      <c r="M45" s="134"/>
      <c r="N45" s="108"/>
      <c r="O45" s="95"/>
      <c r="P45" s="95"/>
      <c r="Q45" s="95"/>
      <c r="R45" s="95"/>
      <c r="S45" s="95"/>
      <c r="T45" s="270"/>
    </row>
    <row r="46" spans="1:20" ht="17.149999999999999" customHeight="1">
      <c r="A46" s="131"/>
      <c r="B46" s="562"/>
      <c r="C46" s="566"/>
      <c r="D46" s="564"/>
      <c r="E46" s="564"/>
      <c r="F46" s="564"/>
      <c r="G46" s="564"/>
      <c r="H46" s="564"/>
      <c r="I46" s="564"/>
      <c r="J46" s="567"/>
      <c r="K46" s="120"/>
      <c r="L46" s="570"/>
      <c r="M46" s="137"/>
      <c r="N46" s="108"/>
      <c r="O46" s="95"/>
      <c r="P46" s="95"/>
      <c r="Q46" s="95"/>
      <c r="R46" s="95"/>
      <c r="S46" s="95"/>
      <c r="T46" s="270"/>
    </row>
    <row r="47" spans="1:20" ht="17.149999999999999" customHeight="1">
      <c r="A47" s="131"/>
      <c r="B47" s="119"/>
      <c r="C47" s="120"/>
      <c r="D47" s="319"/>
      <c r="E47" s="319"/>
      <c r="F47" s="319"/>
      <c r="G47" s="319"/>
      <c r="H47" s="319"/>
      <c r="I47" s="319"/>
      <c r="J47" s="118"/>
      <c r="K47" s="120"/>
      <c r="L47" s="118"/>
      <c r="M47" s="119"/>
      <c r="N47" s="108"/>
      <c r="O47" s="95"/>
      <c r="P47" s="95"/>
      <c r="Q47" s="95"/>
      <c r="R47" s="95"/>
      <c r="S47" s="95"/>
      <c r="T47" s="270"/>
    </row>
    <row r="48" spans="1:20" ht="17.149999999999999" customHeight="1">
      <c r="A48" s="131"/>
      <c r="B48" s="119"/>
      <c r="C48" s="120"/>
      <c r="D48" s="565"/>
      <c r="E48" s="565"/>
      <c r="F48" s="565"/>
      <c r="G48" s="565"/>
      <c r="H48" s="565"/>
      <c r="I48" s="565"/>
      <c r="J48" s="118"/>
      <c r="K48" s="120"/>
      <c r="L48" s="118"/>
      <c r="M48" s="119"/>
      <c r="N48" s="108"/>
      <c r="O48" s="95"/>
      <c r="P48" s="95"/>
      <c r="Q48" s="95"/>
      <c r="R48" s="95"/>
      <c r="S48" s="95"/>
      <c r="T48" s="270"/>
    </row>
    <row r="49" spans="1:20" ht="17.149999999999999" customHeight="1">
      <c r="A49" s="131"/>
      <c r="B49" s="562"/>
      <c r="C49" s="566"/>
      <c r="D49" s="564"/>
      <c r="E49" s="564"/>
      <c r="F49" s="564"/>
      <c r="G49" s="564"/>
      <c r="H49" s="564"/>
      <c r="I49" s="564"/>
      <c r="J49" s="567"/>
      <c r="K49" s="120"/>
      <c r="L49" s="570"/>
      <c r="M49" s="134"/>
      <c r="N49" s="108"/>
      <c r="O49" s="95"/>
      <c r="P49" s="95"/>
      <c r="Q49" s="95"/>
      <c r="R49" s="95"/>
      <c r="S49" s="95"/>
      <c r="T49" s="270"/>
    </row>
    <row r="50" spans="1:20" ht="17.149999999999999" customHeight="1">
      <c r="A50" s="131"/>
      <c r="B50" s="119"/>
      <c r="C50" s="120"/>
      <c r="D50" s="568"/>
      <c r="E50" s="568"/>
      <c r="F50" s="568"/>
      <c r="G50" s="568"/>
      <c r="H50" s="568"/>
      <c r="I50" s="568"/>
      <c r="J50" s="118"/>
      <c r="K50" s="120"/>
      <c r="L50" s="118"/>
      <c r="M50" s="119"/>
      <c r="N50" s="108"/>
      <c r="O50" s="95"/>
      <c r="P50" s="95"/>
      <c r="Q50" s="95"/>
      <c r="R50" s="95"/>
      <c r="S50" s="95"/>
      <c r="T50" s="270"/>
    </row>
    <row r="51" spans="1:20" ht="17.149999999999999" customHeight="1">
      <c r="A51" s="131"/>
      <c r="B51" s="138"/>
      <c r="C51" s="126"/>
      <c r="D51" s="102"/>
      <c r="E51" s="102"/>
      <c r="F51" s="102"/>
      <c r="G51" s="102"/>
      <c r="H51" s="102"/>
      <c r="I51" s="102"/>
      <c r="J51" s="125"/>
      <c r="K51" s="126"/>
      <c r="L51" s="125"/>
      <c r="M51" s="138"/>
      <c r="N51" s="108"/>
      <c r="O51" s="95"/>
      <c r="P51" s="95"/>
      <c r="Q51" s="95"/>
      <c r="R51" s="95"/>
      <c r="S51" s="95"/>
      <c r="T51" s="270"/>
    </row>
    <row r="52" spans="1:20" ht="17.149999999999999" customHeight="1">
      <c r="A52" s="131"/>
      <c r="B52" s="139" t="s">
        <v>112</v>
      </c>
      <c r="C52" s="133"/>
      <c r="D52" s="323"/>
      <c r="E52" s="323"/>
      <c r="F52" s="323"/>
      <c r="G52" s="323"/>
      <c r="H52" s="323"/>
      <c r="I52" s="323"/>
      <c r="J52" s="114"/>
      <c r="K52" s="133"/>
      <c r="L52" s="114"/>
      <c r="M52" s="132"/>
      <c r="N52" s="108"/>
      <c r="O52" s="95"/>
      <c r="P52" s="95"/>
      <c r="Q52" s="95"/>
      <c r="R52" s="95"/>
      <c r="S52" s="95"/>
      <c r="T52" s="270"/>
    </row>
    <row r="53" spans="1:20" ht="17.149999999999999" customHeight="1">
      <c r="A53" s="131"/>
      <c r="B53" s="138"/>
      <c r="C53" s="126"/>
      <c r="D53" s="102"/>
      <c r="E53" s="102"/>
      <c r="F53" s="102"/>
      <c r="G53" s="102"/>
      <c r="H53" s="102"/>
      <c r="I53" s="102"/>
      <c r="J53" s="125"/>
      <c r="K53" s="126"/>
      <c r="L53" s="125"/>
      <c r="M53" s="138"/>
      <c r="N53" s="108"/>
      <c r="O53" s="95"/>
      <c r="P53" s="95"/>
      <c r="Q53" s="95"/>
      <c r="R53" s="95"/>
      <c r="S53" s="95"/>
      <c r="T53" s="270"/>
    </row>
    <row r="54" spans="1:20" ht="17.149999999999999" customHeight="1">
      <c r="A54" s="131"/>
      <c r="B54" s="132"/>
      <c r="C54" s="133"/>
      <c r="D54" s="113"/>
      <c r="E54" s="113"/>
      <c r="F54" s="113"/>
      <c r="G54" s="113"/>
      <c r="H54" s="113"/>
      <c r="I54" s="140" t="s">
        <v>113</v>
      </c>
      <c r="J54" s="114"/>
      <c r="K54" s="133"/>
      <c r="L54" s="757">
        <v>208567180824</v>
      </c>
      <c r="M54" s="758">
        <v>100</v>
      </c>
      <c r="N54" s="108"/>
      <c r="O54" s="95"/>
      <c r="P54" s="95"/>
      <c r="Q54" s="95"/>
      <c r="R54" s="95"/>
      <c r="S54" s="95"/>
      <c r="T54" s="270"/>
    </row>
    <row r="55" spans="1:20" ht="17.149999999999999" customHeight="1">
      <c r="A55" s="131"/>
      <c r="B55" s="138"/>
      <c r="C55" s="126"/>
      <c r="D55" s="124"/>
      <c r="E55" s="124"/>
      <c r="F55" s="124"/>
      <c r="G55" s="124"/>
      <c r="H55" s="124"/>
      <c r="I55" s="124"/>
      <c r="J55" s="125"/>
      <c r="K55" s="126"/>
      <c r="L55" s="561"/>
      <c r="M55" s="560"/>
      <c r="N55" s="108"/>
      <c r="O55" s="95"/>
      <c r="P55" s="95"/>
      <c r="Q55" s="95"/>
      <c r="R55" s="95"/>
      <c r="S55" s="95"/>
      <c r="T55" s="270"/>
    </row>
    <row r="56" spans="1:20" ht="17.149999999999999" customHeight="1">
      <c r="A56" s="95"/>
      <c r="B56" s="127"/>
      <c r="C56" s="127"/>
      <c r="D56" s="127"/>
      <c r="E56" s="127"/>
      <c r="F56" s="127"/>
      <c r="G56" s="127"/>
      <c r="H56" s="127"/>
      <c r="I56" s="127"/>
      <c r="J56" s="127"/>
      <c r="K56" s="127"/>
      <c r="L56" s="127"/>
      <c r="M56" s="127"/>
      <c r="N56" s="95"/>
      <c r="O56" s="95"/>
      <c r="P56" s="95"/>
      <c r="Q56" s="95"/>
      <c r="R56" s="95"/>
      <c r="S56" s="95"/>
      <c r="T56" s="270"/>
    </row>
    <row r="57" spans="1:20" ht="17.149999999999999" customHeight="1">
      <c r="A57" s="95"/>
      <c r="B57" s="116" t="s">
        <v>114</v>
      </c>
      <c r="C57" s="95"/>
      <c r="D57" s="95"/>
      <c r="E57" s="95"/>
      <c r="F57" s="95"/>
      <c r="G57" s="95"/>
      <c r="H57" s="95"/>
      <c r="I57" s="95"/>
      <c r="J57" s="95"/>
      <c r="K57" s="95"/>
      <c r="L57" s="95"/>
      <c r="M57" s="95"/>
      <c r="N57" s="95"/>
      <c r="O57" s="95"/>
      <c r="P57" s="95"/>
      <c r="Q57" s="95"/>
      <c r="R57" s="95"/>
      <c r="S57" s="95"/>
      <c r="T57" s="270"/>
    </row>
    <row r="58" spans="1:20" ht="17.149999999999999" customHeight="1">
      <c r="A58" s="95"/>
      <c r="B58" s="116" t="s">
        <v>115</v>
      </c>
      <c r="C58" s="95"/>
      <c r="D58" s="95"/>
      <c r="E58" s="95"/>
      <c r="F58" s="95"/>
      <c r="G58" s="95"/>
      <c r="H58" s="95"/>
      <c r="I58" s="95"/>
      <c r="J58" s="95"/>
      <c r="K58" s="95"/>
      <c r="L58" s="95"/>
      <c r="M58" s="95"/>
      <c r="N58" s="95"/>
      <c r="O58" s="95"/>
      <c r="P58" s="95"/>
      <c r="Q58" s="95"/>
      <c r="R58" s="95"/>
      <c r="S58" s="95"/>
      <c r="T58" s="270"/>
    </row>
    <row r="59" spans="1:20" ht="17.149999999999999" customHeight="1">
      <c r="A59" s="95"/>
      <c r="B59" s="116" t="s">
        <v>116</v>
      </c>
      <c r="C59" s="95"/>
      <c r="D59" s="95"/>
      <c r="E59" s="95"/>
      <c r="F59" s="95"/>
      <c r="G59" s="95"/>
      <c r="H59" s="95"/>
      <c r="I59" s="95"/>
      <c r="J59" s="95"/>
      <c r="K59" s="95"/>
      <c r="L59" s="95"/>
      <c r="M59" s="95"/>
      <c r="N59" s="95"/>
      <c r="O59" s="95"/>
      <c r="P59" s="95"/>
      <c r="Q59" s="95"/>
      <c r="R59" s="95"/>
      <c r="S59" s="95"/>
      <c r="T59" s="270"/>
    </row>
  </sheetData>
  <sheetProtection sheet="false"/>
  <mergeCells count="12">
    <mergeCell ref="Q13:R13"/>
    <mergeCell ref="A23:T23"/>
    <mergeCell ref="C25:J25"/>
    <mergeCell ref="K25:L25"/>
    <mergeCell ref="C1:S1"/>
    <mergeCell ref="B3:K3"/>
    <mergeCell ref="B5:I5"/>
    <mergeCell ref="L7:Q7"/>
    <mergeCell ref="Q9:R9"/>
    <mergeCell ref="Q11:R11"/>
    <mergeCell ref="N5:S5"/>
    <mergeCell ref="M3:S3"/>
  </mergeCells>
  <pageMargins left="0.7" right="0.7" top="0.75" bottom="0.75" header="0.3" footer="0.3"/>
  <pageSetup paperSize="9" scale="65"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46"/>
  <sheetViews>
    <sheetView topLeftCell="A31" zoomScale="112" workbookViewId="0">
      <selection activeCell="H39" sqref="H39"/>
    </sheetView>
  </sheetViews>
  <sheetFormatPr baseColWidth="10" defaultColWidth="13.5" defaultRowHeight="12.75" customHeight="1"/>
  <cols>
    <col min="1" max="1" customWidth="true" style="96" width="26.0" collapsed="true"/>
    <col min="2" max="2" customWidth="true" style="96" width="19.796875" collapsed="true"/>
    <col min="3" max="5" customWidth="true" style="96" width="17.69921875" collapsed="true"/>
    <col min="6" max="256" customWidth="true" style="96" width="13.5" collapsed="true"/>
    <col min="257" max="16384" style="142" width="13.5" collapsed="true"/>
  </cols>
  <sheetData>
    <row r="1" spans="1:6" ht="16.149999999999999" customHeight="1">
      <c r="A1" s="141" t="s">
        <v>28</v>
      </c>
      <c r="B1" s="947" t="s">
        <v>1423</v>
      </c>
      <c r="C1" s="857"/>
      <c r="D1" s="857"/>
      <c r="E1" s="857"/>
      <c r="F1" s="857"/>
    </row>
    <row r="2" spans="1:6" ht="17.149999999999999" customHeight="1">
      <c r="A2" s="141" t="s">
        <v>29</v>
      </c>
      <c r="B2" s="931" t="s">
        <v>1425</v>
      </c>
      <c r="C2" s="948"/>
      <c r="D2" s="143" t="s">
        <v>30</v>
      </c>
      <c r="E2" s="584" t="s">
        <v>1424</v>
      </c>
      <c r="F2" s="144"/>
    </row>
    <row r="3" spans="1:6" ht="16.149999999999999" customHeight="1">
      <c r="A3" s="141" t="s">
        <v>117</v>
      </c>
      <c r="B3" s="584" t="s">
        <v>1426</v>
      </c>
      <c r="C3" s="145" t="s">
        <v>32</v>
      </c>
      <c r="D3" s="577">
        <v>44926</v>
      </c>
      <c r="E3" s="146" t="s">
        <v>33</v>
      </c>
      <c r="F3" s="584">
        <v>12</v>
      </c>
    </row>
    <row r="4" spans="1:6" ht="8.15" customHeight="1">
      <c r="A4" s="95"/>
      <c r="B4" s="100"/>
      <c r="C4" s="95"/>
      <c r="D4" s="100"/>
      <c r="E4" s="95"/>
      <c r="F4" s="100"/>
    </row>
    <row r="5" spans="1:6" ht="17.149999999999999" customHeight="1">
      <c r="A5" s="921" t="s">
        <v>118</v>
      </c>
      <c r="B5" s="922"/>
      <c r="C5" s="922"/>
      <c r="D5" s="922"/>
      <c r="E5" s="922"/>
      <c r="F5" s="922"/>
    </row>
    <row r="6" spans="1:6" ht="8.15" customHeight="1">
      <c r="A6" s="101"/>
      <c r="B6" s="101"/>
      <c r="C6" s="101"/>
      <c r="D6" s="101"/>
      <c r="E6" s="101"/>
      <c r="F6" s="101"/>
    </row>
    <row r="7" spans="1:6" ht="24" customHeight="1">
      <c r="A7" s="147" t="s">
        <v>119</v>
      </c>
      <c r="B7" s="147" t="s">
        <v>120</v>
      </c>
      <c r="C7" s="147" t="s">
        <v>121</v>
      </c>
      <c r="D7" s="148" t="s">
        <v>117</v>
      </c>
      <c r="E7" s="949" t="s">
        <v>122</v>
      </c>
      <c r="F7" s="950"/>
    </row>
    <row r="8" spans="1:6" ht="17.149999999999999" customHeight="1">
      <c r="A8" s="759" t="s">
        <v>1460</v>
      </c>
      <c r="B8" s="762" t="s">
        <v>1520</v>
      </c>
      <c r="C8" s="764" t="s">
        <v>1461</v>
      </c>
      <c r="D8" s="762"/>
      <c r="E8" s="760" t="s">
        <v>1462</v>
      </c>
      <c r="F8" s="573"/>
    </row>
    <row r="9" spans="1:6" ht="24" customHeight="1">
      <c r="A9" s="759" t="s">
        <v>1463</v>
      </c>
      <c r="B9" s="763" t="s">
        <v>1464</v>
      </c>
      <c r="C9" s="765" t="s">
        <v>1465</v>
      </c>
      <c r="D9" s="763"/>
      <c r="E9" s="761" t="s">
        <v>1462</v>
      </c>
      <c r="F9" s="575"/>
    </row>
    <row r="10" spans="1:6" ht="17.149999999999999" customHeight="1">
      <c r="A10" s="571"/>
      <c r="B10" s="571"/>
      <c r="C10" s="571"/>
      <c r="D10" s="571"/>
      <c r="E10" s="574"/>
      <c r="F10" s="575"/>
    </row>
    <row r="11" spans="1:6" ht="17.149999999999999" customHeight="1">
      <c r="A11" s="135"/>
      <c r="B11" s="135"/>
      <c r="C11" s="135"/>
      <c r="D11" s="135"/>
      <c r="E11" s="115"/>
      <c r="F11" s="150"/>
    </row>
    <row r="12" spans="1:6" ht="17.149999999999999" customHeight="1">
      <c r="A12" s="135"/>
      <c r="B12" s="135"/>
      <c r="C12" s="135"/>
      <c r="D12" s="135"/>
      <c r="E12" s="115"/>
      <c r="F12" s="150"/>
    </row>
    <row r="13" spans="1:6" ht="17.149999999999999" customHeight="1">
      <c r="A13" s="135"/>
      <c r="B13" s="135"/>
      <c r="C13" s="135"/>
      <c r="D13" s="135"/>
      <c r="E13" s="115"/>
      <c r="F13" s="150"/>
    </row>
    <row r="14" spans="1:6" ht="17.149999999999999" customHeight="1">
      <c r="A14" s="135"/>
      <c r="B14" s="135"/>
      <c r="C14" s="135"/>
      <c r="D14" s="135"/>
      <c r="E14" s="115"/>
      <c r="F14" s="150"/>
    </row>
    <row r="15" spans="1:6" ht="17.149999999999999" customHeight="1">
      <c r="A15" s="135"/>
      <c r="B15" s="135"/>
      <c r="C15" s="135"/>
      <c r="D15" s="135"/>
      <c r="E15" s="115"/>
      <c r="F15" s="150"/>
    </row>
    <row r="16" spans="1:6" ht="17.149999999999999" customHeight="1">
      <c r="A16" s="135"/>
      <c r="B16" s="135"/>
      <c r="C16" s="135"/>
      <c r="D16" s="135"/>
      <c r="E16" s="115"/>
      <c r="F16" s="150"/>
    </row>
    <row r="17" spans="1:6" ht="17.149999999999999" customHeight="1">
      <c r="A17" s="135"/>
      <c r="B17" s="135"/>
      <c r="C17" s="135"/>
      <c r="D17" s="135"/>
      <c r="E17" s="115"/>
      <c r="F17" s="150"/>
    </row>
    <row r="18" spans="1:6" ht="17.149999999999999" customHeight="1">
      <c r="A18" s="135"/>
      <c r="B18" s="135"/>
      <c r="C18" s="135"/>
      <c r="D18" s="135"/>
      <c r="E18" s="115"/>
      <c r="F18" s="150"/>
    </row>
    <row r="19" spans="1:6" ht="17.149999999999999" customHeight="1">
      <c r="A19" s="135"/>
      <c r="B19" s="135"/>
      <c r="C19" s="135"/>
      <c r="D19" s="135"/>
      <c r="E19" s="115"/>
      <c r="F19" s="150"/>
    </row>
    <row r="20" spans="1:6" ht="17.149999999999999" customHeight="1">
      <c r="A20" s="135"/>
      <c r="B20" s="135"/>
      <c r="C20" s="135"/>
      <c r="D20" s="135"/>
      <c r="E20" s="115"/>
      <c r="F20" s="150"/>
    </row>
    <row r="21" spans="1:6" ht="17.149999999999999" customHeight="1">
      <c r="A21" s="135"/>
      <c r="B21" s="135"/>
      <c r="C21" s="135"/>
      <c r="D21" s="135"/>
      <c r="E21" s="115"/>
      <c r="F21" s="150"/>
    </row>
    <row r="22" spans="1:6" ht="17.149999999999999" customHeight="1">
      <c r="A22" s="572"/>
      <c r="B22" s="572"/>
      <c r="C22" s="572"/>
      <c r="D22" s="572"/>
      <c r="E22" s="557"/>
      <c r="F22" s="559"/>
    </row>
    <row r="23" spans="1:6" ht="11.25" customHeight="1">
      <c r="A23" s="149" t="s">
        <v>123</v>
      </c>
      <c r="B23" s="127"/>
      <c r="C23" s="127"/>
      <c r="D23" s="127"/>
      <c r="E23" s="127"/>
      <c r="F23" s="127"/>
    </row>
    <row r="24" spans="1:6" ht="8.15" customHeight="1">
      <c r="A24" s="95"/>
      <c r="B24" s="95"/>
      <c r="C24" s="95"/>
      <c r="D24" s="95"/>
      <c r="E24" s="95"/>
      <c r="F24" s="95"/>
    </row>
    <row r="25" spans="1:6" ht="17.149999999999999" customHeight="1">
      <c r="A25" s="921" t="s">
        <v>124</v>
      </c>
      <c r="B25" s="922"/>
      <c r="C25" s="922"/>
      <c r="D25" s="922"/>
      <c r="E25" s="922"/>
      <c r="F25" s="922"/>
    </row>
    <row r="26" spans="1:6" ht="8.15" customHeight="1">
      <c r="A26" s="101"/>
      <c r="B26" s="101"/>
      <c r="C26" s="101"/>
      <c r="D26" s="101"/>
      <c r="E26" s="101"/>
      <c r="F26" s="101"/>
    </row>
    <row r="27" spans="1:6" ht="17.149999999999999" customHeight="1">
      <c r="A27" s="147" t="s">
        <v>119</v>
      </c>
      <c r="B27" s="147" t="s">
        <v>120</v>
      </c>
      <c r="C27" s="949" t="s">
        <v>121</v>
      </c>
      <c r="D27" s="950"/>
      <c r="E27" s="949" t="s">
        <v>122</v>
      </c>
      <c r="F27" s="950"/>
    </row>
    <row r="28" spans="1:6" ht="17.149999999999999" customHeight="1">
      <c r="A28" s="688" t="s">
        <v>1466</v>
      </c>
      <c r="B28" s="687" t="s">
        <v>1467</v>
      </c>
      <c r="C28" s="698" t="s">
        <v>1468</v>
      </c>
      <c r="D28" s="699"/>
      <c r="E28" s="886" t="s">
        <v>1469</v>
      </c>
      <c r="F28" s="951"/>
    </row>
    <row r="29" spans="1:6" ht="17.149999999999999" customHeight="1">
      <c r="A29" s="689" t="s">
        <v>1470</v>
      </c>
      <c r="B29" s="687" t="s">
        <v>1471</v>
      </c>
      <c r="C29" s="698" t="s">
        <v>1468</v>
      </c>
      <c r="D29" s="150"/>
      <c r="E29" s="886" t="s">
        <v>1472</v>
      </c>
      <c r="F29" s="946"/>
    </row>
    <row r="30" spans="1:6" ht="17.149999999999999" customHeight="1">
      <c r="A30" s="689" t="s">
        <v>1473</v>
      </c>
      <c r="B30" s="687" t="s">
        <v>1474</v>
      </c>
      <c r="C30" s="698" t="s">
        <v>1475</v>
      </c>
      <c r="D30" s="150"/>
      <c r="E30" s="886" t="s">
        <v>1476</v>
      </c>
      <c r="F30" s="946"/>
    </row>
    <row r="31" spans="1:6" ht="17.149999999999999" customHeight="1">
      <c r="A31" s="689" t="s">
        <v>1477</v>
      </c>
      <c r="B31" s="687" t="s">
        <v>1478</v>
      </c>
      <c r="C31" s="698" t="s">
        <v>1475</v>
      </c>
      <c r="D31" s="150"/>
      <c r="E31" s="886" t="s">
        <v>1476</v>
      </c>
      <c r="F31" s="946"/>
    </row>
    <row r="32" spans="1:6" ht="17.149999999999999" customHeight="1">
      <c r="A32" s="689" t="s">
        <v>1463</v>
      </c>
      <c r="B32" s="687" t="s">
        <v>1464</v>
      </c>
      <c r="C32" s="698" t="s">
        <v>1475</v>
      </c>
      <c r="D32" s="150"/>
      <c r="E32" s="886" t="s">
        <v>1479</v>
      </c>
      <c r="F32" s="946"/>
    </row>
    <row r="33" spans="1:12" ht="17.149999999999999" customHeight="1">
      <c r="A33" s="689" t="s">
        <v>1480</v>
      </c>
      <c r="B33" s="687" t="s">
        <v>1481</v>
      </c>
      <c r="C33" s="698" t="s">
        <v>1475</v>
      </c>
      <c r="D33" s="150"/>
      <c r="E33" s="886" t="s">
        <v>1479</v>
      </c>
      <c r="F33" s="946"/>
    </row>
    <row r="34" spans="1:12" ht="17.149999999999999" customHeight="1">
      <c r="A34" s="689" t="s">
        <v>1482</v>
      </c>
      <c r="B34" s="687" t="s">
        <v>1483</v>
      </c>
      <c r="C34" s="698" t="s">
        <v>1475</v>
      </c>
      <c r="D34" s="150"/>
      <c r="E34" s="886" t="s">
        <v>1476</v>
      </c>
      <c r="F34" s="946"/>
    </row>
    <row r="35" spans="1:12" ht="17.149999999999999" customHeight="1">
      <c r="A35" s="689" t="s">
        <v>1484</v>
      </c>
      <c r="B35" s="692" t="s">
        <v>1485</v>
      </c>
      <c r="C35" s="700" t="s">
        <v>1475</v>
      </c>
      <c r="D35" s="701"/>
      <c r="E35" s="886" t="s">
        <v>1476</v>
      </c>
      <c r="F35" s="946"/>
    </row>
    <row r="36" spans="1:12" ht="17.149999999999999" customHeight="1">
      <c r="A36" s="693"/>
      <c r="B36" s="940"/>
      <c r="C36" s="940"/>
      <c r="D36" s="941"/>
      <c r="E36" s="942"/>
      <c r="F36" s="943"/>
    </row>
    <row r="37" spans="1:12" ht="17.149999999999999" customHeight="1">
      <c r="A37" s="693"/>
      <c r="B37" s="940"/>
      <c r="C37" s="940"/>
      <c r="D37" s="941"/>
      <c r="E37" s="942"/>
      <c r="F37" s="943"/>
    </row>
    <row r="38" spans="1:12" ht="17.149999999999999" customHeight="1">
      <c r="A38" s="693"/>
      <c r="B38" s="940"/>
      <c r="C38" s="940"/>
      <c r="D38" s="941"/>
      <c r="E38" s="942"/>
      <c r="F38" s="943"/>
    </row>
    <row r="39" spans="1:12" ht="17.149999999999999" customHeight="1">
      <c r="A39" s="694"/>
      <c r="B39" s="940"/>
      <c r="C39" s="940"/>
      <c r="D39" s="941"/>
      <c r="E39" s="942"/>
      <c r="F39" s="943"/>
    </row>
    <row r="40" spans="1:12" ht="17.149999999999999" customHeight="1">
      <c r="A40" s="694"/>
      <c r="B40" s="940"/>
      <c r="C40" s="940"/>
      <c r="D40" s="941"/>
      <c r="E40" s="942"/>
      <c r="F40" s="943"/>
    </row>
    <row r="41" spans="1:12" ht="17.149999999999999" customHeight="1">
      <c r="A41" s="695"/>
      <c r="B41" s="940"/>
      <c r="C41" s="940"/>
      <c r="D41" s="941"/>
      <c r="E41" s="944"/>
      <c r="F41" s="945"/>
      <c r="L41" s="265"/>
    </row>
    <row r="42" spans="1:12" ht="17.149999999999999" customHeight="1">
      <c r="A42" s="695"/>
      <c r="B42" s="940"/>
      <c r="C42" s="940"/>
      <c r="D42" s="941"/>
      <c r="E42" s="944"/>
      <c r="F42" s="945"/>
    </row>
    <row r="43" spans="1:12" ht="17.149999999999999" customHeight="1">
      <c r="A43" s="694"/>
      <c r="B43" s="940"/>
      <c r="C43" s="940"/>
      <c r="D43" s="941"/>
      <c r="E43" s="388"/>
      <c r="F43" s="150"/>
    </row>
    <row r="44" spans="1:12" ht="17.149999999999999" customHeight="1">
      <c r="A44" s="695"/>
      <c r="B44" s="940"/>
      <c r="C44" s="940"/>
      <c r="D44" s="941"/>
      <c r="E44" s="690"/>
      <c r="F44" s="118"/>
    </row>
    <row r="45" spans="1:12" ht="17.149999999999999" customHeight="1">
      <c r="A45" s="696"/>
      <c r="B45" s="691"/>
      <c r="C45" s="691"/>
      <c r="D45" s="697"/>
      <c r="E45" s="691"/>
      <c r="F45" s="125"/>
      <c r="I45" s="265"/>
      <c r="J45" s="265"/>
    </row>
    <row r="46" spans="1:12" ht="8.15" customHeight="1">
      <c r="A46" s="127"/>
      <c r="B46" s="263"/>
      <c r="C46" s="263"/>
      <c r="D46" s="263"/>
      <c r="E46" s="127"/>
      <c r="F46" s="127"/>
    </row>
  </sheetData>
  <sheetProtection sheet="false"/>
  <mergeCells count="31">
    <mergeCell ref="B42:D42"/>
    <mergeCell ref="B43:D43"/>
    <mergeCell ref="B44:D44"/>
    <mergeCell ref="B1:F1"/>
    <mergeCell ref="B2:C2"/>
    <mergeCell ref="A5:F5"/>
    <mergeCell ref="E7:F7"/>
    <mergeCell ref="E42:F42"/>
    <mergeCell ref="A25:F25"/>
    <mergeCell ref="C27:D27"/>
    <mergeCell ref="E27:F27"/>
    <mergeCell ref="E28:F28"/>
    <mergeCell ref="E29:F29"/>
    <mergeCell ref="E30:F30"/>
    <mergeCell ref="E31:F31"/>
    <mergeCell ref="E32:F32"/>
    <mergeCell ref="E33:F33"/>
    <mergeCell ref="E34:F34"/>
    <mergeCell ref="E35:F35"/>
    <mergeCell ref="E36:F36"/>
    <mergeCell ref="B36:D36"/>
    <mergeCell ref="E40:F40"/>
    <mergeCell ref="E41:F41"/>
    <mergeCell ref="E37:F37"/>
    <mergeCell ref="E38:F38"/>
    <mergeCell ref="E39:F39"/>
    <mergeCell ref="B37:D37"/>
    <mergeCell ref="B38:D38"/>
    <mergeCell ref="B39:D39"/>
    <mergeCell ref="B40:D40"/>
    <mergeCell ref="B41:D41"/>
  </mergeCells>
  <pageMargins left="0.7" right="0.7" top="0.75" bottom="0.75" header="0.3" footer="0.3"/>
  <pageSetup paperSize="9" scale="8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47"/>
  <sheetViews>
    <sheetView zoomScaleNormal="100" workbookViewId="0">
      <selection activeCell="H39" sqref="H39"/>
    </sheetView>
  </sheetViews>
  <sheetFormatPr baseColWidth="10" defaultColWidth="12" defaultRowHeight="14"/>
  <cols>
    <col min="1" max="1" customWidth="true" style="153" width="19.5" collapsed="true"/>
    <col min="2" max="2" customWidth="true" style="156" width="70.296875" collapsed="true"/>
    <col min="3" max="16384" style="153" width="12.0" collapsed="true"/>
  </cols>
  <sheetData>
    <row r="1" spans="1:4" ht="14.5" customHeight="1" thickBot="1">
      <c r="A1" s="151" t="s">
        <v>125</v>
      </c>
      <c r="B1" s="152" t="s">
        <v>126</v>
      </c>
      <c r="C1" s="553" t="s">
        <v>127</v>
      </c>
      <c r="D1" s="553" t="s">
        <v>128</v>
      </c>
    </row>
    <row r="2" spans="1:4" ht="14.5" customHeight="1" thickTop="1">
      <c r="A2" s="154" t="s">
        <v>129</v>
      </c>
      <c r="B2" s="155" t="s">
        <v>130</v>
      </c>
      <c r="C2" s="553"/>
      <c r="D2" s="585" t="s">
        <v>18</v>
      </c>
    </row>
    <row r="3" spans="1:4">
      <c r="A3" s="154" t="s">
        <v>131</v>
      </c>
      <c r="B3" s="155" t="s">
        <v>132</v>
      </c>
      <c r="C3" s="585" t="s">
        <v>18</v>
      </c>
      <c r="D3" s="553"/>
    </row>
    <row r="4" spans="1:4">
      <c r="A4" s="154" t="s">
        <v>133</v>
      </c>
      <c r="B4" s="155" t="s">
        <v>134</v>
      </c>
      <c r="C4" s="585" t="s">
        <v>18</v>
      </c>
      <c r="D4" s="553"/>
    </row>
    <row r="5" spans="1:4">
      <c r="A5" s="154" t="s">
        <v>135</v>
      </c>
      <c r="B5" s="155" t="s">
        <v>136</v>
      </c>
      <c r="C5" s="585" t="s">
        <v>18</v>
      </c>
      <c r="D5" s="553"/>
    </row>
    <row r="6" spans="1:4">
      <c r="A6" s="154" t="s">
        <v>137</v>
      </c>
      <c r="B6" s="155" t="s">
        <v>138</v>
      </c>
      <c r="C6" s="586" t="s">
        <v>18</v>
      </c>
      <c r="D6" s="553"/>
    </row>
    <row r="7" spans="1:4">
      <c r="A7" s="154" t="s">
        <v>139</v>
      </c>
      <c r="B7" s="155" t="s">
        <v>140</v>
      </c>
      <c r="C7" s="585" t="s">
        <v>18</v>
      </c>
      <c r="D7" s="553"/>
    </row>
    <row r="8" spans="1:4" ht="28">
      <c r="A8" s="154" t="s">
        <v>141</v>
      </c>
      <c r="B8" s="155" t="s">
        <v>142</v>
      </c>
      <c r="C8" s="586" t="s">
        <v>18</v>
      </c>
      <c r="D8" s="553"/>
    </row>
    <row r="9" spans="1:4">
      <c r="A9" s="154" t="s">
        <v>143</v>
      </c>
      <c r="B9" s="155" t="s">
        <v>144</v>
      </c>
      <c r="C9" s="585" t="s">
        <v>18</v>
      </c>
      <c r="D9" s="553"/>
    </row>
    <row r="10" spans="1:4">
      <c r="A10" s="154" t="s">
        <v>145</v>
      </c>
      <c r="B10" s="155" t="s">
        <v>146</v>
      </c>
      <c r="C10" s="585" t="s">
        <v>18</v>
      </c>
      <c r="D10" s="553"/>
    </row>
    <row r="11" spans="1:4">
      <c r="A11" s="154" t="s">
        <v>147</v>
      </c>
      <c r="B11" s="155" t="s">
        <v>148</v>
      </c>
      <c r="C11" s="585" t="s">
        <v>18</v>
      </c>
      <c r="D11" s="553"/>
    </row>
    <row r="12" spans="1:4">
      <c r="A12" s="154" t="s">
        <v>149</v>
      </c>
      <c r="B12" s="155" t="s">
        <v>150</v>
      </c>
      <c r="C12" s="585" t="s">
        <v>18</v>
      </c>
      <c r="D12" s="553"/>
    </row>
    <row r="13" spans="1:4">
      <c r="A13" s="154" t="s">
        <v>151</v>
      </c>
      <c r="B13" s="155" t="s">
        <v>152</v>
      </c>
      <c r="C13" s="585" t="s">
        <v>18</v>
      </c>
      <c r="D13" s="553"/>
    </row>
    <row r="14" spans="1:4">
      <c r="A14" s="154" t="s">
        <v>153</v>
      </c>
      <c r="B14" s="155" t="s">
        <v>154</v>
      </c>
      <c r="C14" s="586" t="s">
        <v>18</v>
      </c>
      <c r="D14" s="553"/>
    </row>
    <row r="15" spans="1:4">
      <c r="A15" s="154" t="s">
        <v>155</v>
      </c>
      <c r="B15" s="155" t="s">
        <v>156</v>
      </c>
      <c r="C15" s="585" t="s">
        <v>18</v>
      </c>
      <c r="D15" s="553"/>
    </row>
    <row r="16" spans="1:4">
      <c r="A16" s="154" t="s">
        <v>157</v>
      </c>
      <c r="B16" s="155" t="s">
        <v>158</v>
      </c>
      <c r="C16" s="585" t="s">
        <v>18</v>
      </c>
      <c r="D16" s="553"/>
    </row>
    <row r="17" spans="1:4">
      <c r="A17" s="154" t="s">
        <v>159</v>
      </c>
      <c r="B17" s="155" t="s">
        <v>160</v>
      </c>
      <c r="C17" s="585" t="s">
        <v>18</v>
      </c>
      <c r="D17" s="553"/>
    </row>
    <row r="18" spans="1:4">
      <c r="A18" s="154" t="s">
        <v>161</v>
      </c>
      <c r="B18" s="155" t="s">
        <v>162</v>
      </c>
      <c r="C18" s="585" t="s">
        <v>18</v>
      </c>
      <c r="D18" s="553"/>
    </row>
    <row r="19" spans="1:4">
      <c r="A19" s="154" t="s">
        <v>163</v>
      </c>
      <c r="B19" s="155" t="s">
        <v>164</v>
      </c>
      <c r="C19" s="585" t="s">
        <v>18</v>
      </c>
      <c r="D19" s="553"/>
    </row>
    <row r="20" spans="1:4">
      <c r="A20" s="154" t="s">
        <v>165</v>
      </c>
      <c r="B20" s="155" t="s">
        <v>166</v>
      </c>
      <c r="C20" s="585" t="s">
        <v>18</v>
      </c>
      <c r="D20" s="553"/>
    </row>
    <row r="21" spans="1:4">
      <c r="A21" s="154" t="s">
        <v>167</v>
      </c>
      <c r="B21" s="155" t="s">
        <v>168</v>
      </c>
      <c r="C21" s="585" t="s">
        <v>18</v>
      </c>
      <c r="D21" s="553"/>
    </row>
    <row r="22" spans="1:4">
      <c r="A22" s="154" t="s">
        <v>169</v>
      </c>
      <c r="B22" s="155" t="s">
        <v>170</v>
      </c>
      <c r="C22" s="585" t="s">
        <v>18</v>
      </c>
      <c r="D22" s="553"/>
    </row>
    <row r="23" spans="1:4">
      <c r="A23" s="154" t="s">
        <v>171</v>
      </c>
      <c r="B23" s="155" t="s">
        <v>172</v>
      </c>
      <c r="C23" s="585" t="s">
        <v>18</v>
      </c>
      <c r="D23" s="553"/>
    </row>
    <row r="24" spans="1:4" ht="27.65" customHeight="1">
      <c r="A24" s="154" t="s">
        <v>173</v>
      </c>
      <c r="B24" s="155" t="s">
        <v>174</v>
      </c>
      <c r="C24" s="585" t="s">
        <v>18</v>
      </c>
      <c r="D24" s="553"/>
    </row>
    <row r="25" spans="1:4" ht="27.65" customHeight="1">
      <c r="A25" s="154" t="s">
        <v>175</v>
      </c>
      <c r="B25" s="155" t="s">
        <v>174</v>
      </c>
      <c r="C25" s="585" t="s">
        <v>18</v>
      </c>
      <c r="D25" s="553"/>
    </row>
    <row r="26" spans="1:4">
      <c r="A26" s="154" t="s">
        <v>176</v>
      </c>
      <c r="B26" s="155" t="s">
        <v>177</v>
      </c>
      <c r="C26" s="585" t="s">
        <v>18</v>
      </c>
      <c r="D26" s="553"/>
    </row>
    <row r="27" spans="1:4">
      <c r="A27" s="154" t="s">
        <v>178</v>
      </c>
      <c r="B27" s="155" t="s">
        <v>179</v>
      </c>
      <c r="C27" s="585" t="s">
        <v>18</v>
      </c>
      <c r="D27" s="553"/>
    </row>
    <row r="28" spans="1:4">
      <c r="A28" s="154" t="s">
        <v>180</v>
      </c>
      <c r="B28" s="155" t="s">
        <v>181</v>
      </c>
      <c r="C28" s="585" t="s">
        <v>18</v>
      </c>
      <c r="D28" s="553"/>
    </row>
    <row r="29" spans="1:4">
      <c r="A29" s="154" t="s">
        <v>182</v>
      </c>
      <c r="B29" s="155" t="s">
        <v>183</v>
      </c>
      <c r="C29" s="585" t="s">
        <v>18</v>
      </c>
      <c r="D29" s="553"/>
    </row>
    <row r="30" spans="1:4">
      <c r="A30" s="154" t="s">
        <v>184</v>
      </c>
      <c r="B30" s="155" t="s">
        <v>185</v>
      </c>
      <c r="C30" s="585" t="s">
        <v>18</v>
      </c>
      <c r="D30" s="553"/>
    </row>
    <row r="31" spans="1:4">
      <c r="A31" s="154" t="s">
        <v>186</v>
      </c>
      <c r="B31" s="155" t="s">
        <v>187</v>
      </c>
      <c r="C31" s="585" t="s">
        <v>18</v>
      </c>
      <c r="D31" s="553"/>
    </row>
    <row r="32" spans="1:4">
      <c r="A32" s="154" t="s">
        <v>188</v>
      </c>
      <c r="B32" s="155" t="s">
        <v>189</v>
      </c>
      <c r="C32" s="585" t="s">
        <v>18</v>
      </c>
      <c r="D32" s="553"/>
    </row>
    <row r="33" spans="1:4">
      <c r="A33" s="154" t="s">
        <v>190</v>
      </c>
      <c r="B33" s="155" t="s">
        <v>191</v>
      </c>
      <c r="C33" s="585" t="s">
        <v>18</v>
      </c>
      <c r="D33" s="553"/>
    </row>
    <row r="34" spans="1:4">
      <c r="A34" s="154" t="s">
        <v>192</v>
      </c>
      <c r="B34" s="155" t="s">
        <v>193</v>
      </c>
      <c r="C34" s="585" t="s">
        <v>18</v>
      </c>
      <c r="D34" s="553"/>
    </row>
    <row r="35" spans="1:4">
      <c r="A35" s="154" t="s">
        <v>194</v>
      </c>
      <c r="B35" s="155" t="s">
        <v>195</v>
      </c>
      <c r="C35" s="585" t="s">
        <v>18</v>
      </c>
      <c r="D35" s="553"/>
    </row>
    <row r="36" spans="1:4">
      <c r="A36" s="154" t="s">
        <v>196</v>
      </c>
      <c r="B36" s="155" t="s">
        <v>197</v>
      </c>
      <c r="C36" s="585" t="s">
        <v>18</v>
      </c>
      <c r="D36" s="553"/>
    </row>
    <row r="37" spans="1:4">
      <c r="A37" s="154" t="s">
        <v>198</v>
      </c>
      <c r="B37" s="155" t="s">
        <v>199</v>
      </c>
      <c r="C37" s="585" t="s">
        <v>18</v>
      </c>
      <c r="D37" s="553"/>
    </row>
    <row r="38" spans="1:4">
      <c r="A38" s="154" t="s">
        <v>200</v>
      </c>
      <c r="B38" s="155" t="s">
        <v>201</v>
      </c>
      <c r="C38" s="585" t="s">
        <v>18</v>
      </c>
      <c r="D38" s="553"/>
    </row>
    <row r="39" spans="1:4">
      <c r="A39" s="154" t="s">
        <v>202</v>
      </c>
      <c r="B39" s="155" t="s">
        <v>203</v>
      </c>
      <c r="C39" s="585" t="s">
        <v>18</v>
      </c>
      <c r="D39" s="553"/>
    </row>
    <row r="40" spans="1:4">
      <c r="A40" s="154" t="s">
        <v>204</v>
      </c>
      <c r="B40" s="155" t="s">
        <v>205</v>
      </c>
      <c r="C40" s="585" t="s">
        <v>18</v>
      </c>
      <c r="D40" s="553"/>
    </row>
    <row r="41" spans="1:4">
      <c r="A41" s="154" t="s">
        <v>206</v>
      </c>
      <c r="B41" s="155" t="s">
        <v>207</v>
      </c>
      <c r="C41" s="585" t="s">
        <v>18</v>
      </c>
      <c r="D41" s="553"/>
    </row>
    <row r="42" spans="1:4" ht="27.65" customHeight="1">
      <c r="A42" s="154" t="s">
        <v>208</v>
      </c>
      <c r="B42" s="155" t="s">
        <v>209</v>
      </c>
      <c r="C42" s="585" t="s">
        <v>18</v>
      </c>
      <c r="D42" s="553"/>
    </row>
    <row r="43" spans="1:4">
      <c r="A43" s="154" t="s">
        <v>210</v>
      </c>
      <c r="B43" s="155" t="s">
        <v>211</v>
      </c>
      <c r="C43" s="585" t="s">
        <v>18</v>
      </c>
      <c r="D43" s="553"/>
    </row>
    <row r="44" spans="1:4">
      <c r="A44" s="154" t="s">
        <v>212</v>
      </c>
      <c r="B44" s="155" t="s">
        <v>213</v>
      </c>
      <c r="C44" s="585" t="s">
        <v>18</v>
      </c>
      <c r="D44" s="553"/>
    </row>
    <row r="45" spans="1:4">
      <c r="A45" s="154" t="s">
        <v>214</v>
      </c>
      <c r="B45" s="155" t="s">
        <v>215</v>
      </c>
      <c r="C45" s="585" t="s">
        <v>18</v>
      </c>
      <c r="D45" s="553"/>
    </row>
    <row r="46" spans="1:4" ht="27.65" customHeight="1">
      <c r="A46" s="154" t="s">
        <v>216</v>
      </c>
      <c r="B46" s="155" t="s">
        <v>217</v>
      </c>
      <c r="C46" s="585" t="s">
        <v>18</v>
      </c>
      <c r="D46" s="553"/>
    </row>
    <row r="47" spans="1:4">
      <c r="A47" s="154" t="s">
        <v>218</v>
      </c>
      <c r="B47" s="155" t="s">
        <v>219</v>
      </c>
      <c r="C47" s="585" t="s">
        <v>18</v>
      </c>
      <c r="D47" s="553"/>
    </row>
  </sheetData>
  <sheetProtection sheet="false"/>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54"/>
  <sheetViews>
    <sheetView topLeftCell="A16" zoomScaleNormal="100" workbookViewId="0">
      <selection sqref="A1:A2"/>
    </sheetView>
  </sheetViews>
  <sheetFormatPr baseColWidth="10" defaultColWidth="12" defaultRowHeight="12.75" customHeight="1"/>
  <cols>
    <col min="1" max="1" customWidth="true" style="2" width="4.796875" collapsed="true"/>
    <col min="2" max="2" customWidth="true" style="4" width="71.796875" collapsed="true"/>
    <col min="3" max="3" customWidth="true" style="2" width="4.796875" collapsed="true"/>
    <col min="4" max="5" bestFit="true" customWidth="true" style="5" width="24.0" collapsed="true"/>
    <col min="6" max="6" bestFit="true" customWidth="true" style="5" width="23.796875" collapsed="true"/>
    <col min="7" max="7" bestFit="true" customWidth="true" style="5" width="24.796875" collapsed="true"/>
    <col min="8" max="8" customWidth="true" style="2" width="4.796875" collapsed="true"/>
    <col min="9" max="9" bestFit="true" customWidth="true" style="4" width="56.19921875" collapsed="true"/>
    <col min="10" max="10" customWidth="true" style="2" width="4.796875" collapsed="true"/>
    <col min="11" max="11" bestFit="true" customWidth="true" style="5" width="24.296875" collapsed="true"/>
    <col min="12" max="12" bestFit="true" customWidth="true" style="5" width="25.19921875" collapsed="true"/>
    <col min="13" max="13" bestFit="true" customWidth="true" style="2" width="15.5" collapsed="true"/>
    <col min="14" max="14" customWidth="true" style="2" width="19.69921875" collapsed="true"/>
    <col min="15" max="15" customWidth="true" style="2" width="19.796875" collapsed="true"/>
    <col min="16" max="16384" style="2" width="12.0" collapsed="true"/>
  </cols>
  <sheetData>
    <row r="1" spans="1:14" s="1" customFormat="1" ht="35.5" customHeight="1">
      <c r="A1" s="952" t="s">
        <v>220</v>
      </c>
      <c r="B1" s="333" t="s">
        <v>221</v>
      </c>
      <c r="C1" s="957" t="s">
        <v>222</v>
      </c>
      <c r="D1" s="10"/>
      <c r="E1" s="11" t="s">
        <v>1415</v>
      </c>
      <c r="F1" s="12"/>
      <c r="G1" s="13" t="s">
        <v>1416</v>
      </c>
      <c r="H1" s="952" t="s">
        <v>220</v>
      </c>
      <c r="I1" s="955" t="s">
        <v>223</v>
      </c>
      <c r="J1" s="957" t="s">
        <v>222</v>
      </c>
      <c r="K1" s="14" t="s">
        <v>1415</v>
      </c>
      <c r="L1" s="14" t="s">
        <v>1416</v>
      </c>
    </row>
    <row r="2" spans="1:14" s="1" customFormat="1" ht="25.5" customHeight="1">
      <c r="A2" s="953"/>
      <c r="B2" s="279"/>
      <c r="C2" s="958"/>
      <c r="D2" s="15" t="s">
        <v>224</v>
      </c>
      <c r="E2" s="15" t="s">
        <v>225</v>
      </c>
      <c r="F2" s="320" t="s">
        <v>226</v>
      </c>
      <c r="G2" s="16" t="s">
        <v>226</v>
      </c>
      <c r="H2" s="954"/>
      <c r="I2" s="956"/>
      <c r="J2" s="958"/>
      <c r="K2" s="17" t="s">
        <v>226</v>
      </c>
      <c r="L2" s="17" t="s">
        <v>226</v>
      </c>
    </row>
    <row r="3" spans="1:14" ht="20.149999999999999" customHeight="1">
      <c r="A3" s="25" t="s">
        <v>227</v>
      </c>
      <c r="B3" s="26" t="s">
        <v>228</v>
      </c>
      <c r="C3" s="27">
        <v>3</v>
      </c>
      <c r="D3" s="587">
        <v>38960098770.010002</v>
      </c>
      <c r="E3" s="587">
        <v>13802074194.639999</v>
      </c>
      <c r="F3" s="587">
        <v>25158024575.369999</v>
      </c>
      <c r="G3" s="587">
        <v>26778413670.599998</v>
      </c>
      <c r="H3" s="28" t="s">
        <v>229</v>
      </c>
      <c r="I3" s="29" t="s">
        <v>230</v>
      </c>
      <c r="J3" s="28">
        <v>13</v>
      </c>
      <c r="K3" s="588">
        <v>10000000</v>
      </c>
      <c r="L3" s="588">
        <v>10000000</v>
      </c>
    </row>
    <row r="4" spans="1:14" ht="20.149999999999999" customHeight="1">
      <c r="A4" s="30" t="s">
        <v>231</v>
      </c>
      <c r="B4" s="31" t="s">
        <v>232</v>
      </c>
      <c r="C4" s="32"/>
      <c r="D4" s="589">
        <v>0</v>
      </c>
      <c r="E4" s="590">
        <v>0</v>
      </c>
      <c r="F4" s="591">
        <v>0</v>
      </c>
      <c r="G4" s="589">
        <v>0</v>
      </c>
      <c r="H4" s="28" t="s">
        <v>233</v>
      </c>
      <c r="I4" s="29" t="s">
        <v>234</v>
      </c>
      <c r="J4" s="28">
        <v>13</v>
      </c>
      <c r="K4" s="767">
        <v>0</v>
      </c>
      <c r="L4" s="592">
        <v>0</v>
      </c>
    </row>
    <row r="5" spans="1:14" ht="20.149999999999999" customHeight="1">
      <c r="A5" s="28" t="s">
        <v>235</v>
      </c>
      <c r="B5" s="29" t="s">
        <v>236</v>
      </c>
      <c r="C5" s="33"/>
      <c r="D5" s="589">
        <v>1158961064.49</v>
      </c>
      <c r="E5" s="590">
        <v>889607576.82000005</v>
      </c>
      <c r="F5" s="591">
        <v>269353487.67000002</v>
      </c>
      <c r="G5" s="589">
        <v>377697540.98000002</v>
      </c>
      <c r="H5" s="28" t="s">
        <v>237</v>
      </c>
      <c r="I5" s="29" t="s">
        <v>238</v>
      </c>
      <c r="J5" s="28">
        <v>14</v>
      </c>
      <c r="K5" s="588">
        <v>0</v>
      </c>
      <c r="L5" s="588">
        <v>0</v>
      </c>
    </row>
    <row r="6" spans="1:14" ht="20.149999999999999" customHeight="1">
      <c r="A6" s="28" t="s">
        <v>239</v>
      </c>
      <c r="B6" s="29" t="s">
        <v>240</v>
      </c>
      <c r="C6" s="33"/>
      <c r="D6" s="589">
        <v>0</v>
      </c>
      <c r="E6" s="590">
        <v>0</v>
      </c>
      <c r="F6" s="591">
        <v>0</v>
      </c>
      <c r="G6" s="589">
        <v>0</v>
      </c>
      <c r="H6" s="28" t="s">
        <v>241</v>
      </c>
      <c r="I6" s="29" t="s">
        <v>242</v>
      </c>
      <c r="J6" s="28" t="s">
        <v>243</v>
      </c>
      <c r="K6" s="588">
        <v>0</v>
      </c>
      <c r="L6" s="588">
        <v>0</v>
      </c>
    </row>
    <row r="7" spans="1:14" s="3" customFormat="1" ht="20.149999999999999" customHeight="1">
      <c r="A7" s="28" t="s">
        <v>244</v>
      </c>
      <c r="B7" s="29" t="s">
        <v>245</v>
      </c>
      <c r="C7" s="33"/>
      <c r="D7" s="589">
        <v>37801137705.519997</v>
      </c>
      <c r="E7" s="590">
        <v>12912466617.82</v>
      </c>
      <c r="F7" s="591">
        <v>24888671087.700001</v>
      </c>
      <c r="G7" s="589">
        <v>26400716129.619999</v>
      </c>
      <c r="H7" s="28" t="s">
        <v>246</v>
      </c>
      <c r="I7" s="29" t="s">
        <v>247</v>
      </c>
      <c r="J7" s="28">
        <v>14</v>
      </c>
      <c r="K7" s="588">
        <v>0</v>
      </c>
      <c r="L7" s="588">
        <v>0</v>
      </c>
    </row>
    <row r="8" spans="1:14" ht="20.149999999999999" customHeight="1">
      <c r="A8" s="25" t="s">
        <v>248</v>
      </c>
      <c r="B8" s="26" t="s">
        <v>249</v>
      </c>
      <c r="C8" s="27">
        <v>3</v>
      </c>
      <c r="D8" s="587">
        <v>356210730366.79999</v>
      </c>
      <c r="E8" s="587">
        <v>134786373605.39999</v>
      </c>
      <c r="F8" s="587">
        <v>221424356761.39999</v>
      </c>
      <c r="G8" s="587">
        <v>220222168359</v>
      </c>
      <c r="H8" s="28" t="s">
        <v>250</v>
      </c>
      <c r="I8" s="29" t="s">
        <v>251</v>
      </c>
      <c r="J8" s="28">
        <v>14</v>
      </c>
      <c r="K8" s="588">
        <v>0</v>
      </c>
      <c r="L8" s="588">
        <v>0</v>
      </c>
    </row>
    <row r="9" spans="1:14" ht="32.25" customHeight="1">
      <c r="A9" s="332" t="s">
        <v>252</v>
      </c>
      <c r="B9" s="35" t="s">
        <v>253</v>
      </c>
      <c r="C9" s="34"/>
      <c r="D9" s="593">
        <v>0</v>
      </c>
      <c r="E9" s="594">
        <v>0</v>
      </c>
      <c r="F9" s="595">
        <v>0</v>
      </c>
      <c r="G9" s="593">
        <v>0</v>
      </c>
      <c r="H9" s="278" t="s">
        <v>254</v>
      </c>
      <c r="I9" s="308" t="s">
        <v>255</v>
      </c>
      <c r="J9" s="278">
        <v>14</v>
      </c>
      <c r="K9" s="589">
        <v>-78768704957.600006</v>
      </c>
      <c r="L9" s="589">
        <v>-92023042399.610001</v>
      </c>
      <c r="N9" s="24"/>
    </row>
    <row r="10" spans="1:14" ht="26.25" customHeight="1">
      <c r="A10" s="332" t="s">
        <v>256</v>
      </c>
      <c r="B10" s="35" t="s">
        <v>257</v>
      </c>
      <c r="C10" s="34"/>
      <c r="D10" s="593">
        <v>319899520391.5</v>
      </c>
      <c r="E10" s="594">
        <v>116142348841.2</v>
      </c>
      <c r="F10" s="596">
        <v>203757171550.20001</v>
      </c>
      <c r="G10" s="593">
        <v>206024118326.10001</v>
      </c>
      <c r="H10" s="309" t="s">
        <v>258</v>
      </c>
      <c r="I10" s="310" t="s">
        <v>259</v>
      </c>
      <c r="J10" s="311"/>
      <c r="K10" s="597">
        <v>57698846122.449997</v>
      </c>
      <c r="L10" s="589">
        <v>13254337442.280001</v>
      </c>
    </row>
    <row r="11" spans="1:14" ht="20.149999999999999" customHeight="1">
      <c r="A11" s="30" t="s">
        <v>260</v>
      </c>
      <c r="B11" s="31" t="s">
        <v>261</v>
      </c>
      <c r="C11" s="32"/>
      <c r="D11" s="589">
        <v>5856693454.4799995</v>
      </c>
      <c r="E11" s="590">
        <v>1452915388.5599999</v>
      </c>
      <c r="F11" s="598">
        <v>4403778065.9200001</v>
      </c>
      <c r="G11" s="589">
        <v>3252416680.3499999</v>
      </c>
      <c r="H11" s="30" t="s">
        <v>262</v>
      </c>
      <c r="I11" s="36" t="s">
        <v>263</v>
      </c>
      <c r="J11" s="30">
        <v>15</v>
      </c>
      <c r="K11" s="589">
        <v>0</v>
      </c>
      <c r="L11" s="589">
        <v>0</v>
      </c>
    </row>
    <row r="12" spans="1:14" ht="20.149999999999999" customHeight="1">
      <c r="A12" s="28" t="s">
        <v>264</v>
      </c>
      <c r="B12" s="29" t="s">
        <v>265</v>
      </c>
      <c r="C12" s="33"/>
      <c r="D12" s="589">
        <v>27066679222.299999</v>
      </c>
      <c r="E12" s="590">
        <v>15650352290.32</v>
      </c>
      <c r="F12" s="598">
        <v>11416326931.98</v>
      </c>
      <c r="G12" s="589">
        <v>9788828852.8199997</v>
      </c>
      <c r="H12" s="28" t="s">
        <v>266</v>
      </c>
      <c r="I12" s="37" t="s">
        <v>267</v>
      </c>
      <c r="J12" s="28">
        <v>15</v>
      </c>
      <c r="K12" s="589">
        <v>0</v>
      </c>
      <c r="L12" s="589">
        <v>0</v>
      </c>
    </row>
    <row r="13" spans="1:14" ht="20.149999999999999" customHeight="1">
      <c r="A13" s="28" t="s">
        <v>268</v>
      </c>
      <c r="B13" s="29" t="s">
        <v>269</v>
      </c>
      <c r="C13" s="33"/>
      <c r="D13" s="589">
        <v>3387837298.5599999</v>
      </c>
      <c r="E13" s="590">
        <v>1540757085.28</v>
      </c>
      <c r="F13" s="598">
        <v>1847080213.28</v>
      </c>
      <c r="G13" s="589">
        <v>1156804499.78</v>
      </c>
      <c r="H13" s="38" t="s">
        <v>270</v>
      </c>
      <c r="I13" s="39" t="s">
        <v>271</v>
      </c>
      <c r="J13" s="40"/>
      <c r="K13" s="599">
        <v>-21059858835.150002</v>
      </c>
      <c r="L13" s="599">
        <v>-78758704957.330002</v>
      </c>
    </row>
    <row r="14" spans="1:14" ht="20.149999999999999" customHeight="1">
      <c r="A14" s="28" t="s">
        <v>272</v>
      </c>
      <c r="B14" s="307" t="s">
        <v>273</v>
      </c>
      <c r="C14" s="33">
        <v>3</v>
      </c>
      <c r="D14" s="589">
        <v>0</v>
      </c>
      <c r="E14" s="590">
        <v>0</v>
      </c>
      <c r="F14" s="591">
        <v>0</v>
      </c>
      <c r="G14" s="589">
        <v>0</v>
      </c>
      <c r="H14" s="28" t="s">
        <v>274</v>
      </c>
      <c r="I14" s="41" t="s">
        <v>275</v>
      </c>
      <c r="J14" s="28">
        <v>16</v>
      </c>
      <c r="K14" s="589">
        <v>299203847821.29999</v>
      </c>
      <c r="L14" s="589">
        <v>359098752469.29999</v>
      </c>
    </row>
    <row r="15" spans="1:14" ht="20.149999999999999" customHeight="1">
      <c r="A15" s="38" t="s">
        <v>276</v>
      </c>
      <c r="B15" s="42" t="s">
        <v>146</v>
      </c>
      <c r="C15" s="38">
        <v>4</v>
      </c>
      <c r="D15" s="587">
        <v>423020339.88</v>
      </c>
      <c r="E15" s="587">
        <v>0</v>
      </c>
      <c r="F15" s="587">
        <v>423020339.88</v>
      </c>
      <c r="G15" s="587">
        <v>369323602.44999999</v>
      </c>
      <c r="H15" s="33" t="s">
        <v>277</v>
      </c>
      <c r="I15" s="41" t="s">
        <v>278</v>
      </c>
      <c r="J15" s="28">
        <v>16</v>
      </c>
      <c r="K15" s="766">
        <v>0</v>
      </c>
      <c r="L15" s="766">
        <v>0</v>
      </c>
    </row>
    <row r="16" spans="1:14" ht="20.149999999999999" customHeight="1">
      <c r="A16" s="28" t="s">
        <v>279</v>
      </c>
      <c r="B16" s="29" t="s">
        <v>280</v>
      </c>
      <c r="C16" s="33"/>
      <c r="D16" s="589">
        <v>0</v>
      </c>
      <c r="E16" s="590">
        <v>0</v>
      </c>
      <c r="F16" s="591">
        <v>0</v>
      </c>
      <c r="G16" s="589">
        <v>0</v>
      </c>
      <c r="H16" s="28" t="s">
        <v>281</v>
      </c>
      <c r="I16" s="41" t="s">
        <v>282</v>
      </c>
      <c r="J16" s="28">
        <v>16</v>
      </c>
      <c r="K16" s="589">
        <v>55766138153.040001</v>
      </c>
      <c r="L16" s="589">
        <v>50267756431.510002</v>
      </c>
    </row>
    <row r="17" spans="1:15" ht="20.149999999999999" customHeight="1">
      <c r="A17" s="28" t="s">
        <v>283</v>
      </c>
      <c r="B17" s="29" t="s">
        <v>284</v>
      </c>
      <c r="C17" s="33"/>
      <c r="D17" s="589">
        <v>423020339.88</v>
      </c>
      <c r="E17" s="590">
        <v>0</v>
      </c>
      <c r="F17" s="591">
        <v>423020339.88</v>
      </c>
      <c r="G17" s="589">
        <v>369323602.44999999</v>
      </c>
      <c r="H17" s="38" t="s">
        <v>285</v>
      </c>
      <c r="I17" s="43" t="s">
        <v>286</v>
      </c>
      <c r="J17" s="40"/>
      <c r="K17" s="587">
        <v>354969985974.29999</v>
      </c>
      <c r="L17" s="587">
        <v>409366508900.79999</v>
      </c>
    </row>
    <row r="18" spans="1:15" ht="20.149999999999999" customHeight="1">
      <c r="A18" s="44" t="s">
        <v>287</v>
      </c>
      <c r="B18" s="45" t="s">
        <v>288</v>
      </c>
      <c r="C18" s="46"/>
      <c r="D18" s="600">
        <v>395593849476.70001</v>
      </c>
      <c r="E18" s="600">
        <v>148588447800</v>
      </c>
      <c r="F18" s="600">
        <v>247005401676.70001</v>
      </c>
      <c r="G18" s="600">
        <v>247369905632.10001</v>
      </c>
      <c r="H18" s="44" t="s">
        <v>289</v>
      </c>
      <c r="I18" s="45" t="s">
        <v>290</v>
      </c>
      <c r="J18" s="47"/>
      <c r="K18" s="601">
        <v>333910127139.09998</v>
      </c>
      <c r="L18" s="601">
        <v>330607803943.5</v>
      </c>
    </row>
    <row r="19" spans="1:15" ht="20.149999999999999" customHeight="1">
      <c r="A19" s="28" t="s">
        <v>291</v>
      </c>
      <c r="B19" s="29" t="s">
        <v>292</v>
      </c>
      <c r="C19" s="33">
        <v>5</v>
      </c>
      <c r="D19" s="602">
        <v>0</v>
      </c>
      <c r="E19" s="590">
        <v>0</v>
      </c>
      <c r="F19" s="591">
        <v>0</v>
      </c>
      <c r="G19" s="589">
        <v>0</v>
      </c>
      <c r="H19" s="28" t="s">
        <v>293</v>
      </c>
      <c r="I19" s="41" t="s">
        <v>294</v>
      </c>
      <c r="J19" s="28">
        <v>5</v>
      </c>
      <c r="K19" s="589">
        <v>0.25</v>
      </c>
      <c r="L19" s="589">
        <v>281806642.25</v>
      </c>
    </row>
    <row r="20" spans="1:15" ht="20.149999999999999" customHeight="1">
      <c r="A20" s="28" t="s">
        <v>295</v>
      </c>
      <c r="B20" s="29" t="s">
        <v>150</v>
      </c>
      <c r="C20" s="33">
        <v>6</v>
      </c>
      <c r="D20" s="602">
        <v>18809119330.860001</v>
      </c>
      <c r="E20" s="590">
        <v>4499473614.8999996</v>
      </c>
      <c r="F20" s="591">
        <v>14309645715.959999</v>
      </c>
      <c r="G20" s="589">
        <v>16335601655.93</v>
      </c>
      <c r="H20" s="28" t="s">
        <v>296</v>
      </c>
      <c r="I20" s="41" t="s">
        <v>297</v>
      </c>
      <c r="J20" s="28">
        <v>7</v>
      </c>
      <c r="K20" s="589">
        <v>3115958065.0100002</v>
      </c>
      <c r="L20" s="589">
        <v>1944235174.0999999</v>
      </c>
    </row>
    <row r="21" spans="1:15" ht="20.149999999999999" customHeight="1">
      <c r="A21" s="28" t="s">
        <v>298</v>
      </c>
      <c r="B21" s="29" t="s">
        <v>299</v>
      </c>
      <c r="C21" s="33"/>
      <c r="D21" s="602">
        <v>47362190457.480003</v>
      </c>
      <c r="E21" s="590">
        <v>475640823.70999998</v>
      </c>
      <c r="F21" s="591">
        <v>46886549633.769997</v>
      </c>
      <c r="G21" s="589">
        <v>33311361607.040001</v>
      </c>
      <c r="H21" s="28" t="s">
        <v>300</v>
      </c>
      <c r="I21" s="41" t="s">
        <v>301</v>
      </c>
      <c r="J21" s="28">
        <v>17</v>
      </c>
      <c r="K21" s="589">
        <v>16010904398.139999</v>
      </c>
      <c r="L21" s="589">
        <v>12849138722.440001</v>
      </c>
      <c r="N21" s="23"/>
      <c r="O21" s="23"/>
    </row>
    <row r="22" spans="1:15" ht="20.149999999999999" customHeight="1">
      <c r="A22" s="28" t="s">
        <v>302</v>
      </c>
      <c r="B22" s="29" t="s">
        <v>303</v>
      </c>
      <c r="C22" s="33">
        <v>17</v>
      </c>
      <c r="D22" s="602">
        <v>710570216.39999998</v>
      </c>
      <c r="E22" s="590">
        <v>0</v>
      </c>
      <c r="F22" s="591">
        <v>710570216.39999998</v>
      </c>
      <c r="G22" s="589">
        <v>792797820.08000004</v>
      </c>
      <c r="H22" s="28" t="s">
        <v>304</v>
      </c>
      <c r="I22" s="41" t="s">
        <v>305</v>
      </c>
      <c r="J22" s="28">
        <v>18</v>
      </c>
      <c r="K22" s="589">
        <v>18674552886.639999</v>
      </c>
      <c r="L22" s="589">
        <v>12220336019.809999</v>
      </c>
      <c r="M22" s="23"/>
      <c r="N22" s="23"/>
      <c r="O22" s="23"/>
    </row>
    <row r="23" spans="1:15" ht="20.149999999999999" customHeight="1">
      <c r="A23" s="28" t="s">
        <v>306</v>
      </c>
      <c r="B23" s="29" t="s">
        <v>307</v>
      </c>
      <c r="C23" s="33">
        <v>7</v>
      </c>
      <c r="D23" s="602">
        <v>27737886529.299999</v>
      </c>
      <c r="E23" s="590">
        <v>475640823.70999998</v>
      </c>
      <c r="F23" s="591">
        <v>27262245705.59</v>
      </c>
      <c r="G23" s="589">
        <v>25928855535.529999</v>
      </c>
      <c r="H23" s="28" t="s">
        <v>308</v>
      </c>
      <c r="I23" s="41" t="s">
        <v>309</v>
      </c>
      <c r="J23" s="28">
        <v>19</v>
      </c>
      <c r="K23" s="766">
        <v>1.38</v>
      </c>
      <c r="L23" s="766">
        <v>0.98</v>
      </c>
      <c r="N23" s="23"/>
      <c r="O23" s="23"/>
    </row>
    <row r="24" spans="1:15" ht="20.149999999999999" customHeight="1">
      <c r="A24" s="28" t="s">
        <v>310</v>
      </c>
      <c r="B24" s="29" t="s">
        <v>311</v>
      </c>
      <c r="C24" s="33">
        <v>8</v>
      </c>
      <c r="D24" s="602">
        <v>18913733711.779999</v>
      </c>
      <c r="E24" s="590">
        <v>0</v>
      </c>
      <c r="F24" s="591">
        <v>18913733711.779999</v>
      </c>
      <c r="G24" s="589">
        <v>6589708251.4300003</v>
      </c>
      <c r="H24" s="28" t="s">
        <v>312</v>
      </c>
      <c r="I24" s="41" t="s">
        <v>313</v>
      </c>
      <c r="J24" s="28">
        <v>19</v>
      </c>
      <c r="K24" s="766">
        <v>0</v>
      </c>
      <c r="L24" s="766">
        <v>0</v>
      </c>
      <c r="N24" s="23"/>
      <c r="O24" s="23"/>
    </row>
    <row r="25" spans="1:15" ht="20.149999999999999" customHeight="1">
      <c r="A25" s="44" t="s">
        <v>314</v>
      </c>
      <c r="B25" s="45" t="s">
        <v>315</v>
      </c>
      <c r="C25" s="46"/>
      <c r="D25" s="600">
        <v>66171309788.339996</v>
      </c>
      <c r="E25" s="600">
        <v>4975114438.6099997</v>
      </c>
      <c r="F25" s="600">
        <v>61196195349.730003</v>
      </c>
      <c r="G25" s="600">
        <v>49646963262.970001</v>
      </c>
      <c r="H25" s="44" t="s">
        <v>316</v>
      </c>
      <c r="I25" s="45" t="s">
        <v>317</v>
      </c>
      <c r="J25" s="47"/>
      <c r="K25" s="601">
        <v>37801415351.419998</v>
      </c>
      <c r="L25" s="601">
        <v>27295516559.580002</v>
      </c>
      <c r="N25" s="23"/>
    </row>
    <row r="26" spans="1:15" ht="20.149999999999999" customHeight="1">
      <c r="A26" s="28" t="s">
        <v>318</v>
      </c>
      <c r="B26" s="29" t="s">
        <v>319</v>
      </c>
      <c r="C26" s="33">
        <v>9</v>
      </c>
      <c r="D26" s="589">
        <v>0</v>
      </c>
      <c r="E26" s="590">
        <v>0</v>
      </c>
      <c r="F26" s="591">
        <v>0</v>
      </c>
      <c r="G26" s="589">
        <v>0</v>
      </c>
      <c r="H26" s="48"/>
      <c r="I26" s="49"/>
      <c r="J26" s="28"/>
      <c r="K26" s="603">
        <v>0</v>
      </c>
      <c r="L26" s="603">
        <v>0</v>
      </c>
      <c r="N26" s="23"/>
    </row>
    <row r="27" spans="1:15" ht="20.149999999999999" customHeight="1">
      <c r="A27" s="28" t="s">
        <v>320</v>
      </c>
      <c r="B27" s="29" t="s">
        <v>321</v>
      </c>
      <c r="C27" s="33">
        <v>10</v>
      </c>
      <c r="D27" s="589">
        <v>0</v>
      </c>
      <c r="E27" s="590">
        <v>0</v>
      </c>
      <c r="F27" s="591">
        <v>0</v>
      </c>
      <c r="G27" s="589">
        <v>0</v>
      </c>
      <c r="H27" s="28" t="s">
        <v>322</v>
      </c>
      <c r="I27" s="41" t="s">
        <v>323</v>
      </c>
      <c r="J27" s="28">
        <v>20</v>
      </c>
      <c r="K27" s="589">
        <v>0</v>
      </c>
      <c r="L27" s="589">
        <v>0</v>
      </c>
      <c r="N27" s="23"/>
    </row>
    <row r="28" spans="1:15" ht="20.149999999999999" customHeight="1">
      <c r="A28" s="28" t="s">
        <v>324</v>
      </c>
      <c r="B28" s="29" t="s">
        <v>325</v>
      </c>
      <c r="C28" s="33">
        <v>11</v>
      </c>
      <c r="D28" s="589">
        <v>12027030436.950001</v>
      </c>
      <c r="E28" s="590">
        <v>0</v>
      </c>
      <c r="F28" s="591">
        <v>12027030436.950001</v>
      </c>
      <c r="G28" s="589">
        <v>16432156061.68</v>
      </c>
      <c r="H28" s="28" t="s">
        <v>326</v>
      </c>
      <c r="I28" s="41" t="s">
        <v>327</v>
      </c>
      <c r="J28" s="28">
        <v>20</v>
      </c>
      <c r="K28" s="589">
        <v>134991736</v>
      </c>
      <c r="L28" s="589">
        <v>609895011</v>
      </c>
      <c r="N28" s="23"/>
    </row>
    <row r="29" spans="1:15" ht="20.149999999999999" customHeight="1">
      <c r="A29" s="44" t="s">
        <v>328</v>
      </c>
      <c r="B29" s="45" t="s">
        <v>329</v>
      </c>
      <c r="C29" s="46"/>
      <c r="D29" s="600">
        <v>12027030436.950001</v>
      </c>
      <c r="E29" s="600">
        <v>0</v>
      </c>
      <c r="F29" s="600">
        <v>12027030436.950001</v>
      </c>
      <c r="G29" s="600">
        <v>16432156061.68</v>
      </c>
      <c r="H29" s="50" t="s">
        <v>330</v>
      </c>
      <c r="I29" s="45" t="s">
        <v>331</v>
      </c>
      <c r="J29" s="47"/>
      <c r="K29" s="601">
        <v>134991736</v>
      </c>
      <c r="L29" s="601">
        <v>609895011</v>
      </c>
      <c r="N29" s="23"/>
    </row>
    <row r="30" spans="1:15" ht="25.15" customHeight="1">
      <c r="A30" s="28" t="s">
        <v>332</v>
      </c>
      <c r="B30" s="29" t="s">
        <v>333</v>
      </c>
      <c r="C30" s="33">
        <v>12</v>
      </c>
      <c r="D30" s="589">
        <v>51617906763.190002</v>
      </c>
      <c r="E30" s="590">
        <v>0</v>
      </c>
      <c r="F30" s="591">
        <v>51617906763.190002</v>
      </c>
      <c r="G30" s="589">
        <v>45237079498.199997</v>
      </c>
      <c r="H30" s="28" t="s">
        <v>334</v>
      </c>
      <c r="I30" s="41" t="s">
        <v>335</v>
      </c>
      <c r="J30" s="28">
        <v>12</v>
      </c>
      <c r="K30" s="589">
        <v>0</v>
      </c>
      <c r="L30" s="589">
        <v>172888940.69999999</v>
      </c>
      <c r="N30" s="23"/>
    </row>
    <row r="31" spans="1:15" ht="20.149999999999999" customHeight="1">
      <c r="A31" s="44" t="s">
        <v>336</v>
      </c>
      <c r="B31" s="45" t="s">
        <v>337</v>
      </c>
      <c r="C31" s="46"/>
      <c r="D31" s="604">
        <v>525410096465.20001</v>
      </c>
      <c r="E31" s="604">
        <v>153563562238.70001</v>
      </c>
      <c r="F31" s="604">
        <v>371846534226.5</v>
      </c>
      <c r="G31" s="604">
        <v>358686104454.90002</v>
      </c>
      <c r="H31" s="44" t="s">
        <v>338</v>
      </c>
      <c r="I31" s="45" t="s">
        <v>337</v>
      </c>
      <c r="J31" s="47"/>
      <c r="K31" s="601">
        <v>371846534226.59998</v>
      </c>
      <c r="L31" s="601">
        <v>358686104454.79999</v>
      </c>
    </row>
    <row r="32" spans="1:15" ht="12.75" customHeight="1">
      <c r="F32" s="23"/>
      <c r="N32" s="23"/>
    </row>
    <row r="33" spans="6:9" ht="12.75" customHeight="1">
      <c r="I33" s="312"/>
    </row>
    <row r="35" spans="6:9" ht="12.75" customHeight="1">
      <c r="F35" s="23"/>
      <c r="G35" s="23"/>
    </row>
    <row r="36" spans="6:9" ht="6" customHeight="1"/>
    <row r="47" spans="6:9" ht="6" customHeight="1"/>
    <row r="54" ht="6" customHeight="1"/>
  </sheetData>
  <sheetProtection sheet="false"/>
  <mergeCells count="5">
    <mergeCell ref="A1:A2"/>
    <mergeCell ref="H1:H2"/>
    <mergeCell ref="I1:I2"/>
    <mergeCell ref="J1:J2"/>
    <mergeCell ref="C1:C2"/>
  </mergeCells>
  <dataValidations count="1">
    <dataValidation allowBlank="1" showInputMessage="1" showErrorMessage="1" errorTitle="Erreur de saisie" error="La cellule ne peut prendre que du numérique." promptTitle="Information" prompt="Cette cellule ne peut prendre que du numérique." sqref="D3:G31 K3:L31" xr:uid="{00000000-0002-0000-0500-000000000000}"/>
  </dataValidations>
  <pageMargins left="0.7" right="0.7" top="0.75" bottom="0.75" header="0.3" footer="0.3"/>
  <pageSetup paperSize="9" scale="53"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78"/>
  <sheetViews>
    <sheetView tabSelected="1" topLeftCell="B6" zoomScale="85" zoomScaleNormal="85" workbookViewId="0">
      <selection activeCell="E10" sqref="E10"/>
    </sheetView>
  </sheetViews>
  <sheetFormatPr baseColWidth="10" defaultColWidth="12" defaultRowHeight="12.75" customHeight="1"/>
  <cols>
    <col min="1" max="1" customWidth="true" style="65" width="4.796875" collapsed="true"/>
    <col min="2" max="2" bestFit="true" customWidth="true" style="51" width="65.296875" collapsed="true"/>
    <col min="3" max="3" bestFit="true" customWidth="true" style="51" width="3.69921875" collapsed="true"/>
    <col min="4" max="4" bestFit="true" customWidth="true" style="51" width="9.69921875" collapsed="true"/>
    <col min="5" max="5" customWidth="true" style="52" width="23.296875" collapsed="true"/>
    <col min="6" max="6" bestFit="true" customWidth="true" style="52" width="19.19921875" collapsed="true"/>
    <col min="7" max="7" style="51" width="12.0" collapsed="true"/>
    <col min="8" max="8" bestFit="true" customWidth="true" style="51" width="15.296875" collapsed="true"/>
    <col min="9" max="10" bestFit="true" customWidth="true" style="51" width="15.69921875" collapsed="true"/>
    <col min="11" max="11" bestFit="true" customWidth="true" style="51" width="16.296875" collapsed="true"/>
    <col min="12" max="16384" style="51" width="12.0" collapsed="true"/>
  </cols>
  <sheetData>
    <row r="1" spans="1:8" ht="18" customHeight="1">
      <c r="A1" s="53" t="s">
        <v>220</v>
      </c>
      <c r="B1" s="54" t="s">
        <v>339</v>
      </c>
      <c r="C1" s="53"/>
      <c r="D1" s="53" t="s">
        <v>340</v>
      </c>
      <c r="E1" s="55" t="s">
        <v>1417</v>
      </c>
      <c r="F1" s="55" t="s">
        <v>1418</v>
      </c>
    </row>
    <row r="2" spans="1:8" ht="18" customHeight="1">
      <c r="A2" s="56" t="s">
        <v>341</v>
      </c>
      <c r="B2" s="57" t="s">
        <v>342</v>
      </c>
      <c r="C2" s="56" t="s">
        <v>343</v>
      </c>
      <c r="D2" s="56">
        <v>21</v>
      </c>
      <c r="E2" s="605">
        <v>0</v>
      </c>
      <c r="F2" s="605">
        <v>0</v>
      </c>
    </row>
    <row r="3" spans="1:8" ht="18" customHeight="1">
      <c r="A3" s="58" t="s">
        <v>344</v>
      </c>
      <c r="B3" s="37" t="s">
        <v>345</v>
      </c>
      <c r="C3" s="58" t="s">
        <v>346</v>
      </c>
      <c r="D3" s="58">
        <v>22</v>
      </c>
      <c r="E3" s="605">
        <v>0</v>
      </c>
      <c r="F3" s="605">
        <v>0</v>
      </c>
    </row>
    <row r="4" spans="1:8" ht="18" customHeight="1">
      <c r="A4" s="58" t="s">
        <v>347</v>
      </c>
      <c r="B4" s="59" t="s">
        <v>348</v>
      </c>
      <c r="C4" s="60" t="s">
        <v>349</v>
      </c>
      <c r="D4" s="60">
        <v>6</v>
      </c>
      <c r="E4" s="605">
        <v>0</v>
      </c>
      <c r="F4" s="605">
        <v>0</v>
      </c>
    </row>
    <row r="5" spans="1:8" ht="18" customHeight="1">
      <c r="A5" s="61" t="s">
        <v>350</v>
      </c>
      <c r="B5" s="62" t="s">
        <v>351</v>
      </c>
      <c r="C5" s="61"/>
      <c r="D5" s="61"/>
      <c r="E5" s="601">
        <v>0</v>
      </c>
      <c r="F5" s="601">
        <v>0</v>
      </c>
    </row>
    <row r="6" spans="1:8" ht="18" customHeight="1">
      <c r="A6" s="58" t="s">
        <v>352</v>
      </c>
      <c r="B6" s="37" t="s">
        <v>353</v>
      </c>
      <c r="C6" s="58" t="s">
        <v>343</v>
      </c>
      <c r="D6" s="58">
        <v>21</v>
      </c>
      <c r="E6" s="605">
        <v>208511840359.79999</v>
      </c>
      <c r="F6" s="605">
        <v>147604340692.20001</v>
      </c>
    </row>
    <row r="7" spans="1:8" ht="18" customHeight="1">
      <c r="A7" s="58" t="s">
        <v>354</v>
      </c>
      <c r="B7" s="37" t="s">
        <v>355</v>
      </c>
      <c r="C7" s="58" t="s">
        <v>343</v>
      </c>
      <c r="D7" s="58">
        <v>21</v>
      </c>
      <c r="E7" s="605">
        <v>0</v>
      </c>
      <c r="F7" s="605">
        <v>0</v>
      </c>
    </row>
    <row r="8" spans="1:8" ht="18" customHeight="1">
      <c r="A8" s="58" t="s">
        <v>356</v>
      </c>
      <c r="B8" s="37" t="s">
        <v>357</v>
      </c>
      <c r="C8" s="58" t="s">
        <v>343</v>
      </c>
      <c r="D8" s="58">
        <v>21</v>
      </c>
      <c r="E8" s="605">
        <v>55340464</v>
      </c>
      <c r="F8" s="605">
        <v>653233219.10000002</v>
      </c>
    </row>
    <row r="9" spans="1:8" ht="18" customHeight="1">
      <c r="A9" s="61" t="s">
        <v>358</v>
      </c>
      <c r="B9" s="62" t="s">
        <v>359</v>
      </c>
      <c r="C9" s="61"/>
      <c r="D9" s="61"/>
      <c r="E9" s="601">
        <v>208567180824</v>
      </c>
      <c r="F9" s="601">
        <v>148257573911.29999</v>
      </c>
      <c r="H9" s="68"/>
    </row>
    <row r="10" spans="1:8" ht="18" customHeight="1">
      <c r="A10" s="58" t="s">
        <v>360</v>
      </c>
      <c r="B10" s="37" t="s">
        <v>361</v>
      </c>
      <c r="C10" s="60" t="s">
        <v>349</v>
      </c>
      <c r="D10" s="58">
        <v>6</v>
      </c>
      <c r="E10" s="605">
        <v>-3215216799</v>
      </c>
      <c r="F10" s="605">
        <v>-1162794026.0899999</v>
      </c>
    </row>
    <row r="11" spans="1:8" ht="18" customHeight="1">
      <c r="A11" s="58" t="s">
        <v>362</v>
      </c>
      <c r="B11" s="37" t="s">
        <v>363</v>
      </c>
      <c r="C11" s="58"/>
      <c r="D11" s="58">
        <v>21</v>
      </c>
      <c r="E11" s="605">
        <v>0</v>
      </c>
      <c r="F11" s="605">
        <v>0</v>
      </c>
    </row>
    <row r="12" spans="1:8" ht="18" customHeight="1">
      <c r="A12" s="58" t="s">
        <v>364</v>
      </c>
      <c r="B12" s="37" t="s">
        <v>365</v>
      </c>
      <c r="C12" s="58"/>
      <c r="D12" s="58">
        <v>21</v>
      </c>
      <c r="E12" s="605">
        <v>0</v>
      </c>
      <c r="F12" s="605">
        <v>0</v>
      </c>
    </row>
    <row r="13" spans="1:8" ht="18" customHeight="1">
      <c r="A13" s="288" t="s">
        <v>366</v>
      </c>
      <c r="B13" s="289" t="s">
        <v>367</v>
      </c>
      <c r="C13" s="288" t="s">
        <v>343</v>
      </c>
      <c r="D13" s="288">
        <v>21</v>
      </c>
      <c r="E13" s="768">
        <v>2914174580.5100002</v>
      </c>
      <c r="F13" s="768">
        <v>1019684573.64</v>
      </c>
    </row>
    <row r="14" spans="1:8" ht="18" customHeight="1">
      <c r="A14" s="288" t="s">
        <v>368</v>
      </c>
      <c r="B14" s="289" t="s">
        <v>369</v>
      </c>
      <c r="C14" s="288" t="s">
        <v>343</v>
      </c>
      <c r="D14" s="288">
        <v>12</v>
      </c>
      <c r="E14" s="768">
        <v>813248624.64999998</v>
      </c>
      <c r="F14" s="768">
        <v>34316439</v>
      </c>
    </row>
    <row r="15" spans="1:8" ht="18" customHeight="1">
      <c r="A15" s="288" t="s">
        <v>370</v>
      </c>
      <c r="B15" s="289" t="s">
        <v>371</v>
      </c>
      <c r="C15" s="288" t="s">
        <v>346</v>
      </c>
      <c r="D15" s="288">
        <v>22</v>
      </c>
      <c r="E15" s="768">
        <v>0</v>
      </c>
      <c r="F15" s="768">
        <v>0</v>
      </c>
    </row>
    <row r="16" spans="1:8" ht="18" customHeight="1">
      <c r="A16" s="58" t="s">
        <v>372</v>
      </c>
      <c r="B16" s="59" t="s">
        <v>373</v>
      </c>
      <c r="C16" s="60" t="s">
        <v>349</v>
      </c>
      <c r="D16" s="58">
        <v>6</v>
      </c>
      <c r="E16" s="605">
        <v>0</v>
      </c>
      <c r="F16" s="605">
        <v>0</v>
      </c>
    </row>
    <row r="17" spans="1:11" ht="18" customHeight="1">
      <c r="A17" s="58" t="s">
        <v>374</v>
      </c>
      <c r="B17" s="37" t="s">
        <v>375</v>
      </c>
      <c r="C17" s="58" t="s">
        <v>346</v>
      </c>
      <c r="D17" s="58">
        <v>22</v>
      </c>
      <c r="E17" s="605">
        <v>-24061007402.75</v>
      </c>
      <c r="F17" s="605">
        <v>-19999945921.82</v>
      </c>
    </row>
    <row r="18" spans="1:11" ht="18" customHeight="1">
      <c r="A18" s="58" t="s">
        <v>376</v>
      </c>
      <c r="B18" s="59" t="s">
        <v>377</v>
      </c>
      <c r="C18" s="60" t="s">
        <v>349</v>
      </c>
      <c r="D18" s="58">
        <v>6</v>
      </c>
      <c r="E18" s="605">
        <v>-1513008720</v>
      </c>
      <c r="F18" s="605">
        <v>-846250447.63999999</v>
      </c>
    </row>
    <row r="19" spans="1:11" ht="18" customHeight="1">
      <c r="A19" s="58" t="s">
        <v>378</v>
      </c>
      <c r="B19" s="37" t="s">
        <v>379</v>
      </c>
      <c r="C19" s="58" t="s">
        <v>346</v>
      </c>
      <c r="D19" s="58">
        <v>23</v>
      </c>
      <c r="E19" s="605">
        <v>-4071698522.1900001</v>
      </c>
      <c r="F19" s="605">
        <v>-8338773177.4399996</v>
      </c>
    </row>
    <row r="20" spans="1:11" ht="18" customHeight="1">
      <c r="A20" s="58" t="s">
        <v>380</v>
      </c>
      <c r="B20" s="37" t="s">
        <v>381</v>
      </c>
      <c r="C20" s="58" t="s">
        <v>346</v>
      </c>
      <c r="D20" s="58">
        <v>24</v>
      </c>
      <c r="E20" s="605">
        <v>-36167605623.769997</v>
      </c>
      <c r="F20" s="605">
        <v>-25352162056.75</v>
      </c>
    </row>
    <row r="21" spans="1:11" ht="18" customHeight="1">
      <c r="A21" s="58" t="s">
        <v>382</v>
      </c>
      <c r="B21" s="37" t="s">
        <v>383</v>
      </c>
      <c r="C21" s="58" t="s">
        <v>346</v>
      </c>
      <c r="D21" s="58">
        <v>25</v>
      </c>
      <c r="E21" s="605">
        <v>-256590518</v>
      </c>
      <c r="F21" s="605">
        <v>-2597254221</v>
      </c>
    </row>
    <row r="22" spans="1:11" ht="18" customHeight="1">
      <c r="A22" s="58" t="s">
        <v>384</v>
      </c>
      <c r="B22" s="37" t="s">
        <v>385</v>
      </c>
      <c r="C22" s="58" t="s">
        <v>346</v>
      </c>
      <c r="D22" s="58">
        <v>26</v>
      </c>
      <c r="E22" s="605">
        <f>-12597863518.24+317428853</f>
        <v>-12280434665.24</v>
      </c>
      <c r="F22" s="605">
        <v>-3849899375.6799998</v>
      </c>
    </row>
    <row r="23" spans="1:11" ht="18" customHeight="1">
      <c r="A23" s="61" t="s">
        <v>386</v>
      </c>
      <c r="B23" s="62" t="s">
        <v>387</v>
      </c>
      <c r="C23" s="61"/>
      <c r="D23" s="61"/>
      <c r="E23" s="601">
        <f>SUM(E9:E22)</f>
        <v>130729041778.21001</v>
      </c>
      <c r="F23" s="601">
        <v>87164495697.470001</v>
      </c>
    </row>
    <row r="24" spans="1:11" ht="18" customHeight="1">
      <c r="A24" s="58" t="s">
        <v>388</v>
      </c>
      <c r="B24" s="37" t="s">
        <v>389</v>
      </c>
      <c r="C24" s="58" t="s">
        <v>346</v>
      </c>
      <c r="D24" s="58">
        <v>27</v>
      </c>
      <c r="E24" s="605">
        <v>-23686592667.619999</v>
      </c>
      <c r="F24" s="605">
        <v>-20604689454.490002</v>
      </c>
    </row>
    <row r="25" spans="1:11" ht="18" customHeight="1">
      <c r="A25" s="61" t="s">
        <v>390</v>
      </c>
      <c r="B25" s="62" t="s">
        <v>391</v>
      </c>
      <c r="C25" s="61"/>
      <c r="D25" s="61"/>
      <c r="E25" s="601">
        <f>SUM(E23:E24)</f>
        <v>107042449110.59001</v>
      </c>
      <c r="F25" s="601">
        <v>66559806242.980003</v>
      </c>
    </row>
    <row r="26" spans="1:11" ht="18" customHeight="1">
      <c r="A26" s="58" t="s">
        <v>392</v>
      </c>
      <c r="B26" s="37" t="s">
        <v>393</v>
      </c>
      <c r="C26" s="58" t="s">
        <v>343</v>
      </c>
      <c r="D26" s="58">
        <v>28</v>
      </c>
      <c r="E26" s="605">
        <v>302600107</v>
      </c>
      <c r="F26" s="605">
        <v>220052906</v>
      </c>
    </row>
    <row r="27" spans="1:11" ht="18" customHeight="1">
      <c r="A27" s="288" t="s">
        <v>394</v>
      </c>
      <c r="B27" s="289" t="s">
        <v>395</v>
      </c>
      <c r="C27" s="288" t="s">
        <v>346</v>
      </c>
      <c r="D27" s="288" t="s">
        <v>396</v>
      </c>
      <c r="E27" s="768">
        <v>-21751797892.110001</v>
      </c>
      <c r="F27" s="768">
        <v>-21440178060.610001</v>
      </c>
      <c r="G27" s="63"/>
    </row>
    <row r="28" spans="1:11" ht="18" customHeight="1">
      <c r="A28" s="61" t="s">
        <v>397</v>
      </c>
      <c r="B28" s="62" t="s">
        <v>398</v>
      </c>
      <c r="C28" s="61"/>
      <c r="D28" s="61"/>
      <c r="E28" s="601">
        <f>SUM(E25:E27)</f>
        <v>85593251325.480011</v>
      </c>
      <c r="F28" s="601">
        <v>45339681088.370003</v>
      </c>
    </row>
    <row r="29" spans="1:11" ht="18" customHeight="1">
      <c r="A29" s="58" t="s">
        <v>399</v>
      </c>
      <c r="B29" s="37" t="s">
        <v>400</v>
      </c>
      <c r="C29" s="58" t="s">
        <v>343</v>
      </c>
      <c r="D29" s="58">
        <v>29</v>
      </c>
      <c r="E29" s="605">
        <f>742709602.3+28349028</f>
        <v>771058630.29999995</v>
      </c>
      <c r="F29" s="605">
        <v>61812228.200000003</v>
      </c>
    </row>
    <row r="30" spans="1:11" ht="18" customHeight="1">
      <c r="A30" s="58" t="s">
        <v>401</v>
      </c>
      <c r="B30" s="37" t="s">
        <v>402</v>
      </c>
      <c r="C30" s="58" t="s">
        <v>343</v>
      </c>
      <c r="D30" s="58">
        <v>28</v>
      </c>
      <c r="E30" s="605">
        <v>45237079498</v>
      </c>
      <c r="F30" s="605">
        <v>20677465859</v>
      </c>
    </row>
    <row r="31" spans="1:11" ht="18" customHeight="1">
      <c r="A31" s="58" t="s">
        <v>403</v>
      </c>
      <c r="B31" s="37" t="s">
        <v>404</v>
      </c>
      <c r="C31" s="58" t="s">
        <v>343</v>
      </c>
      <c r="D31" s="58">
        <v>12</v>
      </c>
      <c r="E31" s="605">
        <v>0</v>
      </c>
      <c r="F31" s="605">
        <v>0</v>
      </c>
      <c r="H31" s="804"/>
    </row>
    <row r="32" spans="1:11" ht="18" customHeight="1">
      <c r="A32" s="58" t="s">
        <v>405</v>
      </c>
      <c r="B32" s="37" t="s">
        <v>406</v>
      </c>
      <c r="C32" s="58" t="s">
        <v>346</v>
      </c>
      <c r="D32" s="58">
        <v>29</v>
      </c>
      <c r="E32" s="605">
        <v>-22105386640.310001</v>
      </c>
      <c r="F32" s="605">
        <v>-7432865108.3599997</v>
      </c>
      <c r="H32" s="804"/>
      <c r="K32" s="68"/>
    </row>
    <row r="33" spans="1:11" ht="18" customHeight="1">
      <c r="A33" s="58" t="s">
        <v>407</v>
      </c>
      <c r="B33" s="37" t="s">
        <v>408</v>
      </c>
      <c r="C33" s="58" t="s">
        <v>346</v>
      </c>
      <c r="D33" s="58" t="s">
        <v>396</v>
      </c>
      <c r="E33" s="605">
        <v>-51797156691</v>
      </c>
      <c r="F33" s="605">
        <v>-45391756625.190002</v>
      </c>
      <c r="H33" s="804"/>
      <c r="K33" s="68"/>
    </row>
    <row r="34" spans="1:11" ht="18" customHeight="1">
      <c r="A34" s="61" t="s">
        <v>409</v>
      </c>
      <c r="B34" s="62" t="s">
        <v>410</v>
      </c>
      <c r="C34" s="61"/>
      <c r="D34" s="61"/>
      <c r="E34" s="601">
        <f>SUM(E29:E33)</f>
        <v>-27894405203.009998</v>
      </c>
      <c r="F34" s="601">
        <v>-32085343646.349998</v>
      </c>
      <c r="H34" s="804"/>
      <c r="I34" s="68"/>
      <c r="J34" s="68"/>
    </row>
    <row r="35" spans="1:11" ht="18" customHeight="1">
      <c r="A35" s="64" t="s">
        <v>411</v>
      </c>
      <c r="B35" s="39" t="s">
        <v>412</v>
      </c>
      <c r="C35" s="64"/>
      <c r="D35" s="64"/>
      <c r="E35" s="599">
        <v>57698846122.18</v>
      </c>
      <c r="F35" s="599">
        <v>13254337442.02</v>
      </c>
      <c r="I35" s="68"/>
    </row>
    <row r="36" spans="1:11" ht="18" customHeight="1">
      <c r="A36" s="58" t="s">
        <v>413</v>
      </c>
      <c r="B36" s="37" t="s">
        <v>414</v>
      </c>
      <c r="C36" s="58" t="s">
        <v>343</v>
      </c>
      <c r="D36" s="58" t="s">
        <v>415</v>
      </c>
      <c r="E36" s="605">
        <v>0</v>
      </c>
      <c r="F36" s="605">
        <v>0</v>
      </c>
    </row>
    <row r="37" spans="1:11" ht="18" customHeight="1">
      <c r="A37" s="58" t="s">
        <v>416</v>
      </c>
      <c r="B37" s="37" t="s">
        <v>417</v>
      </c>
      <c r="C37" s="58" t="s">
        <v>343</v>
      </c>
      <c r="D37" s="58">
        <v>30</v>
      </c>
      <c r="E37" s="605">
        <v>0</v>
      </c>
      <c r="F37" s="605">
        <v>0</v>
      </c>
    </row>
    <row r="38" spans="1:11" ht="18" customHeight="1">
      <c r="A38" s="58" t="s">
        <v>418</v>
      </c>
      <c r="B38" s="37" t="s">
        <v>419</v>
      </c>
      <c r="C38" s="58" t="s">
        <v>346</v>
      </c>
      <c r="D38" s="58" t="s">
        <v>415</v>
      </c>
      <c r="E38" s="605">
        <v>0</v>
      </c>
      <c r="F38" s="605">
        <v>0</v>
      </c>
      <c r="H38" s="68"/>
    </row>
    <row r="39" spans="1:11" ht="18" customHeight="1">
      <c r="A39" s="58" t="s">
        <v>420</v>
      </c>
      <c r="B39" s="37" t="s">
        <v>421</v>
      </c>
      <c r="C39" s="58" t="s">
        <v>346</v>
      </c>
      <c r="D39" s="58">
        <v>30</v>
      </c>
      <c r="E39" s="605">
        <v>0</v>
      </c>
      <c r="F39" s="605">
        <v>0</v>
      </c>
    </row>
    <row r="40" spans="1:11" ht="18" customHeight="1">
      <c r="A40" s="64" t="s">
        <v>422</v>
      </c>
      <c r="B40" s="39" t="s">
        <v>423</v>
      </c>
      <c r="C40" s="64"/>
      <c r="D40" s="64"/>
      <c r="E40" s="599">
        <v>0</v>
      </c>
      <c r="F40" s="599">
        <v>0</v>
      </c>
    </row>
    <row r="41" spans="1:11" ht="18" customHeight="1">
      <c r="A41" s="58" t="s">
        <v>424</v>
      </c>
      <c r="B41" s="37" t="s">
        <v>425</v>
      </c>
      <c r="C41" s="58" t="s">
        <v>346</v>
      </c>
      <c r="D41" s="58">
        <v>30</v>
      </c>
      <c r="E41" s="605">
        <v>0</v>
      </c>
      <c r="F41" s="605">
        <v>0</v>
      </c>
    </row>
    <row r="42" spans="1:11" ht="18" customHeight="1">
      <c r="A42" s="58" t="s">
        <v>426</v>
      </c>
      <c r="B42" s="37" t="s">
        <v>427</v>
      </c>
      <c r="C42" s="58" t="s">
        <v>346</v>
      </c>
      <c r="D42" s="58"/>
      <c r="E42" s="605">
        <v>0</v>
      </c>
      <c r="F42" s="605">
        <v>0</v>
      </c>
    </row>
    <row r="43" spans="1:11" ht="18" customHeight="1">
      <c r="A43" s="61" t="s">
        <v>428</v>
      </c>
      <c r="B43" s="62" t="s">
        <v>429</v>
      </c>
      <c r="C43" s="61"/>
      <c r="D43" s="61"/>
      <c r="E43" s="601">
        <v>57698846122</v>
      </c>
      <c r="F43" s="601">
        <v>13254337442.02</v>
      </c>
    </row>
    <row r="47" spans="1:11" ht="12.75" customHeight="1">
      <c r="B47" s="66"/>
      <c r="C47" s="66"/>
    </row>
    <row r="48" spans="1:11" ht="12.75" customHeight="1">
      <c r="B48" s="66"/>
      <c r="C48" s="66"/>
    </row>
    <row r="49" spans="2:6" ht="12.75" customHeight="1">
      <c r="B49" s="66"/>
      <c r="C49" s="66"/>
    </row>
    <row r="52" spans="2:6" ht="12.75" customHeight="1">
      <c r="B52" s="67"/>
      <c r="C52" s="67"/>
    </row>
    <row r="53" spans="2:6" ht="12.75" customHeight="1">
      <c r="B53" s="67"/>
      <c r="C53" s="67"/>
    </row>
    <row r="56" spans="2:6" ht="12.75" customHeight="1">
      <c r="E56" s="68"/>
      <c r="F56" s="68"/>
    </row>
    <row r="57" spans="2:6" ht="12.75" customHeight="1">
      <c r="E57" s="68"/>
      <c r="F57" s="68"/>
    </row>
    <row r="58" spans="2:6" ht="12.75" customHeight="1">
      <c r="E58" s="68"/>
      <c r="F58" s="68"/>
    </row>
    <row r="59" spans="2:6" ht="12.75" customHeight="1">
      <c r="E59" s="68"/>
      <c r="F59" s="68"/>
    </row>
    <row r="60" spans="2:6" ht="12.75" customHeight="1">
      <c r="E60" s="68"/>
      <c r="F60" s="68"/>
    </row>
    <row r="61" spans="2:6" ht="12.75" customHeight="1">
      <c r="E61" s="68"/>
      <c r="F61" s="68"/>
    </row>
    <row r="62" spans="2:6" ht="12.75" customHeight="1">
      <c r="E62" s="68"/>
      <c r="F62" s="68"/>
    </row>
    <row r="63" spans="2:6" ht="12.75" customHeight="1">
      <c r="E63" s="68"/>
      <c r="F63" s="68"/>
    </row>
    <row r="64" spans="2:6" ht="12.75" customHeight="1">
      <c r="E64" s="68"/>
      <c r="F64" s="68"/>
    </row>
    <row r="65" spans="5:6" ht="12.75" customHeight="1">
      <c r="E65" s="68"/>
      <c r="F65" s="68"/>
    </row>
    <row r="66" spans="5:6" ht="12.75" customHeight="1">
      <c r="E66" s="68"/>
      <c r="F66" s="68"/>
    </row>
    <row r="67" spans="5:6" ht="12.75" customHeight="1">
      <c r="E67" s="68"/>
      <c r="F67" s="68"/>
    </row>
    <row r="68" spans="5:6" ht="12.75" customHeight="1">
      <c r="E68" s="68"/>
      <c r="F68" s="68"/>
    </row>
    <row r="69" spans="5:6" ht="12.75" customHeight="1">
      <c r="E69" s="68"/>
      <c r="F69" s="68"/>
    </row>
    <row r="70" spans="5:6" ht="12.75" customHeight="1">
      <c r="E70" s="68"/>
      <c r="F70" s="68"/>
    </row>
    <row r="71" spans="5:6" ht="12.75" customHeight="1">
      <c r="E71" s="68"/>
      <c r="F71" s="68"/>
    </row>
    <row r="72" spans="5:6" ht="12.75" customHeight="1">
      <c r="E72" s="68"/>
      <c r="F72" s="68"/>
    </row>
    <row r="73" spans="5:6" ht="12.75" customHeight="1">
      <c r="E73" s="68"/>
      <c r="F73" s="68"/>
    </row>
    <row r="74" spans="5:6" ht="12.75" customHeight="1">
      <c r="E74" s="68"/>
      <c r="F74" s="68"/>
    </row>
    <row r="75" spans="5:6" ht="12.75" customHeight="1">
      <c r="E75" s="68"/>
      <c r="F75" s="68"/>
    </row>
    <row r="76" spans="5:6" ht="12.75" customHeight="1">
      <c r="E76" s="68"/>
      <c r="F76" s="68"/>
    </row>
    <row r="77" spans="5:6" ht="12.75" customHeight="1">
      <c r="E77" s="68"/>
      <c r="F77" s="68"/>
    </row>
    <row r="78" spans="5:6" ht="12.75" customHeight="1">
      <c r="E78" s="68"/>
      <c r="F78" s="68"/>
    </row>
  </sheetData>
  <sheetProtection sheet="false"/>
  <dataValidations count="1">
    <dataValidation allowBlank="1" showInputMessage="1" showErrorMessage="1" errorTitle="Erreur de saisie" error="La cellule ne peut prendre que du numérique." promptTitle="Information" prompt="Cette cellule ne peut prendre que du numérique," sqref="E2:F43" xr:uid="{00000000-0002-0000-0600-000000000000}"/>
  </dataValidations>
  <pageMargins left="0.7" right="0.7" top="0.75" bottom="0.75" header="0.3" footer="0.3"/>
  <pageSetup paperSize="9" scale="78" orientation="portrait" horizontalDpi="4294967295" verticalDpi="4294967295"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6"/>
  <sheetViews>
    <sheetView topLeftCell="A22" zoomScaleNormal="100" workbookViewId="0">
      <selection activeCell="H39" sqref="H39"/>
    </sheetView>
  </sheetViews>
  <sheetFormatPr baseColWidth="10" defaultColWidth="12" defaultRowHeight="12.75" customHeight="1"/>
  <cols>
    <col min="1" max="1" bestFit="true" customWidth="true" style="7" width="4.796875" collapsed="true"/>
    <col min="2" max="2" bestFit="true" customWidth="true" style="4" width="83.0" collapsed="true"/>
    <col min="3" max="3" bestFit="true" customWidth="true" style="4" width="3.69921875" collapsed="true"/>
    <col min="4" max="4" customWidth="true" style="4" width="10.0" collapsed="true"/>
    <col min="5" max="6" bestFit="true" customWidth="true" style="5" width="21.19921875" collapsed="true"/>
    <col min="7" max="7" style="4" width="12.0" collapsed="true"/>
    <col min="8" max="8" bestFit="true" customWidth="true" style="4" width="14.296875" collapsed="true"/>
    <col min="9" max="16384" style="4" width="12.0" collapsed="true"/>
  </cols>
  <sheetData>
    <row r="1" spans="1:8" ht="25.15" customHeight="1">
      <c r="A1" s="18" t="s">
        <v>220</v>
      </c>
      <c r="B1" s="19" t="s">
        <v>339</v>
      </c>
      <c r="C1" s="18"/>
      <c r="D1" s="18" t="s">
        <v>340</v>
      </c>
      <c r="E1" s="20" t="s">
        <v>1417</v>
      </c>
      <c r="F1" s="20" t="s">
        <v>1418</v>
      </c>
    </row>
    <row r="2" spans="1:8" ht="27" customHeight="1">
      <c r="A2" s="284" t="s">
        <v>34</v>
      </c>
      <c r="B2" s="285" t="s">
        <v>430</v>
      </c>
      <c r="C2" s="284" t="s">
        <v>127</v>
      </c>
      <c r="D2" s="21"/>
      <c r="E2" s="736">
        <v>15822261050.73</v>
      </c>
      <c r="F2" s="601">
        <v>10622590081.01</v>
      </c>
    </row>
    <row r="3" spans="1:8" ht="25.15" customHeight="1">
      <c r="A3" s="286"/>
      <c r="B3" s="287" t="s">
        <v>431</v>
      </c>
      <c r="C3" s="286"/>
      <c r="D3" s="22"/>
      <c r="E3" s="606">
        <v>0</v>
      </c>
      <c r="F3" s="599">
        <v>0</v>
      </c>
    </row>
    <row r="4" spans="1:8" ht="25.15" customHeight="1">
      <c r="A4" s="288" t="s">
        <v>432</v>
      </c>
      <c r="B4" s="289" t="s">
        <v>433</v>
      </c>
      <c r="C4" s="288"/>
      <c r="D4" s="6"/>
      <c r="E4" s="605">
        <v>85708121100.809998</v>
      </c>
      <c r="F4" s="605">
        <v>59188753362.82</v>
      </c>
    </row>
    <row r="5" spans="1:8" ht="25.15" customHeight="1">
      <c r="A5" s="288" t="s">
        <v>434</v>
      </c>
      <c r="B5" s="290" t="s">
        <v>435</v>
      </c>
      <c r="C5" s="288"/>
      <c r="D5" s="6"/>
      <c r="E5" s="605">
        <v>0</v>
      </c>
      <c r="F5" s="605">
        <v>0</v>
      </c>
    </row>
    <row r="6" spans="1:8" ht="25.15" customHeight="1">
      <c r="A6" s="288" t="s">
        <v>436</v>
      </c>
      <c r="B6" s="290" t="s">
        <v>437</v>
      </c>
      <c r="C6" s="288"/>
      <c r="D6" s="6"/>
      <c r="E6" s="605">
        <v>2025955939.97</v>
      </c>
      <c r="F6" s="605">
        <v>198832050</v>
      </c>
    </row>
    <row r="7" spans="1:8" ht="25.15" customHeight="1">
      <c r="A7" s="288" t="s">
        <v>438</v>
      </c>
      <c r="B7" s="290" t="s">
        <v>439</v>
      </c>
      <c r="C7" s="288"/>
      <c r="D7" s="6"/>
      <c r="E7" s="605">
        <v>-19826698954.649994</v>
      </c>
      <c r="F7" s="605">
        <v>-1032422699</v>
      </c>
      <c r="H7" s="312"/>
    </row>
    <row r="8" spans="1:8" ht="25.15" customHeight="1">
      <c r="A8" s="288" t="s">
        <v>440</v>
      </c>
      <c r="B8" s="290" t="s">
        <v>441</v>
      </c>
      <c r="C8" s="288"/>
      <c r="D8" s="6"/>
      <c r="E8" s="605">
        <v>10333009851.139999</v>
      </c>
      <c r="F8" s="605">
        <v>-25971462</v>
      </c>
      <c r="H8" s="312"/>
    </row>
    <row r="9" spans="1:8" ht="25.15" customHeight="1">
      <c r="A9" s="288"/>
      <c r="B9" s="291" t="s">
        <v>442</v>
      </c>
      <c r="C9" s="288"/>
      <c r="D9" s="6"/>
      <c r="E9" s="741">
        <v>-7467733163.5399971</v>
      </c>
      <c r="F9" s="605">
        <v>-859562110</v>
      </c>
      <c r="H9" s="312"/>
    </row>
    <row r="10" spans="1:8" ht="25.15" customHeight="1">
      <c r="A10" s="284" t="s">
        <v>38</v>
      </c>
      <c r="B10" s="292" t="s">
        <v>443</v>
      </c>
      <c r="C10" s="284" t="s">
        <v>444</v>
      </c>
      <c r="D10" s="21"/>
      <c r="E10" s="742">
        <f>+E9+E4</f>
        <v>78240387937.270004</v>
      </c>
      <c r="F10" s="601">
        <v>58329191252</v>
      </c>
    </row>
    <row r="11" spans="1:8" ht="25.15" customHeight="1">
      <c r="A11" s="286"/>
      <c r="B11" s="287" t="s">
        <v>445</v>
      </c>
      <c r="C11" s="286"/>
      <c r="D11" s="22"/>
      <c r="E11" s="737"/>
      <c r="F11" s="737"/>
    </row>
    <row r="12" spans="1:8" ht="25.15" customHeight="1">
      <c r="A12" s="288" t="s">
        <v>446</v>
      </c>
      <c r="B12" s="290" t="s">
        <v>447</v>
      </c>
      <c r="C12" s="288"/>
      <c r="D12" s="6"/>
      <c r="E12" s="605">
        <v>-7999826</v>
      </c>
      <c r="F12" s="605">
        <v>-259640617.5</v>
      </c>
    </row>
    <row r="13" spans="1:8" ht="25.15" customHeight="1">
      <c r="A13" s="288" t="s">
        <v>448</v>
      </c>
      <c r="B13" s="290" t="s">
        <v>449</v>
      </c>
      <c r="C13" s="288"/>
      <c r="D13" s="6"/>
      <c r="E13" s="605">
        <v>-22143855033</v>
      </c>
      <c r="F13" s="605">
        <v>-9791152857</v>
      </c>
    </row>
    <row r="14" spans="1:8" ht="25.15" customHeight="1">
      <c r="A14" s="288" t="s">
        <v>450</v>
      </c>
      <c r="B14" s="290" t="s">
        <v>451</v>
      </c>
      <c r="C14" s="288"/>
      <c r="D14" s="6"/>
      <c r="E14" s="605">
        <v>-66553341</v>
      </c>
      <c r="F14" s="605">
        <v>-269938758</v>
      </c>
    </row>
    <row r="15" spans="1:8" ht="25.15" customHeight="1">
      <c r="A15" s="288" t="s">
        <v>452</v>
      </c>
      <c r="B15" s="290" t="s">
        <v>453</v>
      </c>
      <c r="C15" s="288"/>
      <c r="D15" s="6"/>
      <c r="E15" s="605">
        <v>0</v>
      </c>
      <c r="F15" s="605">
        <v>0</v>
      </c>
    </row>
    <row r="16" spans="1:8" ht="25.15" customHeight="1">
      <c r="A16" s="288" t="s">
        <v>454</v>
      </c>
      <c r="B16" s="290" t="s">
        <v>455</v>
      </c>
      <c r="C16" s="288"/>
      <c r="D16" s="6"/>
      <c r="E16" s="605">
        <v>0</v>
      </c>
      <c r="F16" s="605">
        <v>0</v>
      </c>
    </row>
    <row r="17" spans="1:8" ht="25.15" customHeight="1">
      <c r="A17" s="284" t="s">
        <v>40</v>
      </c>
      <c r="B17" s="292" t="s">
        <v>456</v>
      </c>
      <c r="C17" s="284" t="s">
        <v>457</v>
      </c>
      <c r="D17" s="21"/>
      <c r="E17" s="742">
        <f>SUM(E12:E16)</f>
        <v>-22218408200</v>
      </c>
      <c r="F17" s="601">
        <v>-10320732233</v>
      </c>
    </row>
    <row r="18" spans="1:8" ht="25.15" customHeight="1">
      <c r="A18" s="286"/>
      <c r="B18" s="287" t="s">
        <v>458</v>
      </c>
      <c r="C18" s="286"/>
      <c r="D18" s="22"/>
      <c r="E18" s="737"/>
      <c r="F18" s="737"/>
    </row>
    <row r="19" spans="1:8" ht="25.15" customHeight="1">
      <c r="A19" s="288" t="s">
        <v>459</v>
      </c>
      <c r="B19" s="290" t="s">
        <v>460</v>
      </c>
      <c r="C19" s="288"/>
      <c r="D19" s="6"/>
      <c r="E19" s="605">
        <v>0</v>
      </c>
      <c r="F19" s="605">
        <v>0</v>
      </c>
    </row>
    <row r="20" spans="1:8" ht="25.15" customHeight="1">
      <c r="A20" s="288" t="s">
        <v>461</v>
      </c>
      <c r="B20" s="290" t="s">
        <v>462</v>
      </c>
      <c r="C20" s="288"/>
      <c r="D20" s="6"/>
      <c r="E20" s="605">
        <v>0</v>
      </c>
      <c r="F20" s="605">
        <v>0</v>
      </c>
    </row>
    <row r="21" spans="1:8" ht="25.15" customHeight="1">
      <c r="A21" s="288" t="s">
        <v>463</v>
      </c>
      <c r="B21" s="290" t="s">
        <v>464</v>
      </c>
      <c r="C21" s="288"/>
      <c r="D21" s="6"/>
      <c r="E21" s="605">
        <v>0</v>
      </c>
      <c r="F21" s="605">
        <v>0</v>
      </c>
    </row>
    <row r="22" spans="1:8" ht="25.15" customHeight="1">
      <c r="A22" s="288" t="s">
        <v>465</v>
      </c>
      <c r="B22" s="290" t="s">
        <v>466</v>
      </c>
      <c r="C22" s="288"/>
      <c r="D22" s="6"/>
      <c r="E22" s="605">
        <v>0</v>
      </c>
      <c r="F22" s="605">
        <v>0</v>
      </c>
    </row>
    <row r="23" spans="1:8" ht="25.15" customHeight="1">
      <c r="A23" s="286" t="s">
        <v>43</v>
      </c>
      <c r="B23" s="287" t="s">
        <v>467</v>
      </c>
      <c r="C23" s="286" t="s">
        <v>468</v>
      </c>
      <c r="D23" s="22"/>
      <c r="E23" s="599">
        <v>0</v>
      </c>
      <c r="F23" s="599">
        <v>0</v>
      </c>
    </row>
    <row r="24" spans="1:8" ht="25.15" customHeight="1">
      <c r="A24" s="286"/>
      <c r="B24" s="287" t="s">
        <v>469</v>
      </c>
      <c r="C24" s="286"/>
      <c r="D24" s="22"/>
      <c r="E24" s="737"/>
      <c r="F24" s="737"/>
    </row>
    <row r="25" spans="1:8" ht="25.15" customHeight="1">
      <c r="A25" s="288" t="s">
        <v>470</v>
      </c>
      <c r="B25" s="290" t="s">
        <v>471</v>
      </c>
      <c r="C25" s="293"/>
      <c r="D25" s="6"/>
      <c r="E25" s="605">
        <v>0</v>
      </c>
      <c r="F25" s="605">
        <v>0</v>
      </c>
    </row>
    <row r="26" spans="1:8" ht="25.15" customHeight="1">
      <c r="A26" s="288" t="s">
        <v>472</v>
      </c>
      <c r="B26" s="290" t="s">
        <v>473</v>
      </c>
      <c r="C26" s="288"/>
      <c r="D26" s="6"/>
      <c r="E26" s="605">
        <v>0</v>
      </c>
      <c r="F26" s="605">
        <v>0</v>
      </c>
    </row>
    <row r="27" spans="1:8" ht="25.15" customHeight="1">
      <c r="A27" s="288" t="s">
        <v>474</v>
      </c>
      <c r="B27" s="290" t="s">
        <v>475</v>
      </c>
      <c r="C27" s="288"/>
      <c r="D27" s="6"/>
      <c r="E27" s="605">
        <v>-59952202087.108398</v>
      </c>
      <c r="F27" s="738">
        <v>-42828788050</v>
      </c>
    </row>
    <row r="28" spans="1:8" ht="25.15" customHeight="1">
      <c r="A28" s="286" t="s">
        <v>47</v>
      </c>
      <c r="B28" s="287" t="s">
        <v>476</v>
      </c>
      <c r="C28" s="286" t="s">
        <v>477</v>
      </c>
      <c r="D28" s="22"/>
      <c r="E28" s="743">
        <f>+E27</f>
        <v>-59952202087.108398</v>
      </c>
      <c r="F28" s="739">
        <f>SUM(F24:F27)</f>
        <v>-42828788050</v>
      </c>
    </row>
    <row r="29" spans="1:8" ht="25.15" customHeight="1">
      <c r="A29" s="284" t="s">
        <v>51</v>
      </c>
      <c r="B29" s="292" t="s">
        <v>478</v>
      </c>
      <c r="C29" s="284" t="s">
        <v>479</v>
      </c>
      <c r="D29" s="21"/>
      <c r="E29" s="601">
        <v>-59952202087.108398</v>
      </c>
      <c r="F29" s="736">
        <f>+F28+F23</f>
        <v>-42828788050</v>
      </c>
      <c r="H29" s="312"/>
    </row>
    <row r="30" spans="1:8" ht="25.15" customHeight="1">
      <c r="A30" s="286" t="s">
        <v>53</v>
      </c>
      <c r="B30" s="287" t="s">
        <v>480</v>
      </c>
      <c r="C30" s="286" t="s">
        <v>481</v>
      </c>
      <c r="D30" s="22"/>
      <c r="E30" s="599">
        <v>-3930222349.8383942</v>
      </c>
      <c r="F30" s="740">
        <f>+F29+F17+F10</f>
        <v>5179670969</v>
      </c>
    </row>
    <row r="31" spans="1:8" ht="27" customHeight="1">
      <c r="A31" s="284" t="s">
        <v>59</v>
      </c>
      <c r="B31" s="285" t="s">
        <v>482</v>
      </c>
      <c r="C31" s="284" t="s">
        <v>483</v>
      </c>
      <c r="D31" s="21"/>
      <c r="E31" s="736">
        <v>11892038700.950001</v>
      </c>
      <c r="F31" s="736">
        <v>15822261050.73</v>
      </c>
    </row>
    <row r="32" spans="1:8" ht="12.75" customHeight="1">
      <c r="B32" s="4" t="s">
        <v>484</v>
      </c>
      <c r="E32" s="313"/>
      <c r="F32" s="313"/>
    </row>
    <row r="34" spans="2:6" ht="12.75" customHeight="1">
      <c r="E34" s="23"/>
    </row>
    <row r="35" spans="2:6" ht="12.75" customHeight="1">
      <c r="B35" s="8"/>
      <c r="C35" s="8"/>
    </row>
    <row r="36" spans="2:6" ht="12.75" customHeight="1">
      <c r="B36" s="8"/>
      <c r="C36" s="8"/>
    </row>
    <row r="37" spans="2:6" ht="12.75" customHeight="1">
      <c r="B37" s="8"/>
      <c r="C37" s="8"/>
    </row>
    <row r="40" spans="2:6" ht="12.75" customHeight="1">
      <c r="B40" s="9"/>
      <c r="C40" s="9"/>
    </row>
    <row r="41" spans="2:6" ht="12.75" customHeight="1">
      <c r="B41" s="9"/>
      <c r="C41" s="9"/>
    </row>
    <row r="44" spans="2:6" ht="12.75" customHeight="1">
      <c r="E44" s="4"/>
      <c r="F44" s="4"/>
    </row>
    <row r="45" spans="2:6" ht="12.75" customHeight="1">
      <c r="E45" s="4"/>
      <c r="F45" s="4"/>
    </row>
    <row r="46" spans="2:6" ht="12.75" customHeight="1">
      <c r="E46" s="4"/>
      <c r="F46" s="4"/>
    </row>
    <row r="47" spans="2:6" ht="12.75" customHeight="1">
      <c r="E47" s="4"/>
      <c r="F47" s="4"/>
    </row>
    <row r="48" spans="2:6" ht="12.75" customHeight="1">
      <c r="E48" s="4"/>
      <c r="F48" s="4"/>
    </row>
    <row r="49" spans="5:6" ht="12.75" customHeight="1">
      <c r="E49" s="4"/>
      <c r="F49" s="4"/>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sheetData>
  <sheetProtection sheet="false"/>
  <dataValidations count="1">
    <dataValidation allowBlank="1" showInputMessage="1" showErrorMessage="1" errorTitle="Erreur de saisie" error="La cellule ne peut prendre que du numérique." promptTitle="Information" prompt="Cette cellule ne peut prendre que du numérique." sqref="E3:E31 F2:F30" xr:uid="{00000000-0002-0000-0700-000000000000}"/>
  </dataValidations>
  <pageMargins left="0.7" right="0.7" top="0.75" bottom="0.75" header="0.3" footer="0.3"/>
  <pageSetup paperSize="9" scale="68"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5"/>
  <sheetViews>
    <sheetView topLeftCell="A37" workbookViewId="0">
      <selection activeCell="H39" sqref="H39"/>
    </sheetView>
  </sheetViews>
  <sheetFormatPr baseColWidth="10" defaultColWidth="12" defaultRowHeight="13"/>
  <cols>
    <col min="1" max="1" customWidth="true" style="157" width="41.19921875" collapsed="true"/>
    <col min="2" max="2" bestFit="true" customWidth="true" style="157" width="5.796875" collapsed="true"/>
    <col min="3" max="3" bestFit="true" customWidth="true" style="276" width="13.69921875" collapsed="true"/>
    <col min="4" max="4" customWidth="true" style="157" width="17.0" collapsed="true"/>
    <col min="5" max="6" customWidth="true" style="157" width="14.796875" collapsed="true"/>
    <col min="7" max="16384" style="157" width="12.0" collapsed="true"/>
  </cols>
  <sheetData>
    <row r="1" spans="1:6" ht="18" customHeight="1">
      <c r="A1" s="959" t="s">
        <v>485</v>
      </c>
      <c r="B1" s="959"/>
      <c r="C1" s="959"/>
      <c r="D1" s="959"/>
      <c r="E1" s="959"/>
      <c r="F1" s="959"/>
    </row>
    <row r="2" spans="1:6" ht="8.15" customHeight="1"/>
    <row r="3" spans="1:6">
      <c r="A3" s="960" t="s">
        <v>486</v>
      </c>
      <c r="B3" s="960"/>
      <c r="C3" s="960"/>
      <c r="D3" s="157" t="s">
        <v>487</v>
      </c>
      <c r="E3" s="961">
        <v>44926</v>
      </c>
      <c r="F3" s="962"/>
    </row>
    <row r="4" spans="1:6" ht="15" customHeight="1">
      <c r="A4" s="963" t="s">
        <v>1423</v>
      </c>
      <c r="B4" s="962"/>
      <c r="C4" s="962"/>
      <c r="D4" s="964" t="s">
        <v>488</v>
      </c>
      <c r="E4" s="965">
        <v>12</v>
      </c>
      <c r="F4" s="966"/>
    </row>
    <row r="5" spans="1:6" ht="15" customHeight="1">
      <c r="A5" s="157" t="s">
        <v>489</v>
      </c>
      <c r="B5" s="967" t="s">
        <v>1426</v>
      </c>
      <c r="C5" s="968"/>
      <c r="D5" s="964"/>
      <c r="E5" s="962"/>
      <c r="F5" s="962"/>
    </row>
    <row r="6" spans="1:6" ht="8.15" customHeight="1"/>
    <row r="7" spans="1:6">
      <c r="A7" s="335" t="s">
        <v>339</v>
      </c>
      <c r="B7" s="969" t="s">
        <v>222</v>
      </c>
      <c r="C7" s="971" t="s">
        <v>490</v>
      </c>
      <c r="D7" s="973" t="s">
        <v>491</v>
      </c>
      <c r="E7" s="973"/>
      <c r="F7" s="973"/>
    </row>
    <row r="8" spans="1:6">
      <c r="A8" s="336"/>
      <c r="B8" s="970"/>
      <c r="C8" s="972"/>
      <c r="D8" s="970" t="s">
        <v>492</v>
      </c>
      <c r="E8" s="970" t="s">
        <v>493</v>
      </c>
      <c r="F8" s="337" t="s">
        <v>494</v>
      </c>
    </row>
    <row r="9" spans="1:6">
      <c r="A9" s="336"/>
      <c r="B9" s="970"/>
      <c r="C9" s="972"/>
      <c r="D9" s="970"/>
      <c r="E9" s="970"/>
      <c r="F9" s="336" t="s">
        <v>495</v>
      </c>
    </row>
    <row r="10" spans="1:6" ht="20.149999999999999" customHeight="1">
      <c r="A10" s="158" t="s">
        <v>496</v>
      </c>
      <c r="B10" s="158"/>
      <c r="C10" s="500"/>
      <c r="D10" s="501"/>
      <c r="E10" s="501"/>
      <c r="F10" s="501"/>
    </row>
    <row r="11" spans="1:6" ht="19.149999999999999" customHeight="1">
      <c r="A11" s="159" t="s">
        <v>497</v>
      </c>
      <c r="B11" s="160"/>
      <c r="C11" s="609">
        <v>0</v>
      </c>
      <c r="D11" s="610">
        <v>0</v>
      </c>
      <c r="E11" s="610">
        <v>0</v>
      </c>
      <c r="F11" s="610">
        <v>0</v>
      </c>
    </row>
    <row r="12" spans="1:6" ht="19.149999999999999" customHeight="1">
      <c r="A12" s="159" t="s">
        <v>498</v>
      </c>
      <c r="B12" s="160"/>
      <c r="C12" s="609">
        <v>0</v>
      </c>
      <c r="D12" s="610">
        <v>0</v>
      </c>
      <c r="E12" s="610">
        <v>0</v>
      </c>
      <c r="F12" s="610">
        <v>0</v>
      </c>
    </row>
    <row r="13" spans="1:6" ht="24" customHeight="1">
      <c r="A13" s="159" t="s">
        <v>499</v>
      </c>
      <c r="B13" s="160"/>
      <c r="C13" s="609">
        <v>0</v>
      </c>
      <c r="D13" s="610">
        <v>0</v>
      </c>
      <c r="E13" s="610">
        <v>0</v>
      </c>
      <c r="F13" s="610">
        <v>0</v>
      </c>
    </row>
    <row r="14" spans="1:6" ht="19.149999999999999" customHeight="1">
      <c r="A14" s="159" t="s">
        <v>500</v>
      </c>
      <c r="B14" s="160"/>
      <c r="C14" s="609">
        <v>0</v>
      </c>
      <c r="D14" s="610">
        <v>0</v>
      </c>
      <c r="E14" s="610">
        <v>0</v>
      </c>
      <c r="F14" s="610">
        <v>0</v>
      </c>
    </row>
    <row r="15" spans="1:6" ht="20.149999999999999" customHeight="1">
      <c r="A15" s="161" t="s">
        <v>501</v>
      </c>
      <c r="B15" s="161"/>
      <c r="C15" s="611">
        <v>0</v>
      </c>
      <c r="D15" s="612">
        <v>0</v>
      </c>
      <c r="E15" s="612">
        <v>0</v>
      </c>
      <c r="F15" s="612">
        <v>0</v>
      </c>
    </row>
    <row r="16" spans="1:6" ht="10.15" customHeight="1">
      <c r="A16" s="160"/>
      <c r="B16" s="160"/>
      <c r="C16" s="502"/>
      <c r="D16" s="503"/>
      <c r="E16" s="503"/>
      <c r="F16" s="503"/>
    </row>
    <row r="17" spans="1:6" ht="20.149999999999999" customHeight="1">
      <c r="A17" s="158" t="s">
        <v>502</v>
      </c>
      <c r="B17" s="158"/>
      <c r="C17" s="613">
        <v>0</v>
      </c>
      <c r="D17" s="614">
        <v>0</v>
      </c>
      <c r="E17" s="614">
        <v>0</v>
      </c>
      <c r="F17" s="614">
        <v>0</v>
      </c>
    </row>
    <row r="18" spans="1:6" ht="19.149999999999999" customHeight="1">
      <c r="A18" s="160" t="s">
        <v>503</v>
      </c>
      <c r="B18" s="160"/>
      <c r="C18" s="609">
        <v>0</v>
      </c>
      <c r="D18" s="610">
        <v>0</v>
      </c>
      <c r="E18" s="610">
        <v>0</v>
      </c>
      <c r="F18" s="610">
        <v>0</v>
      </c>
    </row>
    <row r="19" spans="1:6" ht="19.149999999999999" customHeight="1">
      <c r="A19" s="160" t="s">
        <v>504</v>
      </c>
      <c r="B19" s="160"/>
      <c r="C19" s="609">
        <v>0</v>
      </c>
      <c r="D19" s="610">
        <v>0</v>
      </c>
      <c r="E19" s="610">
        <v>0</v>
      </c>
      <c r="F19" s="610">
        <v>0</v>
      </c>
    </row>
    <row r="20" spans="1:6" ht="19.149999999999999" customHeight="1">
      <c r="A20" s="160" t="s">
        <v>505</v>
      </c>
      <c r="B20" s="160"/>
      <c r="C20" s="609">
        <v>0</v>
      </c>
      <c r="D20" s="610">
        <v>0</v>
      </c>
      <c r="E20" s="610">
        <v>0</v>
      </c>
      <c r="F20" s="610">
        <v>0</v>
      </c>
    </row>
    <row r="21" spans="1:6" ht="19.149999999999999" customHeight="1">
      <c r="A21" s="160" t="s">
        <v>506</v>
      </c>
      <c r="B21" s="160"/>
      <c r="C21" s="609">
        <v>0</v>
      </c>
      <c r="D21" s="610">
        <v>0</v>
      </c>
      <c r="E21" s="610">
        <v>0</v>
      </c>
      <c r="F21" s="610">
        <v>0</v>
      </c>
    </row>
    <row r="22" spans="1:6" ht="20.149999999999999" customHeight="1">
      <c r="A22" s="162" t="s">
        <v>507</v>
      </c>
      <c r="B22" s="162"/>
      <c r="C22" s="615">
        <v>0</v>
      </c>
      <c r="D22" s="616">
        <v>0</v>
      </c>
      <c r="E22" s="616">
        <v>0</v>
      </c>
      <c r="F22" s="616">
        <v>0</v>
      </c>
    </row>
    <row r="23" spans="1:6" ht="10.15" customHeight="1">
      <c r="A23" s="160"/>
      <c r="B23" s="160"/>
      <c r="C23" s="502"/>
      <c r="D23" s="503"/>
      <c r="E23" s="503"/>
      <c r="F23" s="503"/>
    </row>
    <row r="24" spans="1:6" ht="20.149999999999999" customHeight="1">
      <c r="A24" s="158" t="s">
        <v>508</v>
      </c>
      <c r="B24" s="158"/>
      <c r="C24" s="500"/>
      <c r="D24" s="501"/>
      <c r="E24" s="501"/>
      <c r="F24" s="501"/>
    </row>
    <row r="25" spans="1:6" ht="19.149999999999999" customHeight="1">
      <c r="A25" s="160" t="s">
        <v>509</v>
      </c>
      <c r="B25" s="160"/>
      <c r="C25" s="609">
        <v>0</v>
      </c>
      <c r="D25" s="610">
        <v>0</v>
      </c>
      <c r="E25" s="610">
        <v>0</v>
      </c>
      <c r="F25" s="610">
        <v>0</v>
      </c>
    </row>
    <row r="26" spans="1:6" ht="19.149999999999999" customHeight="1">
      <c r="A26" s="160" t="s">
        <v>307</v>
      </c>
      <c r="B26" s="160"/>
      <c r="C26" s="609">
        <v>0</v>
      </c>
      <c r="D26" s="610">
        <v>0</v>
      </c>
      <c r="E26" s="610">
        <v>0</v>
      </c>
      <c r="F26" s="610">
        <v>0</v>
      </c>
    </row>
    <row r="27" spans="1:6" ht="19.149999999999999" customHeight="1">
      <c r="A27" s="160" t="s">
        <v>510</v>
      </c>
      <c r="B27" s="160"/>
      <c r="C27" s="609">
        <v>0</v>
      </c>
      <c r="D27" s="610">
        <v>0</v>
      </c>
      <c r="E27" s="610">
        <v>0</v>
      </c>
      <c r="F27" s="610">
        <v>0</v>
      </c>
    </row>
    <row r="28" spans="1:6" ht="19.149999999999999" customHeight="1">
      <c r="A28" s="160" t="s">
        <v>511</v>
      </c>
      <c r="B28" s="160"/>
      <c r="C28" s="609">
        <v>0</v>
      </c>
      <c r="D28" s="610">
        <v>0</v>
      </c>
      <c r="E28" s="610">
        <v>0</v>
      </c>
      <c r="F28" s="610">
        <v>0</v>
      </c>
    </row>
    <row r="29" spans="1:6" ht="19.149999999999999" customHeight="1">
      <c r="A29" s="160" t="s">
        <v>512</v>
      </c>
      <c r="B29" s="160"/>
      <c r="C29" s="609">
        <v>0</v>
      </c>
      <c r="D29" s="617">
        <v>0</v>
      </c>
      <c r="E29" s="610">
        <v>0</v>
      </c>
      <c r="F29" s="610">
        <v>0</v>
      </c>
    </row>
    <row r="30" spans="1:6" ht="19.149999999999999" customHeight="1">
      <c r="A30" s="160" t="s">
        <v>513</v>
      </c>
      <c r="B30" s="160"/>
      <c r="C30" s="609">
        <v>0</v>
      </c>
      <c r="D30" s="610">
        <v>0</v>
      </c>
      <c r="E30" s="610">
        <v>0</v>
      </c>
      <c r="F30" s="610">
        <v>0</v>
      </c>
    </row>
    <row r="31" spans="1:6" ht="19.149999999999999" customHeight="1">
      <c r="A31" s="160" t="s">
        <v>514</v>
      </c>
      <c r="B31" s="160"/>
      <c r="C31" s="609">
        <v>0</v>
      </c>
      <c r="D31" s="617">
        <v>0</v>
      </c>
      <c r="E31" s="610">
        <v>0</v>
      </c>
      <c r="F31" s="610">
        <v>0</v>
      </c>
    </row>
    <row r="32" spans="1:6" ht="19.149999999999999" customHeight="1">
      <c r="A32" s="160" t="s">
        <v>515</v>
      </c>
      <c r="B32" s="160"/>
      <c r="C32" s="609">
        <v>0</v>
      </c>
      <c r="D32" s="617">
        <v>0</v>
      </c>
      <c r="E32" s="610">
        <v>0</v>
      </c>
      <c r="F32" s="610">
        <v>0</v>
      </c>
    </row>
    <row r="33" spans="1:6" ht="20.149999999999999" customHeight="1">
      <c r="A33" s="162" t="s">
        <v>516</v>
      </c>
      <c r="B33" s="162"/>
      <c r="C33" s="615">
        <v>0</v>
      </c>
      <c r="D33" s="616">
        <v>0</v>
      </c>
      <c r="E33" s="616">
        <v>0</v>
      </c>
      <c r="F33" s="616">
        <v>0</v>
      </c>
    </row>
    <row r="34" spans="1:6" ht="20.149999999999999" customHeight="1">
      <c r="A34" s="163" t="s">
        <v>517</v>
      </c>
      <c r="B34" s="163"/>
      <c r="C34" s="618">
        <v>0</v>
      </c>
      <c r="D34" s="619">
        <v>0</v>
      </c>
      <c r="E34" s="619">
        <v>0</v>
      </c>
      <c r="F34" s="619">
        <v>0</v>
      </c>
    </row>
    <row r="35" spans="1:6" ht="27.65" customHeight="1">
      <c r="A35" s="274" t="s">
        <v>518</v>
      </c>
      <c r="B35" s="164"/>
      <c r="C35" s="277"/>
      <c r="D35" s="165"/>
      <c r="E35" s="166" t="s">
        <v>519</v>
      </c>
      <c r="F35" s="166" t="s">
        <v>520</v>
      </c>
    </row>
    <row r="36" spans="1:6" ht="20.149999999999999" customHeight="1">
      <c r="A36" s="340" t="s">
        <v>521</v>
      </c>
      <c r="B36" s="341"/>
      <c r="C36" s="506"/>
      <c r="D36" s="507"/>
      <c r="E36" s="610">
        <v>0</v>
      </c>
      <c r="F36" s="610">
        <v>0</v>
      </c>
    </row>
    <row r="37" spans="1:6" ht="20.149999999999999" customHeight="1">
      <c r="A37" s="340" t="s">
        <v>522</v>
      </c>
      <c r="B37" s="341"/>
      <c r="C37" s="506"/>
      <c r="D37" s="507"/>
      <c r="E37" s="610">
        <v>0</v>
      </c>
      <c r="F37" s="610">
        <v>0</v>
      </c>
    </row>
    <row r="38" spans="1:6" ht="20.149999999999999" customHeight="1">
      <c r="A38" s="340" t="s">
        <v>523</v>
      </c>
      <c r="B38" s="341"/>
      <c r="C38" s="506"/>
      <c r="D38" s="507"/>
      <c r="E38" s="610">
        <v>0</v>
      </c>
      <c r="F38" s="610">
        <v>0</v>
      </c>
    </row>
    <row r="39" spans="1:6" ht="20.149999999999999" customHeight="1">
      <c r="A39" s="340" t="s">
        <v>524</v>
      </c>
      <c r="B39" s="341"/>
      <c r="C39" s="506"/>
      <c r="D39" s="507"/>
      <c r="E39" s="610">
        <v>0</v>
      </c>
      <c r="F39" s="610">
        <v>0</v>
      </c>
    </row>
    <row r="40" spans="1:6" ht="20.149999999999999" customHeight="1">
      <c r="A40" s="340" t="s">
        <v>525</v>
      </c>
      <c r="B40" s="341"/>
      <c r="C40" s="506"/>
      <c r="D40" s="507"/>
      <c r="E40" s="610">
        <v>0</v>
      </c>
      <c r="F40" s="610">
        <v>0</v>
      </c>
    </row>
    <row r="41" spans="1:6" ht="20.149999999999999" customHeight="1">
      <c r="A41" s="340" t="s">
        <v>526</v>
      </c>
      <c r="B41" s="341"/>
      <c r="C41" s="506"/>
      <c r="D41" s="507"/>
      <c r="E41" s="610">
        <v>0</v>
      </c>
      <c r="F41" s="610">
        <v>0</v>
      </c>
    </row>
    <row r="42" spans="1:6" ht="20.149999999999999" customHeight="1">
      <c r="A42" s="340" t="s">
        <v>527</v>
      </c>
      <c r="B42" s="341"/>
      <c r="C42" s="506"/>
      <c r="D42" s="507"/>
      <c r="E42" s="610">
        <v>0</v>
      </c>
      <c r="F42" s="610">
        <v>0</v>
      </c>
    </row>
    <row r="43" spans="1:6" ht="20.149999999999999" customHeight="1">
      <c r="A43" s="274" t="s">
        <v>113</v>
      </c>
      <c r="B43" s="164"/>
      <c r="C43" s="508"/>
      <c r="D43" s="509"/>
      <c r="E43" s="620">
        <v>0</v>
      </c>
      <c r="F43" s="620">
        <v>0</v>
      </c>
    </row>
    <row r="44" spans="1:6">
      <c r="A44" s="167" t="s">
        <v>528</v>
      </c>
    </row>
    <row r="45" spans="1:6">
      <c r="A45" s="608"/>
    </row>
  </sheetData>
  <sheetProtection sheet="false"/>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topLeftCell="A13" workbookViewId="0">
      <selection activeCell="H39" sqref="H39"/>
    </sheetView>
  </sheetViews>
  <sheetFormatPr baseColWidth="10" defaultColWidth="12" defaultRowHeight="13"/>
  <cols>
    <col min="1" max="1" customWidth="true" style="157" width="41.19921875" collapsed="true"/>
    <col min="2" max="2" customWidth="true" style="157" width="56.5" collapsed="true"/>
    <col min="3" max="3" customWidth="true" style="157" width="22.19921875" collapsed="true"/>
    <col min="4" max="16384" style="157" width="12.0" collapsed="true"/>
  </cols>
  <sheetData>
    <row r="1" spans="1:4" ht="18" customHeight="1">
      <c r="A1" s="959" t="s">
        <v>529</v>
      </c>
      <c r="B1" s="959"/>
      <c r="C1" s="959"/>
      <c r="D1" s="959"/>
    </row>
    <row r="3" spans="1:4" ht="12.75" customHeight="1">
      <c r="A3" s="960" t="s">
        <v>486</v>
      </c>
      <c r="B3" s="960"/>
      <c r="C3" s="157" t="s">
        <v>487</v>
      </c>
      <c r="D3" s="622">
        <v>44926</v>
      </c>
    </row>
    <row r="4" spans="1:4" ht="15" customHeight="1">
      <c r="A4" s="976" t="s">
        <v>1423</v>
      </c>
      <c r="B4" s="977"/>
      <c r="C4" s="157" t="s">
        <v>488</v>
      </c>
      <c r="D4" s="608">
        <v>12</v>
      </c>
    </row>
    <row r="5" spans="1:4" ht="15" customHeight="1">
      <c r="A5" s="157" t="s">
        <v>489</v>
      </c>
      <c r="B5" s="621" t="s">
        <v>1426</v>
      </c>
    </row>
    <row r="7" spans="1:4">
      <c r="A7" s="978" t="s">
        <v>530</v>
      </c>
      <c r="B7" s="978"/>
      <c r="C7" s="978"/>
      <c r="D7" s="978"/>
    </row>
    <row r="8" spans="1:4" ht="63" customHeight="1">
      <c r="A8" s="974" t="s">
        <v>1486</v>
      </c>
      <c r="B8" s="975"/>
      <c r="C8" s="975"/>
      <c r="D8" s="975"/>
    </row>
    <row r="9" spans="1:4">
      <c r="A9" s="978" t="s">
        <v>531</v>
      </c>
      <c r="B9" s="978"/>
      <c r="C9" s="978"/>
      <c r="D9" s="978"/>
    </row>
    <row r="10" spans="1:4" ht="94.5" customHeight="1">
      <c r="A10" s="974" t="s">
        <v>1521</v>
      </c>
      <c r="B10" s="975"/>
      <c r="C10" s="975"/>
      <c r="D10" s="975"/>
    </row>
    <row r="11" spans="1:4">
      <c r="A11" s="978" t="s">
        <v>532</v>
      </c>
      <c r="B11" s="978"/>
      <c r="C11" s="978"/>
      <c r="D11" s="978"/>
    </row>
    <row r="12" spans="1:4" ht="82.5" customHeight="1">
      <c r="A12" s="974" t="s">
        <v>1487</v>
      </c>
      <c r="B12" s="975"/>
      <c r="C12" s="975"/>
      <c r="D12" s="975"/>
    </row>
    <row r="13" spans="1:4" ht="31.5" customHeight="1">
      <c r="A13" s="979" t="s">
        <v>533</v>
      </c>
      <c r="B13" s="979"/>
      <c r="C13" s="979"/>
      <c r="D13" s="979"/>
    </row>
    <row r="14" spans="1:4" ht="105.75" customHeight="1">
      <c r="A14" s="974" t="s">
        <v>1522</v>
      </c>
      <c r="B14" s="975"/>
      <c r="C14" s="975"/>
      <c r="D14" s="975"/>
    </row>
    <row r="17" spans="1:1">
      <c r="A17" s="608"/>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31"/>
  <sheetViews>
    <sheetView topLeftCell="A25" zoomScaleNormal="100" workbookViewId="0">
      <selection activeCell="H39" sqref="H39"/>
    </sheetView>
  </sheetViews>
  <sheetFormatPr baseColWidth="10" defaultColWidth="12" defaultRowHeight="13"/>
  <cols>
    <col min="1" max="1" customWidth="true" style="157" width="41.19921875" collapsed="true"/>
    <col min="2" max="2" bestFit="true" customWidth="true" style="157" width="39.0" collapsed="true"/>
    <col min="3" max="3" customWidth="true" style="157" width="18.19921875" collapsed="true"/>
    <col min="4" max="4" customWidth="true" style="157" width="17.0" collapsed="true"/>
    <col min="5" max="5" customWidth="true" style="157" width="13.69921875" collapsed="true"/>
    <col min="6" max="6" customWidth="true" style="157" width="17.796875" collapsed="true"/>
    <col min="7" max="7" customWidth="true" style="157" width="19.19921875" collapsed="true"/>
    <col min="8" max="8" customWidth="true" style="157" width="22.19921875" collapsed="true"/>
    <col min="9" max="16384" style="157" width="12.0" collapsed="true"/>
  </cols>
  <sheetData>
    <row r="1" spans="1:8" ht="18" customHeight="1">
      <c r="A1" s="959" t="s">
        <v>534</v>
      </c>
      <c r="B1" s="959"/>
      <c r="C1" s="959"/>
      <c r="D1" s="959"/>
      <c r="E1" s="959"/>
      <c r="F1" s="959"/>
      <c r="G1" s="959"/>
      <c r="H1" s="959"/>
    </row>
    <row r="2" spans="1:8" ht="8.15" customHeight="1"/>
    <row r="3" spans="1:8" ht="12.75" customHeight="1">
      <c r="A3" s="960" t="s">
        <v>486</v>
      </c>
      <c r="B3" s="960"/>
      <c r="C3" s="960"/>
      <c r="E3" s="169" t="s">
        <v>487</v>
      </c>
      <c r="F3" s="980">
        <v>44926</v>
      </c>
      <c r="G3" s="981"/>
    </row>
    <row r="4" spans="1:8" ht="15" customHeight="1">
      <c r="A4" s="976" t="s">
        <v>1423</v>
      </c>
      <c r="B4" s="977"/>
      <c r="C4" s="977"/>
      <c r="E4" s="982" t="s">
        <v>488</v>
      </c>
      <c r="F4" s="965">
        <v>12</v>
      </c>
      <c r="G4" s="966"/>
    </row>
    <row r="5" spans="1:8" ht="15" customHeight="1">
      <c r="A5" s="157" t="s">
        <v>489</v>
      </c>
      <c r="B5" s="983" t="s">
        <v>1426</v>
      </c>
      <c r="C5" s="984"/>
      <c r="E5" s="982"/>
      <c r="F5" s="962"/>
      <c r="G5" s="962"/>
    </row>
    <row r="6" spans="1:8" ht="8.15" customHeight="1"/>
    <row r="7" spans="1:8" ht="20.149999999999999" customHeight="1">
      <c r="A7" s="990" t="s">
        <v>535</v>
      </c>
      <c r="B7" s="987" t="s">
        <v>536</v>
      </c>
      <c r="C7" s="987" t="s">
        <v>537</v>
      </c>
      <c r="D7" s="987" t="s">
        <v>538</v>
      </c>
      <c r="E7" s="995" t="s">
        <v>539</v>
      </c>
      <c r="F7" s="987" t="s">
        <v>540</v>
      </c>
      <c r="G7" s="987" t="s">
        <v>538</v>
      </c>
      <c r="H7" s="987" t="s">
        <v>541</v>
      </c>
    </row>
    <row r="8" spans="1:8" ht="20.149999999999999" customHeight="1">
      <c r="A8" s="991"/>
      <c r="B8" s="993"/>
      <c r="C8" s="993"/>
      <c r="D8" s="993"/>
      <c r="E8" s="996"/>
      <c r="F8" s="993"/>
      <c r="G8" s="988"/>
      <c r="H8" s="988"/>
    </row>
    <row r="9" spans="1:8" ht="20.149999999999999" customHeight="1">
      <c r="A9" s="992"/>
      <c r="B9" s="993"/>
      <c r="C9" s="994"/>
      <c r="D9" s="994"/>
      <c r="E9" s="997"/>
      <c r="F9" s="994"/>
      <c r="G9" s="989"/>
      <c r="H9" s="989"/>
    </row>
    <row r="10" spans="1:8" ht="20.149999999999999" customHeight="1">
      <c r="A10" s="282" t="s">
        <v>228</v>
      </c>
      <c r="B10" s="702">
        <v>38952440310</v>
      </c>
      <c r="C10" s="702">
        <v>212105272</v>
      </c>
      <c r="D10" s="702">
        <v>11726486</v>
      </c>
      <c r="E10" s="702">
        <v>0</v>
      </c>
      <c r="F10" s="702">
        <v>0</v>
      </c>
      <c r="G10" s="702">
        <v>216173298</v>
      </c>
      <c r="H10" s="702">
        <v>38960098770</v>
      </c>
    </row>
    <row r="11" spans="1:8">
      <c r="A11" s="280" t="s">
        <v>232</v>
      </c>
      <c r="B11" s="617">
        <v>0</v>
      </c>
      <c r="C11" s="617">
        <v>0</v>
      </c>
      <c r="D11" s="617">
        <v>0</v>
      </c>
      <c r="E11" s="617">
        <v>0</v>
      </c>
      <c r="F11" s="617">
        <v>0</v>
      </c>
      <c r="G11" s="617">
        <v>0</v>
      </c>
      <c r="H11" s="617">
        <v>0</v>
      </c>
    </row>
    <row r="12" spans="1:8">
      <c r="A12" s="280" t="s">
        <v>236</v>
      </c>
      <c r="B12" s="617">
        <v>1151302604</v>
      </c>
      <c r="C12" s="617">
        <v>212105272</v>
      </c>
      <c r="D12" s="617">
        <v>11726486</v>
      </c>
      <c r="E12" s="617">
        <v>0</v>
      </c>
      <c r="F12" s="617">
        <v>0</v>
      </c>
      <c r="G12" s="617">
        <v>216173298</v>
      </c>
      <c r="H12" s="617">
        <v>1158961064</v>
      </c>
    </row>
    <row r="13" spans="1:8">
      <c r="A13" s="280" t="s">
        <v>240</v>
      </c>
      <c r="B13" s="617">
        <v>0</v>
      </c>
      <c r="C13" s="617">
        <v>0</v>
      </c>
      <c r="D13" s="617">
        <v>0</v>
      </c>
      <c r="E13" s="617">
        <v>0</v>
      </c>
      <c r="F13" s="617">
        <v>0</v>
      </c>
      <c r="G13" s="617">
        <v>0</v>
      </c>
      <c r="H13" s="617">
        <v>0</v>
      </c>
    </row>
    <row r="14" spans="1:8">
      <c r="A14" s="280" t="s">
        <v>245</v>
      </c>
      <c r="B14" s="617">
        <v>37801137706</v>
      </c>
      <c r="C14" s="617">
        <v>0</v>
      </c>
      <c r="D14" s="617">
        <v>0</v>
      </c>
      <c r="E14" s="617">
        <v>0</v>
      </c>
      <c r="F14" s="617">
        <v>0</v>
      </c>
      <c r="G14" s="617">
        <v>0</v>
      </c>
      <c r="H14" s="617">
        <v>37801137706</v>
      </c>
    </row>
    <row r="15" spans="1:8" ht="20.149999999999999" customHeight="1">
      <c r="A15" s="282" t="s">
        <v>249</v>
      </c>
      <c r="B15" s="702">
        <v>336053831208.90002</v>
      </c>
      <c r="C15" s="702">
        <v>24709850085.07</v>
      </c>
      <c r="D15" s="702">
        <v>22732967565.849998</v>
      </c>
      <c r="E15" s="702">
        <v>0</v>
      </c>
      <c r="F15" s="702">
        <v>2957671468</v>
      </c>
      <c r="G15" s="702">
        <v>24328247024.939999</v>
      </c>
      <c r="H15" s="702">
        <v>356210730366.90002</v>
      </c>
    </row>
    <row r="16" spans="1:8">
      <c r="A16" s="281" t="s">
        <v>542</v>
      </c>
      <c r="B16" s="617">
        <v>0</v>
      </c>
      <c r="C16" s="617">
        <v>0</v>
      </c>
      <c r="D16" s="617">
        <v>0</v>
      </c>
      <c r="E16" s="617">
        <v>0</v>
      </c>
      <c r="F16" s="617">
        <v>0</v>
      </c>
      <c r="G16" s="617">
        <v>0</v>
      </c>
      <c r="H16" s="617">
        <v>0</v>
      </c>
    </row>
    <row r="17" spans="1:8">
      <c r="A17" s="281" t="s">
        <v>543</v>
      </c>
      <c r="B17" s="617">
        <v>0</v>
      </c>
      <c r="C17" s="617">
        <v>0</v>
      </c>
      <c r="D17" s="617">
        <v>0</v>
      </c>
      <c r="E17" s="617">
        <v>0</v>
      </c>
      <c r="F17" s="617">
        <v>0</v>
      </c>
      <c r="G17" s="617">
        <v>0</v>
      </c>
      <c r="H17" s="617">
        <v>0</v>
      </c>
    </row>
    <row r="18" spans="1:8">
      <c r="A18" s="281" t="s">
        <v>544</v>
      </c>
      <c r="B18" s="617">
        <v>304701984185</v>
      </c>
      <c r="C18" s="617">
        <v>19711814306</v>
      </c>
      <c r="D18" s="617">
        <v>18992509373.720001</v>
      </c>
      <c r="E18" s="617">
        <v>0</v>
      </c>
      <c r="F18" s="617">
        <v>2567869646</v>
      </c>
      <c r="G18" s="617">
        <v>20938917826.849998</v>
      </c>
      <c r="H18" s="617">
        <v>319899520391.90002</v>
      </c>
    </row>
    <row r="19" spans="1:8">
      <c r="A19" s="281" t="s">
        <v>545</v>
      </c>
      <c r="B19" s="617">
        <v>0</v>
      </c>
      <c r="C19" s="617">
        <v>0</v>
      </c>
      <c r="D19" s="617">
        <v>0</v>
      </c>
      <c r="E19" s="617">
        <v>0</v>
      </c>
      <c r="F19" s="617">
        <v>0</v>
      </c>
      <c r="G19" s="617">
        <v>0</v>
      </c>
      <c r="H19" s="617">
        <v>0</v>
      </c>
    </row>
    <row r="20" spans="1:8">
      <c r="A20" s="280" t="s">
        <v>261</v>
      </c>
      <c r="B20" s="617">
        <v>4411178119</v>
      </c>
      <c r="C20" s="617">
        <v>1445515335</v>
      </c>
      <c r="D20" s="617">
        <v>0</v>
      </c>
      <c r="E20" s="617">
        <v>0</v>
      </c>
      <c r="F20" s="617">
        <v>0</v>
      </c>
      <c r="G20" s="617">
        <v>0</v>
      </c>
      <c r="H20" s="617">
        <v>5856693454</v>
      </c>
    </row>
    <row r="21" spans="1:8">
      <c r="A21" s="281" t="s">
        <v>265</v>
      </c>
      <c r="B21" s="617">
        <v>24240661376.139999</v>
      </c>
      <c r="C21" s="617">
        <v>2621449382.98</v>
      </c>
      <c r="D21" s="617">
        <v>1748307839.03</v>
      </c>
      <c r="E21" s="617">
        <v>0</v>
      </c>
      <c r="F21" s="617">
        <v>5006042</v>
      </c>
      <c r="G21" s="617">
        <v>1538733334</v>
      </c>
      <c r="H21" s="617">
        <v>27066679222.150002</v>
      </c>
    </row>
    <row r="22" spans="1:8">
      <c r="A22" s="281" t="s">
        <v>269</v>
      </c>
      <c r="B22" s="617">
        <v>2700007528.77</v>
      </c>
      <c r="C22" s="617">
        <v>931071061.09000003</v>
      </c>
      <c r="D22" s="617">
        <v>1992150353.0999999</v>
      </c>
      <c r="E22" s="617">
        <v>0</v>
      </c>
      <c r="F22" s="617">
        <v>384795780</v>
      </c>
      <c r="G22" s="617">
        <v>1850595864.0899999</v>
      </c>
      <c r="H22" s="617">
        <v>3387837298.8699999</v>
      </c>
    </row>
    <row r="23" spans="1:8" ht="27.65" customHeight="1">
      <c r="A23" s="294" t="s">
        <v>546</v>
      </c>
      <c r="B23" s="702">
        <v>0</v>
      </c>
      <c r="C23" s="702">
        <v>0</v>
      </c>
      <c r="D23" s="702">
        <v>0</v>
      </c>
      <c r="E23" s="702">
        <v>0</v>
      </c>
      <c r="F23" s="702">
        <v>0</v>
      </c>
      <c r="G23" s="702">
        <v>0</v>
      </c>
      <c r="H23" s="702">
        <v>0</v>
      </c>
    </row>
    <row r="24" spans="1:8">
      <c r="A24" s="281" t="s">
        <v>547</v>
      </c>
      <c r="B24" s="617">
        <v>0</v>
      </c>
      <c r="C24" s="617">
        <v>0</v>
      </c>
      <c r="D24" s="617">
        <v>0</v>
      </c>
      <c r="E24" s="617">
        <v>0</v>
      </c>
      <c r="F24" s="617">
        <v>0</v>
      </c>
      <c r="G24" s="617">
        <v>0</v>
      </c>
      <c r="H24" s="617">
        <v>0</v>
      </c>
    </row>
    <row r="25" spans="1:8">
      <c r="A25" s="281" t="s">
        <v>548</v>
      </c>
      <c r="B25" s="617">
        <v>0</v>
      </c>
      <c r="C25" s="617">
        <v>0</v>
      </c>
      <c r="D25" s="617">
        <v>0</v>
      </c>
      <c r="E25" s="617">
        <v>0</v>
      </c>
      <c r="F25" s="617">
        <v>0</v>
      </c>
      <c r="G25" s="617">
        <v>0</v>
      </c>
      <c r="H25" s="617">
        <v>0</v>
      </c>
    </row>
    <row r="26" spans="1:8" ht="20.149999999999999" customHeight="1">
      <c r="A26" s="282" t="s">
        <v>146</v>
      </c>
      <c r="B26" s="702">
        <v>369323602.44999999</v>
      </c>
      <c r="C26" s="702">
        <v>66553341.43</v>
      </c>
      <c r="D26" s="702">
        <v>0</v>
      </c>
      <c r="E26" s="702">
        <v>0</v>
      </c>
      <c r="F26" s="702">
        <v>12856604</v>
      </c>
      <c r="G26" s="702">
        <v>0</v>
      </c>
      <c r="H26" s="702">
        <v>423020339.88</v>
      </c>
    </row>
    <row r="27" spans="1:8">
      <c r="A27" s="281" t="s">
        <v>319</v>
      </c>
      <c r="B27" s="617">
        <v>0</v>
      </c>
      <c r="C27" s="617">
        <v>0</v>
      </c>
      <c r="D27" s="617">
        <v>0</v>
      </c>
      <c r="E27" s="617">
        <v>0</v>
      </c>
      <c r="F27" s="617">
        <v>0</v>
      </c>
      <c r="G27" s="617">
        <v>0</v>
      </c>
      <c r="H27" s="617">
        <v>0</v>
      </c>
    </row>
    <row r="28" spans="1:8">
      <c r="A28" s="281" t="s">
        <v>284</v>
      </c>
      <c r="B28" s="617">
        <v>369323602.44999999</v>
      </c>
      <c r="C28" s="617">
        <v>66553341.43</v>
      </c>
      <c r="D28" s="617">
        <v>0</v>
      </c>
      <c r="E28" s="617">
        <v>0</v>
      </c>
      <c r="F28" s="617">
        <v>12856604</v>
      </c>
      <c r="G28" s="617">
        <v>0</v>
      </c>
      <c r="H28" s="617">
        <v>423020339.88</v>
      </c>
    </row>
    <row r="29" spans="1:8" ht="20.149999999999999" customHeight="1">
      <c r="A29" s="295" t="s">
        <v>337</v>
      </c>
      <c r="B29" s="703">
        <v>375375595121.40002</v>
      </c>
      <c r="C29" s="703">
        <v>24988508698.5</v>
      </c>
      <c r="D29" s="703">
        <v>22744694051.849998</v>
      </c>
      <c r="E29" s="703">
        <v>0</v>
      </c>
      <c r="F29" s="703">
        <v>2970528072</v>
      </c>
      <c r="G29" s="703">
        <v>24544420322.939999</v>
      </c>
      <c r="H29" s="703">
        <v>395593849476.79999</v>
      </c>
    </row>
    <row r="30" spans="1:8">
      <c r="A30" s="296" t="s">
        <v>528</v>
      </c>
    </row>
    <row r="31" spans="1:8" ht="166.5" customHeight="1">
      <c r="A31" s="985" t="s">
        <v>1488</v>
      </c>
      <c r="B31" s="986"/>
      <c r="C31" s="986"/>
      <c r="D31" s="986"/>
      <c r="E31" s="986"/>
      <c r="F31" s="986"/>
      <c r="G31" s="986"/>
      <c r="H31" s="986"/>
    </row>
  </sheetData>
  <sheetProtection sheet="false"/>
  <mergeCells count="16">
    <mergeCell ref="A31:H31"/>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9" xr:uid="{00000000-0002-0000-0A00-000000000000}"/>
  </dataValidations>
  <pageMargins left="0.7" right="0.7" top="0.75" bottom="0.75" header="0.3" footer="0.3"/>
  <pageSetup paperSize="9" scale="77" orientation="landscape"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24"/>
  <sheetViews>
    <sheetView topLeftCell="A13" workbookViewId="0">
      <selection activeCell="H39" sqref="H39"/>
    </sheetView>
  </sheetViews>
  <sheetFormatPr baseColWidth="10" defaultColWidth="12" defaultRowHeight="13"/>
  <cols>
    <col min="1" max="1" customWidth="true" style="157" width="41.19921875" collapsed="true"/>
    <col min="2" max="2" bestFit="true" customWidth="true" style="157" width="13.69921875" collapsed="true"/>
    <col min="3" max="4" customWidth="true" style="157" width="13.69921875" collapsed="true"/>
    <col min="5" max="5" bestFit="true" customWidth="true" style="157" width="12.19921875" collapsed="true"/>
    <col min="6" max="6" customWidth="true" style="157" width="15.296875" collapsed="true"/>
    <col min="7" max="9" customWidth="true" style="157" width="13.69921875" collapsed="true"/>
    <col min="10" max="16384" style="157" width="12.0" collapsed="true"/>
  </cols>
  <sheetData>
    <row r="1" spans="1:9" ht="18" customHeight="1">
      <c r="A1" s="959" t="s">
        <v>549</v>
      </c>
      <c r="B1" s="959"/>
      <c r="C1" s="959"/>
      <c r="D1" s="959"/>
      <c r="E1" s="959"/>
      <c r="F1" s="959"/>
      <c r="G1" s="959"/>
      <c r="H1" s="959"/>
      <c r="I1" s="959"/>
    </row>
    <row r="2" spans="1:9" ht="8.15" customHeight="1"/>
    <row r="3" spans="1:9" ht="12.75" customHeight="1">
      <c r="A3" s="960" t="s">
        <v>486</v>
      </c>
      <c r="B3" s="960"/>
      <c r="C3" s="960"/>
      <c r="G3" s="171" t="s">
        <v>487</v>
      </c>
      <c r="H3" s="980">
        <v>44926</v>
      </c>
      <c r="I3" s="998"/>
    </row>
    <row r="4" spans="1:9" ht="15" customHeight="1">
      <c r="A4" s="976" t="s">
        <v>1423</v>
      </c>
      <c r="B4" s="977"/>
      <c r="C4" s="977"/>
      <c r="G4" s="982" t="s">
        <v>488</v>
      </c>
      <c r="H4" s="999">
        <v>12</v>
      </c>
      <c r="I4" s="1000"/>
    </row>
    <row r="5" spans="1:9" ht="15" customHeight="1">
      <c r="A5" s="157" t="s">
        <v>489</v>
      </c>
      <c r="B5" s="983" t="s">
        <v>1426</v>
      </c>
      <c r="C5" s="984"/>
      <c r="G5" s="982"/>
      <c r="H5" s="1001"/>
      <c r="I5" s="1001"/>
    </row>
    <row r="6" spans="1:9" ht="8.15" customHeight="1"/>
    <row r="7" spans="1:9" s="172" customFormat="1" ht="18.75" customHeight="1">
      <c r="A7" s="1003" t="s">
        <v>535</v>
      </c>
      <c r="B7" s="1002" t="s">
        <v>550</v>
      </c>
      <c r="C7" s="411" t="s">
        <v>127</v>
      </c>
      <c r="D7" s="1006" t="s">
        <v>551</v>
      </c>
      <c r="E7" s="1007"/>
      <c r="F7" s="1008"/>
      <c r="G7" s="1006" t="s">
        <v>552</v>
      </c>
      <c r="H7" s="1008"/>
      <c r="I7" s="166" t="s">
        <v>553</v>
      </c>
    </row>
    <row r="8" spans="1:9" s="172" customFormat="1" ht="25.5" customHeight="1">
      <c r="A8" s="1004"/>
      <c r="B8" s="993"/>
      <c r="C8" s="993" t="s">
        <v>536</v>
      </c>
      <c r="D8" s="993" t="s">
        <v>537</v>
      </c>
      <c r="E8" s="996" t="s">
        <v>538</v>
      </c>
      <c r="F8" s="1009" t="s">
        <v>539</v>
      </c>
      <c r="G8" s="993" t="s">
        <v>540</v>
      </c>
      <c r="H8" s="993" t="s">
        <v>538</v>
      </c>
      <c r="I8" s="1002" t="s">
        <v>536</v>
      </c>
    </row>
    <row r="9" spans="1:9" s="172" customFormat="1" ht="25.5" customHeight="1">
      <c r="A9" s="1005"/>
      <c r="B9" s="412" t="s">
        <v>554</v>
      </c>
      <c r="C9" s="994"/>
      <c r="D9" s="994"/>
      <c r="E9" s="997"/>
      <c r="F9" s="1010"/>
      <c r="G9" s="994"/>
      <c r="H9" s="994"/>
      <c r="I9" s="994"/>
    </row>
    <row r="10" spans="1:9">
      <c r="A10" s="280" t="s">
        <v>236</v>
      </c>
      <c r="B10" s="628"/>
      <c r="C10" s="610">
        <v>0</v>
      </c>
      <c r="D10" s="610">
        <v>0</v>
      </c>
      <c r="E10" s="610">
        <v>0</v>
      </c>
      <c r="F10" s="610">
        <v>0</v>
      </c>
      <c r="G10" s="610">
        <v>0</v>
      </c>
      <c r="H10" s="610">
        <v>0</v>
      </c>
      <c r="I10" s="610">
        <v>0</v>
      </c>
    </row>
    <row r="11" spans="1:9">
      <c r="A11" s="280" t="s">
        <v>240</v>
      </c>
      <c r="B11" s="628"/>
      <c r="C11" s="610">
        <v>0</v>
      </c>
      <c r="D11" s="610">
        <v>0</v>
      </c>
      <c r="E11" s="610">
        <v>0</v>
      </c>
      <c r="F11" s="610">
        <v>0</v>
      </c>
      <c r="G11" s="610">
        <v>0</v>
      </c>
      <c r="H11" s="610">
        <v>0</v>
      </c>
      <c r="I11" s="610">
        <v>0</v>
      </c>
    </row>
    <row r="12" spans="1:9">
      <c r="A12" s="280" t="s">
        <v>245</v>
      </c>
      <c r="B12" s="628"/>
      <c r="C12" s="610">
        <v>0</v>
      </c>
      <c r="D12" s="610">
        <v>0</v>
      </c>
      <c r="E12" s="610">
        <v>0</v>
      </c>
      <c r="F12" s="610">
        <v>0</v>
      </c>
      <c r="G12" s="610">
        <v>0</v>
      </c>
      <c r="H12" s="610">
        <v>0</v>
      </c>
      <c r="I12" s="610">
        <v>0</v>
      </c>
    </row>
    <row r="13" spans="1:9" ht="26">
      <c r="A13" s="294" t="s">
        <v>555</v>
      </c>
      <c r="B13" s="629"/>
      <c r="C13" s="616">
        <v>0</v>
      </c>
      <c r="D13" s="616">
        <v>0</v>
      </c>
      <c r="E13" s="616">
        <v>0</v>
      </c>
      <c r="F13" s="616">
        <v>0</v>
      </c>
      <c r="G13" s="616">
        <v>0</v>
      </c>
      <c r="H13" s="616">
        <v>0</v>
      </c>
      <c r="I13" s="616">
        <v>0</v>
      </c>
    </row>
    <row r="14" spans="1:9">
      <c r="A14" s="281" t="s">
        <v>556</v>
      </c>
      <c r="B14" s="628"/>
      <c r="C14" s="610">
        <v>0</v>
      </c>
      <c r="D14" s="610">
        <v>0</v>
      </c>
      <c r="E14" s="610">
        <v>0</v>
      </c>
      <c r="F14" s="610">
        <v>0</v>
      </c>
      <c r="G14" s="610">
        <v>0</v>
      </c>
      <c r="H14" s="610">
        <v>0</v>
      </c>
      <c r="I14" s="610">
        <v>0</v>
      </c>
    </row>
    <row r="15" spans="1:9">
      <c r="A15" s="281" t="s">
        <v>557</v>
      </c>
      <c r="B15" s="628"/>
      <c r="C15" s="610">
        <v>0</v>
      </c>
      <c r="D15" s="610">
        <v>0</v>
      </c>
      <c r="E15" s="610">
        <v>0</v>
      </c>
      <c r="F15" s="610">
        <v>0</v>
      </c>
      <c r="G15" s="610">
        <v>0</v>
      </c>
      <c r="H15" s="610">
        <v>0</v>
      </c>
      <c r="I15" s="610">
        <v>0</v>
      </c>
    </row>
    <row r="16" spans="1:9">
      <c r="A16" s="280" t="s">
        <v>261</v>
      </c>
      <c r="B16" s="628"/>
      <c r="C16" s="610">
        <v>0</v>
      </c>
      <c r="D16" s="610">
        <v>0</v>
      </c>
      <c r="E16" s="610">
        <v>0</v>
      </c>
      <c r="F16" s="610">
        <v>0</v>
      </c>
      <c r="G16" s="610">
        <v>0</v>
      </c>
      <c r="H16" s="610">
        <v>0</v>
      </c>
      <c r="I16" s="610">
        <v>0</v>
      </c>
    </row>
    <row r="17" spans="1:9">
      <c r="A17" s="281" t="s">
        <v>265</v>
      </c>
      <c r="B17" s="628"/>
      <c r="C17" s="610">
        <v>0</v>
      </c>
      <c r="D17" s="610">
        <v>0</v>
      </c>
      <c r="E17" s="610">
        <v>0</v>
      </c>
      <c r="F17" s="610">
        <v>0</v>
      </c>
      <c r="G17" s="610">
        <v>0</v>
      </c>
      <c r="H17" s="610">
        <v>0</v>
      </c>
      <c r="I17" s="610">
        <v>0</v>
      </c>
    </row>
    <row r="18" spans="1:9">
      <c r="A18" s="281" t="s">
        <v>269</v>
      </c>
      <c r="B18" s="628"/>
      <c r="C18" s="610">
        <v>0</v>
      </c>
      <c r="D18" s="610">
        <v>0</v>
      </c>
      <c r="E18" s="610">
        <v>0</v>
      </c>
      <c r="F18" s="610">
        <v>0</v>
      </c>
      <c r="G18" s="610">
        <v>0</v>
      </c>
      <c r="H18" s="610">
        <v>0</v>
      </c>
      <c r="I18" s="610">
        <v>0</v>
      </c>
    </row>
    <row r="19" spans="1:9">
      <c r="A19" s="294" t="s">
        <v>558</v>
      </c>
      <c r="B19" s="629"/>
      <c r="C19" s="616">
        <v>0</v>
      </c>
      <c r="D19" s="616">
        <v>0</v>
      </c>
      <c r="E19" s="616">
        <v>0</v>
      </c>
      <c r="F19" s="616">
        <v>0</v>
      </c>
      <c r="G19" s="616">
        <v>0</v>
      </c>
      <c r="H19" s="616">
        <v>0</v>
      </c>
      <c r="I19" s="616">
        <v>0</v>
      </c>
    </row>
    <row r="20" spans="1:9" s="173" customFormat="1">
      <c r="A20" s="283"/>
      <c r="B20" s="498"/>
      <c r="C20" s="507"/>
      <c r="D20" s="507"/>
      <c r="E20" s="507"/>
      <c r="F20" s="507"/>
      <c r="G20" s="507"/>
      <c r="H20" s="507"/>
      <c r="I20" s="510"/>
    </row>
    <row r="21" spans="1:9" ht="20.149999999999999" customHeight="1">
      <c r="A21" s="295" t="s">
        <v>337</v>
      </c>
      <c r="B21" s="630"/>
      <c r="C21" s="631">
        <v>0</v>
      </c>
      <c r="D21" s="631">
        <v>0</v>
      </c>
      <c r="E21" s="631">
        <v>0</v>
      </c>
      <c r="F21" s="631">
        <v>0</v>
      </c>
      <c r="G21" s="631">
        <v>0</v>
      </c>
      <c r="H21" s="631">
        <v>0</v>
      </c>
      <c r="I21" s="631">
        <v>0</v>
      </c>
    </row>
    <row r="22" spans="1:9">
      <c r="A22" s="157" t="s">
        <v>559</v>
      </c>
    </row>
    <row r="23" spans="1:9">
      <c r="A23" s="167" t="s">
        <v>528</v>
      </c>
    </row>
    <row r="24" spans="1:9">
      <c r="A24" s="608"/>
    </row>
  </sheetData>
  <sheetProtection sheet="false"/>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26"/>
  <sheetViews>
    <sheetView topLeftCell="A14" workbookViewId="0">
      <selection activeCell="A27" sqref="A27"/>
    </sheetView>
  </sheetViews>
  <sheetFormatPr baseColWidth="10" defaultColWidth="12" defaultRowHeight="13"/>
  <cols>
    <col min="1" max="1" customWidth="true" style="157" width="41.19921875" collapsed="true"/>
    <col min="2" max="2" bestFit="true" customWidth="true" style="157" width="25.296875" collapsed="true"/>
    <col min="3" max="3" bestFit="true" customWidth="true" style="157" width="22.296875" collapsed="true"/>
    <col min="4" max="4" customWidth="true" style="157" width="19.0" collapsed="true"/>
    <col min="5" max="5" customWidth="true" style="157" width="19.69921875" collapsed="true"/>
    <col min="6" max="6" style="173" width="12.0" collapsed="true"/>
    <col min="7" max="16384" style="157" width="12.0" collapsed="true"/>
  </cols>
  <sheetData>
    <row r="1" spans="1:6" ht="18" customHeight="1">
      <c r="A1" s="959" t="s">
        <v>560</v>
      </c>
      <c r="B1" s="959"/>
      <c r="C1" s="959"/>
      <c r="D1" s="959"/>
      <c r="E1" s="959"/>
    </row>
    <row r="2" spans="1:6" ht="8.15" customHeight="1"/>
    <row r="3" spans="1:6" ht="12.75" customHeight="1">
      <c r="A3" s="960" t="s">
        <v>486</v>
      </c>
      <c r="B3" s="960"/>
      <c r="C3" s="960"/>
      <c r="D3" s="157" t="s">
        <v>487</v>
      </c>
      <c r="E3" s="607">
        <v>44926</v>
      </c>
      <c r="F3" s="174"/>
    </row>
    <row r="4" spans="1:6" ht="15" customHeight="1">
      <c r="A4" s="976" t="s">
        <v>1423</v>
      </c>
      <c r="B4" s="977"/>
      <c r="C4" s="977"/>
      <c r="D4" s="964" t="s">
        <v>488</v>
      </c>
      <c r="E4" s="965">
        <v>12</v>
      </c>
      <c r="F4" s="175"/>
    </row>
    <row r="5" spans="1:6" ht="15" customHeight="1">
      <c r="A5" s="157" t="s">
        <v>489</v>
      </c>
      <c r="B5" s="983" t="s">
        <v>1426</v>
      </c>
      <c r="C5" s="984"/>
      <c r="D5" s="964"/>
      <c r="E5" s="962"/>
      <c r="F5" s="175"/>
    </row>
    <row r="6" spans="1:6" ht="8.15" customHeight="1"/>
    <row r="7" spans="1:6" s="172" customFormat="1">
      <c r="A7" s="1003" t="s">
        <v>535</v>
      </c>
      <c r="B7" s="166" t="s">
        <v>127</v>
      </c>
      <c r="C7" s="166" t="s">
        <v>444</v>
      </c>
      <c r="D7" s="166" t="s">
        <v>457</v>
      </c>
      <c r="E7" s="166" t="s">
        <v>553</v>
      </c>
      <c r="F7" s="176"/>
    </row>
    <row r="8" spans="1:6" s="172" customFormat="1" ht="27" customHeight="1">
      <c r="A8" s="1004"/>
      <c r="B8" s="993" t="s">
        <v>561</v>
      </c>
      <c r="C8" s="993" t="s">
        <v>562</v>
      </c>
      <c r="D8" s="996" t="s">
        <v>563</v>
      </c>
      <c r="E8" s="1002" t="s">
        <v>564</v>
      </c>
      <c r="F8" s="176"/>
    </row>
    <row r="9" spans="1:6" s="172" customFormat="1" ht="27" customHeight="1">
      <c r="A9" s="1005"/>
      <c r="B9" s="989"/>
      <c r="C9" s="989"/>
      <c r="D9" s="1011"/>
      <c r="E9" s="994"/>
      <c r="F9" s="176"/>
    </row>
    <row r="10" spans="1:6">
      <c r="A10" s="280" t="s">
        <v>232</v>
      </c>
      <c r="B10" s="617">
        <v>0</v>
      </c>
      <c r="C10" s="617">
        <v>0</v>
      </c>
      <c r="D10" s="617">
        <v>0</v>
      </c>
      <c r="E10" s="617">
        <v>0</v>
      </c>
    </row>
    <row r="11" spans="1:6">
      <c r="A11" s="280" t="s">
        <v>236</v>
      </c>
      <c r="B11" s="617">
        <v>773605063.50999999</v>
      </c>
      <c r="C11" s="617">
        <v>116002513.31</v>
      </c>
      <c r="D11" s="617">
        <v>0</v>
      </c>
      <c r="E11" s="617">
        <v>889607576.82000005</v>
      </c>
    </row>
    <row r="12" spans="1:6">
      <c r="A12" s="280" t="s">
        <v>240</v>
      </c>
      <c r="B12" s="617">
        <v>0</v>
      </c>
      <c r="C12" s="617">
        <v>0</v>
      </c>
      <c r="D12" s="617">
        <v>0</v>
      </c>
      <c r="E12" s="617">
        <v>0</v>
      </c>
    </row>
    <row r="13" spans="1:6">
      <c r="A13" s="280" t="s">
        <v>245</v>
      </c>
      <c r="B13" s="617">
        <v>11400421575.9</v>
      </c>
      <c r="C13" s="617">
        <v>1512045041.9200001</v>
      </c>
      <c r="D13" s="617">
        <v>0</v>
      </c>
      <c r="E13" s="617">
        <v>12912466617.82</v>
      </c>
    </row>
    <row r="14" spans="1:6" ht="26">
      <c r="A14" s="294" t="s">
        <v>555</v>
      </c>
      <c r="B14" s="702">
        <v>12174026639.41</v>
      </c>
      <c r="C14" s="702">
        <v>1628047555.23</v>
      </c>
      <c r="D14" s="702">
        <v>0</v>
      </c>
      <c r="E14" s="702">
        <v>13802074194.639999</v>
      </c>
    </row>
    <row r="15" spans="1:6">
      <c r="A15" s="281" t="s">
        <v>542</v>
      </c>
      <c r="B15" s="617">
        <v>0</v>
      </c>
      <c r="C15" s="617">
        <v>0</v>
      </c>
      <c r="D15" s="617">
        <v>0</v>
      </c>
      <c r="E15" s="617">
        <v>0</v>
      </c>
    </row>
    <row r="16" spans="1:6">
      <c r="A16" s="281" t="s">
        <v>543</v>
      </c>
      <c r="B16" s="617">
        <v>0</v>
      </c>
      <c r="C16" s="617">
        <v>0</v>
      </c>
      <c r="D16" s="617">
        <v>0</v>
      </c>
      <c r="E16" s="617">
        <v>0</v>
      </c>
    </row>
    <row r="17" spans="1:5">
      <c r="A17" s="281" t="s">
        <v>544</v>
      </c>
      <c r="B17" s="617">
        <v>98677865859</v>
      </c>
      <c r="C17" s="617">
        <v>17980527220.240002</v>
      </c>
      <c r="D17" s="617">
        <v>516044238</v>
      </c>
      <c r="E17" s="617">
        <v>116142348841.2</v>
      </c>
    </row>
    <row r="18" spans="1:5" ht="15.75" customHeight="1">
      <c r="A18" s="281" t="s">
        <v>545</v>
      </c>
      <c r="B18" s="617">
        <v>0</v>
      </c>
      <c r="C18" s="617">
        <v>0</v>
      </c>
      <c r="D18" s="617">
        <v>0</v>
      </c>
      <c r="E18" s="617">
        <v>0</v>
      </c>
    </row>
    <row r="19" spans="1:5">
      <c r="A19" s="280" t="s">
        <v>261</v>
      </c>
      <c r="B19" s="617">
        <v>1158761438.4400001</v>
      </c>
      <c r="C19" s="617">
        <v>294153950.12</v>
      </c>
      <c r="D19" s="617">
        <v>0</v>
      </c>
      <c r="E19" s="617">
        <v>1452915388.5599999</v>
      </c>
    </row>
    <row r="20" spans="1:5">
      <c r="A20" s="281" t="s">
        <v>265</v>
      </c>
      <c r="B20" s="617">
        <v>14451832522.34</v>
      </c>
      <c r="C20" s="617">
        <v>1203525809.98</v>
      </c>
      <c r="D20" s="617">
        <v>5006042</v>
      </c>
      <c r="E20" s="617">
        <v>15650352290.32</v>
      </c>
    </row>
    <row r="21" spans="1:5">
      <c r="A21" s="281" t="s">
        <v>269</v>
      </c>
      <c r="B21" s="617">
        <v>1543203028.6800001</v>
      </c>
      <c r="C21" s="617">
        <v>375279641.22000003</v>
      </c>
      <c r="D21" s="617">
        <v>377725584.62</v>
      </c>
      <c r="E21" s="617">
        <v>1540757085.28</v>
      </c>
    </row>
    <row r="22" spans="1:5">
      <c r="A22" s="294" t="s">
        <v>558</v>
      </c>
      <c r="B22" s="702">
        <v>115831662848.5</v>
      </c>
      <c r="C22" s="702">
        <v>19853486621.560001</v>
      </c>
      <c r="D22" s="702">
        <v>898775864.62</v>
      </c>
      <c r="E22" s="702">
        <v>134786373605.39999</v>
      </c>
    </row>
    <row r="23" spans="1:5" s="173" customFormat="1">
      <c r="A23" s="283"/>
      <c r="B23" s="755"/>
      <c r="C23" s="755"/>
      <c r="D23" s="755"/>
      <c r="E23" s="497"/>
    </row>
    <row r="24" spans="1:5" ht="20.149999999999999" customHeight="1">
      <c r="A24" s="295" t="s">
        <v>337</v>
      </c>
      <c r="B24" s="769">
        <v>128005689487.89999</v>
      </c>
      <c r="C24" s="769">
        <v>21481534176.790001</v>
      </c>
      <c r="D24" s="769">
        <v>898775864.62</v>
      </c>
      <c r="E24" s="769">
        <v>148588447800</v>
      </c>
    </row>
    <row r="25" spans="1:5">
      <c r="A25" s="296" t="s">
        <v>528</v>
      </c>
    </row>
    <row r="26" spans="1:5" ht="76.5" customHeight="1">
      <c r="A26" s="986" t="s">
        <v>1537</v>
      </c>
      <c r="B26" s="986"/>
      <c r="C26" s="986"/>
      <c r="D26" s="986"/>
      <c r="E26" s="986"/>
    </row>
  </sheetData>
  <sheetProtection sheet="false"/>
  <mergeCells count="12">
    <mergeCell ref="A26:E26"/>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xr:uid="{00000000-0002-0000-0C00-000000000000}"/>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33"/>
  <sheetViews>
    <sheetView topLeftCell="A23" workbookViewId="0">
      <selection activeCell="H39" sqref="H39"/>
    </sheetView>
  </sheetViews>
  <sheetFormatPr baseColWidth="10" defaultColWidth="11.19921875" defaultRowHeight="14.5"/>
  <cols>
    <col min="1" max="1" customWidth="true" style="346" width="45.69921875" collapsed="true"/>
    <col min="2" max="2" customWidth="true" style="346" width="20.296875" collapsed="true"/>
    <col min="3" max="3" customWidth="true" style="346" width="20.796875" collapsed="true"/>
    <col min="4" max="4" customWidth="true" style="346" width="21.796875" collapsed="true"/>
    <col min="5" max="5" customWidth="true" style="346" width="22.19921875" collapsed="true"/>
    <col min="6" max="16384" style="346" width="11.19921875" collapsed="true"/>
  </cols>
  <sheetData>
    <row r="1" spans="1:5" ht="18" customHeight="1">
      <c r="A1" s="1021" t="s">
        <v>1404</v>
      </c>
      <c r="B1" s="1021"/>
      <c r="C1" s="1021"/>
      <c r="D1" s="1021"/>
      <c r="E1" s="1021"/>
    </row>
    <row r="2" spans="1:5">
      <c r="A2" s="347"/>
      <c r="B2" s="347"/>
      <c r="C2" s="347"/>
      <c r="D2" s="347"/>
      <c r="E2" s="347"/>
    </row>
    <row r="3" spans="1:5">
      <c r="A3" s="1022" t="s">
        <v>486</v>
      </c>
      <c r="B3" s="1022"/>
      <c r="C3" s="1022"/>
      <c r="D3" s="347" t="s">
        <v>487</v>
      </c>
      <c r="E3" s="607">
        <v>44926</v>
      </c>
    </row>
    <row r="4" spans="1:5">
      <c r="A4" s="976" t="s">
        <v>1423</v>
      </c>
      <c r="B4" s="1023"/>
      <c r="C4" s="1023"/>
      <c r="D4" s="1024" t="s">
        <v>488</v>
      </c>
      <c r="E4" s="965">
        <v>12</v>
      </c>
    </row>
    <row r="5" spans="1:5">
      <c r="A5" s="347" t="s">
        <v>489</v>
      </c>
      <c r="B5" s="983" t="s">
        <v>1426</v>
      </c>
      <c r="C5" s="1026"/>
      <c r="D5" s="1024"/>
      <c r="E5" s="1025"/>
    </row>
    <row r="6" spans="1:5" ht="13.5" customHeight="1">
      <c r="A6" s="347"/>
      <c r="B6" s="347"/>
      <c r="C6" s="347"/>
      <c r="D6" s="347"/>
      <c r="E6" s="347"/>
    </row>
    <row r="7" spans="1:5">
      <c r="A7" s="1012" t="s">
        <v>535</v>
      </c>
      <c r="B7" s="439" t="s">
        <v>127</v>
      </c>
      <c r="C7" s="439" t="s">
        <v>444</v>
      </c>
      <c r="D7" s="439" t="s">
        <v>457</v>
      </c>
      <c r="E7" s="439" t="s">
        <v>553</v>
      </c>
    </row>
    <row r="8" spans="1:5" ht="25.15" customHeight="1">
      <c r="A8" s="1013"/>
      <c r="B8" s="1015" t="s">
        <v>561</v>
      </c>
      <c r="C8" s="1015" t="s">
        <v>562</v>
      </c>
      <c r="D8" s="1017" t="s">
        <v>563</v>
      </c>
      <c r="E8" s="1019" t="s">
        <v>564</v>
      </c>
    </row>
    <row r="9" spans="1:5" ht="34.5" customHeight="1">
      <c r="A9" s="1014"/>
      <c r="B9" s="1016"/>
      <c r="C9" s="1016"/>
      <c r="D9" s="1018"/>
      <c r="E9" s="1020"/>
    </row>
    <row r="10" spans="1:5" ht="26.25" customHeight="1">
      <c r="A10" s="440" t="s">
        <v>232</v>
      </c>
      <c r="B10" s="610">
        <v>0</v>
      </c>
      <c r="C10" s="610">
        <v>0</v>
      </c>
      <c r="D10" s="610">
        <v>0</v>
      </c>
      <c r="E10" s="610">
        <v>0</v>
      </c>
    </row>
    <row r="11" spans="1:5" ht="22.5" customHeight="1">
      <c r="A11" s="440" t="s">
        <v>236</v>
      </c>
      <c r="B11" s="610">
        <v>0</v>
      </c>
      <c r="C11" s="610">
        <v>0</v>
      </c>
      <c r="D11" s="610">
        <v>0</v>
      </c>
      <c r="E11" s="610">
        <v>0</v>
      </c>
    </row>
    <row r="12" spans="1:5" ht="21" customHeight="1">
      <c r="A12" s="440" t="s">
        <v>240</v>
      </c>
      <c r="B12" s="610">
        <v>0</v>
      </c>
      <c r="C12" s="610">
        <v>0</v>
      </c>
      <c r="D12" s="610">
        <v>0</v>
      </c>
      <c r="E12" s="610">
        <v>0</v>
      </c>
    </row>
    <row r="13" spans="1:5" ht="21.75" customHeight="1">
      <c r="A13" s="440" t="s">
        <v>245</v>
      </c>
      <c r="B13" s="610">
        <v>0</v>
      </c>
      <c r="C13" s="610">
        <v>0</v>
      </c>
      <c r="D13" s="610">
        <v>0</v>
      </c>
      <c r="E13" s="610">
        <v>0</v>
      </c>
    </row>
    <row r="14" spans="1:5" ht="22.5" customHeight="1">
      <c r="A14" s="441" t="s">
        <v>555</v>
      </c>
      <c r="B14" s="616">
        <v>0</v>
      </c>
      <c r="C14" s="616">
        <v>0</v>
      </c>
      <c r="D14" s="616">
        <v>0</v>
      </c>
      <c r="E14" s="616">
        <v>0</v>
      </c>
    </row>
    <row r="15" spans="1:5">
      <c r="A15" s="442" t="s">
        <v>542</v>
      </c>
      <c r="B15" s="610">
        <v>0</v>
      </c>
      <c r="C15" s="610">
        <v>0</v>
      </c>
      <c r="D15" s="610">
        <v>0</v>
      </c>
      <c r="E15" s="610">
        <v>0</v>
      </c>
    </row>
    <row r="16" spans="1:5">
      <c r="A16" s="442" t="s">
        <v>543</v>
      </c>
      <c r="B16" s="610">
        <v>0</v>
      </c>
      <c r="C16" s="610">
        <v>0</v>
      </c>
      <c r="D16" s="610">
        <v>0</v>
      </c>
      <c r="E16" s="610">
        <v>0</v>
      </c>
    </row>
    <row r="17" spans="1:5">
      <c r="A17" s="442" t="s">
        <v>544</v>
      </c>
      <c r="B17" s="610">
        <v>0</v>
      </c>
      <c r="C17" s="610">
        <v>0</v>
      </c>
      <c r="D17" s="610">
        <v>0</v>
      </c>
      <c r="E17" s="610">
        <v>0</v>
      </c>
    </row>
    <row r="18" spans="1:5">
      <c r="A18" s="442" t="s">
        <v>545</v>
      </c>
      <c r="B18" s="610">
        <v>0</v>
      </c>
      <c r="C18" s="610">
        <v>0</v>
      </c>
      <c r="D18" s="610">
        <v>0</v>
      </c>
      <c r="E18" s="610">
        <v>0</v>
      </c>
    </row>
    <row r="19" spans="1:5" ht="24" customHeight="1">
      <c r="A19" s="440" t="s">
        <v>261</v>
      </c>
      <c r="B19" s="610">
        <v>0</v>
      </c>
      <c r="C19" s="610">
        <v>0</v>
      </c>
      <c r="D19" s="610">
        <v>0</v>
      </c>
      <c r="E19" s="610">
        <v>0</v>
      </c>
    </row>
    <row r="20" spans="1:5">
      <c r="A20" s="442" t="s">
        <v>265</v>
      </c>
      <c r="B20" s="610">
        <v>0</v>
      </c>
      <c r="C20" s="617">
        <v>0</v>
      </c>
      <c r="D20" s="610">
        <v>0</v>
      </c>
      <c r="E20" s="610">
        <v>0</v>
      </c>
    </row>
    <row r="21" spans="1:5">
      <c r="A21" s="442" t="s">
        <v>269</v>
      </c>
      <c r="B21" s="610">
        <v>0</v>
      </c>
      <c r="C21" s="617">
        <v>0</v>
      </c>
      <c r="D21" s="610">
        <v>0</v>
      </c>
      <c r="E21" s="610">
        <v>0</v>
      </c>
    </row>
    <row r="22" spans="1:5" ht="24" customHeight="1">
      <c r="A22" s="441" t="s">
        <v>558</v>
      </c>
      <c r="B22" s="624">
        <v>0</v>
      </c>
      <c r="C22" s="624">
        <v>0</v>
      </c>
      <c r="D22" s="624">
        <v>0</v>
      </c>
      <c r="E22" s="624">
        <v>0</v>
      </c>
    </row>
    <row r="23" spans="1:5" ht="27.65" customHeight="1">
      <c r="A23" s="440" t="s">
        <v>1405</v>
      </c>
      <c r="B23" s="610">
        <v>0</v>
      </c>
      <c r="C23" s="610">
        <v>0</v>
      </c>
      <c r="D23" s="610">
        <v>0</v>
      </c>
      <c r="E23" s="610">
        <v>0</v>
      </c>
    </row>
    <row r="24" spans="1:5" ht="27.65" customHeight="1">
      <c r="A24" s="440" t="s">
        <v>1406</v>
      </c>
      <c r="B24" s="610">
        <v>0</v>
      </c>
      <c r="C24" s="610">
        <v>0</v>
      </c>
      <c r="D24" s="610">
        <v>0</v>
      </c>
      <c r="E24" s="610">
        <v>0</v>
      </c>
    </row>
    <row r="25" spans="1:5">
      <c r="A25" s="441" t="s">
        <v>1407</v>
      </c>
      <c r="B25" s="624">
        <v>0</v>
      </c>
      <c r="C25" s="624">
        <v>0</v>
      </c>
      <c r="D25" s="624">
        <v>0</v>
      </c>
      <c r="E25" s="624">
        <v>0</v>
      </c>
    </row>
    <row r="26" spans="1:5">
      <c r="A26" s="442" t="s">
        <v>1408</v>
      </c>
      <c r="B26" s="610">
        <v>0</v>
      </c>
      <c r="C26" s="610">
        <v>0</v>
      </c>
      <c r="D26" s="610">
        <v>0</v>
      </c>
      <c r="E26" s="610">
        <v>0</v>
      </c>
    </row>
    <row r="27" spans="1:5">
      <c r="A27" s="442" t="s">
        <v>1409</v>
      </c>
      <c r="B27" s="610">
        <v>0</v>
      </c>
      <c r="C27" s="610">
        <v>0</v>
      </c>
      <c r="D27" s="610">
        <v>0</v>
      </c>
      <c r="E27" s="610">
        <v>0</v>
      </c>
    </row>
    <row r="28" spans="1:5">
      <c r="A28" s="441" t="s">
        <v>574</v>
      </c>
      <c r="B28" s="624">
        <v>0</v>
      </c>
      <c r="C28" s="624">
        <v>0</v>
      </c>
      <c r="D28" s="624">
        <v>0</v>
      </c>
      <c r="E28" s="624">
        <v>0</v>
      </c>
    </row>
    <row r="29" spans="1:5">
      <c r="A29" s="442"/>
      <c r="B29" s="512"/>
      <c r="C29" s="512"/>
      <c r="D29" s="512"/>
      <c r="E29" s="512"/>
    </row>
    <row r="30" spans="1:5">
      <c r="A30" s="443" t="s">
        <v>337</v>
      </c>
      <c r="B30" s="626">
        <v>0</v>
      </c>
      <c r="C30" s="626">
        <v>0</v>
      </c>
      <c r="D30" s="626">
        <v>0</v>
      </c>
      <c r="E30" s="626">
        <v>0</v>
      </c>
    </row>
    <row r="31" spans="1:5">
      <c r="A31" s="348" t="s">
        <v>528</v>
      </c>
      <c r="B31" s="347"/>
      <c r="C31" s="347"/>
      <c r="D31" s="347"/>
      <c r="E31" s="347"/>
    </row>
    <row r="33" spans="1:1">
      <c r="A33" s="632"/>
    </row>
  </sheetData>
  <sheetProtection sheet="false"/>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30" xr:uid="{00000000-0002-0000-0D00-000000000000}"/>
  </dataValidations>
  <pageMargins left="0.7" right="0.7" top="0.75" bottom="0.75" header="0.3" footer="0.3"/>
  <pageSetup paperSize="9" scale="87"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27"/>
  <sheetViews>
    <sheetView topLeftCell="A10" workbookViewId="0">
      <selection activeCell="H39" sqref="H39"/>
    </sheetView>
  </sheetViews>
  <sheetFormatPr baseColWidth="10" defaultColWidth="12" defaultRowHeight="13"/>
  <cols>
    <col min="1" max="1" customWidth="true" style="157" width="41.19921875" collapsed="true"/>
    <col min="2" max="6" customWidth="true" style="157" width="18.296875" collapsed="true"/>
    <col min="7" max="16384" style="157" width="12.0" collapsed="true"/>
  </cols>
  <sheetData>
    <row r="1" spans="1:6" ht="18" customHeight="1">
      <c r="A1" s="959" t="s">
        <v>565</v>
      </c>
      <c r="B1" s="959"/>
      <c r="C1" s="959"/>
      <c r="D1" s="959"/>
      <c r="E1" s="959"/>
      <c r="F1" s="959"/>
    </row>
    <row r="2" spans="1:6" ht="8.15" customHeight="1"/>
    <row r="3" spans="1:6" ht="12.75" customHeight="1">
      <c r="A3" s="960" t="s">
        <v>486</v>
      </c>
      <c r="B3" s="960"/>
      <c r="C3" s="960"/>
      <c r="D3" s="157" t="s">
        <v>487</v>
      </c>
      <c r="E3" s="980">
        <v>44926</v>
      </c>
      <c r="F3" s="998"/>
    </row>
    <row r="4" spans="1:6" ht="15" customHeight="1">
      <c r="A4" s="976" t="s">
        <v>1423</v>
      </c>
      <c r="B4" s="977"/>
      <c r="C4" s="977"/>
      <c r="D4" s="964" t="s">
        <v>488</v>
      </c>
      <c r="E4" s="999">
        <v>12</v>
      </c>
      <c r="F4" s="1000"/>
    </row>
    <row r="5" spans="1:6" ht="15" customHeight="1">
      <c r="A5" s="157" t="s">
        <v>489</v>
      </c>
      <c r="B5" s="983" t="s">
        <v>1426</v>
      </c>
      <c r="C5" s="984"/>
      <c r="D5" s="964"/>
      <c r="E5" s="1001"/>
      <c r="F5" s="1001"/>
    </row>
    <row r="6" spans="1:6" ht="8.15" customHeight="1"/>
    <row r="7" spans="1:6" ht="20.149999999999999" customHeight="1">
      <c r="A7" s="177"/>
      <c r="B7" s="411" t="s">
        <v>566</v>
      </c>
      <c r="C7" s="411" t="s">
        <v>567</v>
      </c>
      <c r="D7" s="1002" t="s">
        <v>568</v>
      </c>
      <c r="E7" s="1002" t="s">
        <v>569</v>
      </c>
      <c r="F7" s="1002" t="s">
        <v>570</v>
      </c>
    </row>
    <row r="8" spans="1:6" ht="20.149999999999999" customHeight="1">
      <c r="A8" s="178"/>
      <c r="B8" s="412"/>
      <c r="C8" s="412" t="s">
        <v>571</v>
      </c>
      <c r="D8" s="993"/>
      <c r="E8" s="993"/>
      <c r="F8" s="993"/>
    </row>
    <row r="9" spans="1:6" ht="20.149999999999999" customHeight="1">
      <c r="A9" s="179"/>
      <c r="B9" s="412" t="s">
        <v>127</v>
      </c>
      <c r="C9" s="413" t="s">
        <v>444</v>
      </c>
      <c r="D9" s="413" t="s">
        <v>572</v>
      </c>
      <c r="E9" s="413" t="s">
        <v>468</v>
      </c>
      <c r="F9" s="413" t="s">
        <v>573</v>
      </c>
    </row>
    <row r="10" spans="1:6">
      <c r="A10" s="280" t="s">
        <v>232</v>
      </c>
      <c r="B10" s="610">
        <v>0</v>
      </c>
      <c r="C10" s="610">
        <v>0</v>
      </c>
      <c r="D10" s="610">
        <v>0</v>
      </c>
      <c r="E10" s="610">
        <v>0</v>
      </c>
      <c r="F10" s="610">
        <v>0</v>
      </c>
    </row>
    <row r="11" spans="1:6">
      <c r="A11" s="280" t="s">
        <v>236</v>
      </c>
      <c r="B11" s="617">
        <v>0</v>
      </c>
      <c r="C11" s="617">
        <v>0</v>
      </c>
      <c r="D11" s="617">
        <v>0</v>
      </c>
      <c r="E11" s="617">
        <v>0</v>
      </c>
      <c r="F11" s="617">
        <v>0</v>
      </c>
    </row>
    <row r="12" spans="1:6">
      <c r="A12" s="280" t="s">
        <v>240</v>
      </c>
      <c r="B12" s="617">
        <v>0</v>
      </c>
      <c r="C12" s="617">
        <v>0</v>
      </c>
      <c r="D12" s="617">
        <v>0</v>
      </c>
      <c r="E12" s="617">
        <v>0</v>
      </c>
      <c r="F12" s="617">
        <v>0</v>
      </c>
    </row>
    <row r="13" spans="1:6">
      <c r="A13" s="280" t="s">
        <v>245</v>
      </c>
      <c r="B13" s="617">
        <v>0</v>
      </c>
      <c r="C13" s="617">
        <v>0</v>
      </c>
      <c r="D13" s="617">
        <v>0</v>
      </c>
      <c r="E13" s="617">
        <v>0</v>
      </c>
      <c r="F13" s="617">
        <v>0</v>
      </c>
    </row>
    <row r="14" spans="1:6" ht="26">
      <c r="A14" s="294" t="s">
        <v>555</v>
      </c>
      <c r="B14" s="702">
        <v>0</v>
      </c>
      <c r="C14" s="702">
        <v>0</v>
      </c>
      <c r="D14" s="702">
        <v>0</v>
      </c>
      <c r="E14" s="702">
        <v>0</v>
      </c>
      <c r="F14" s="702">
        <v>0</v>
      </c>
    </row>
    <row r="15" spans="1:6">
      <c r="A15" s="281" t="s">
        <v>556</v>
      </c>
      <c r="B15" s="617">
        <v>0</v>
      </c>
      <c r="C15" s="617">
        <v>0</v>
      </c>
      <c r="D15" s="617">
        <v>0</v>
      </c>
      <c r="E15" s="617">
        <v>0</v>
      </c>
      <c r="F15" s="617">
        <v>0</v>
      </c>
    </row>
    <row r="16" spans="1:6">
      <c r="A16" s="281" t="s">
        <v>557</v>
      </c>
      <c r="B16" s="617">
        <v>1199494860</v>
      </c>
      <c r="C16" s="617">
        <v>445687700</v>
      </c>
      <c r="D16" s="617">
        <v>753807160</v>
      </c>
      <c r="E16" s="617">
        <v>0</v>
      </c>
      <c r="F16" s="617">
        <v>-753807160</v>
      </c>
    </row>
    <row r="17" spans="1:6">
      <c r="A17" s="280" t="s">
        <v>261</v>
      </c>
      <c r="B17" s="617">
        <v>115328005</v>
      </c>
      <c r="C17" s="617">
        <v>32439639</v>
      </c>
      <c r="D17" s="617">
        <v>82888366</v>
      </c>
      <c r="E17" s="617">
        <v>0</v>
      </c>
      <c r="F17" s="617">
        <v>-82888366</v>
      </c>
    </row>
    <row r="18" spans="1:6">
      <c r="A18" s="281" t="s">
        <v>265</v>
      </c>
      <c r="B18" s="617">
        <v>0</v>
      </c>
      <c r="C18" s="617">
        <v>0</v>
      </c>
      <c r="D18" s="617">
        <v>0</v>
      </c>
      <c r="E18" s="617">
        <v>0</v>
      </c>
      <c r="F18" s="617">
        <v>0</v>
      </c>
    </row>
    <row r="19" spans="1:6">
      <c r="A19" s="281" t="s">
        <v>269</v>
      </c>
      <c r="B19" s="617">
        <v>384795780</v>
      </c>
      <c r="C19" s="617">
        <v>377725584.62</v>
      </c>
      <c r="D19" s="617">
        <v>7070195.3799999999</v>
      </c>
      <c r="E19" s="617">
        <v>0</v>
      </c>
      <c r="F19" s="617">
        <v>-7070195.3799999999</v>
      </c>
    </row>
    <row r="20" spans="1:6">
      <c r="A20" s="294" t="s">
        <v>558</v>
      </c>
      <c r="B20" s="702">
        <v>1699618645</v>
      </c>
      <c r="C20" s="702">
        <v>855852923.62</v>
      </c>
      <c r="D20" s="702">
        <v>843765721.38</v>
      </c>
      <c r="E20" s="702">
        <v>0</v>
      </c>
      <c r="F20" s="702">
        <v>-843765721.38</v>
      </c>
    </row>
    <row r="21" spans="1:6">
      <c r="A21" s="281" t="s">
        <v>319</v>
      </c>
      <c r="B21" s="617">
        <v>0</v>
      </c>
      <c r="C21" s="617">
        <v>0</v>
      </c>
      <c r="D21" s="617">
        <v>0</v>
      </c>
      <c r="E21" s="617">
        <v>0</v>
      </c>
      <c r="F21" s="617">
        <v>0</v>
      </c>
    </row>
    <row r="22" spans="1:6">
      <c r="A22" s="281" t="s">
        <v>284</v>
      </c>
      <c r="B22" s="617">
        <v>0</v>
      </c>
      <c r="C22" s="617">
        <v>0</v>
      </c>
      <c r="D22" s="617">
        <v>0</v>
      </c>
      <c r="E22" s="617">
        <v>0</v>
      </c>
      <c r="F22" s="617">
        <v>0</v>
      </c>
    </row>
    <row r="23" spans="1:6">
      <c r="A23" s="294" t="s">
        <v>574</v>
      </c>
      <c r="B23" s="702">
        <v>0</v>
      </c>
      <c r="C23" s="702">
        <v>0</v>
      </c>
      <c r="D23" s="702">
        <v>0</v>
      </c>
      <c r="E23" s="702">
        <v>0</v>
      </c>
      <c r="F23" s="702">
        <v>0</v>
      </c>
    </row>
    <row r="24" spans="1:6" s="173" customFormat="1">
      <c r="A24" s="283"/>
      <c r="B24" s="770"/>
      <c r="C24" s="770"/>
      <c r="D24" s="770"/>
      <c r="E24" s="770"/>
      <c r="F24" s="753"/>
    </row>
    <row r="25" spans="1:6" ht="20.149999999999999" customHeight="1">
      <c r="A25" s="295" t="s">
        <v>337</v>
      </c>
      <c r="B25" s="703">
        <v>1699618645</v>
      </c>
      <c r="C25" s="703">
        <v>855852923.62</v>
      </c>
      <c r="D25" s="703">
        <v>843765721.38</v>
      </c>
      <c r="E25" s="703">
        <v>0</v>
      </c>
      <c r="F25" s="703">
        <v>-843765721.38</v>
      </c>
    </row>
    <row r="26" spans="1:6">
      <c r="A26" s="296" t="s">
        <v>528</v>
      </c>
    </row>
    <row r="27" spans="1:6" s="751" customFormat="1" ht="35.5" customHeight="1">
      <c r="A27" s="1027" t="s">
        <v>1523</v>
      </c>
      <c r="B27" s="1027"/>
      <c r="C27" s="1027"/>
      <c r="D27" s="1027"/>
      <c r="E27" s="1027"/>
      <c r="F27" s="1027"/>
    </row>
  </sheetData>
  <sheetProtection sheet="false"/>
  <mergeCells count="11">
    <mergeCell ref="A27:F27"/>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00000000-0002-0000-0E00-000000000000}"/>
  </dataValidations>
  <pageMargins left="0.7" right="0.7" top="0.75" bottom="0.75" header="0.3" footer="0.3"/>
  <pageSetup paperSize="9" orientation="landscape"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D29"/>
  <sheetViews>
    <sheetView topLeftCell="A19" workbookViewId="0">
      <selection activeCell="H39" sqref="H39"/>
    </sheetView>
  </sheetViews>
  <sheetFormatPr baseColWidth="10" defaultColWidth="12" defaultRowHeight="13"/>
  <cols>
    <col min="1" max="1" customWidth="true" style="157" width="41.19921875" collapsed="true"/>
    <col min="2" max="2" customWidth="true" style="157" width="37.796875" collapsed="true"/>
    <col min="3" max="3" customWidth="true" style="157" width="41.5" collapsed="true"/>
    <col min="4" max="16384" style="157" width="12.0" collapsed="true"/>
  </cols>
  <sheetData>
    <row r="1" spans="1:4" ht="18" customHeight="1">
      <c r="A1" s="959" t="s">
        <v>575</v>
      </c>
      <c r="B1" s="959"/>
      <c r="C1" s="959"/>
    </row>
    <row r="3" spans="1:4" ht="12.75" customHeight="1">
      <c r="A3" s="960" t="s">
        <v>486</v>
      </c>
      <c r="B3" s="960"/>
      <c r="C3" s="157" t="s">
        <v>487</v>
      </c>
      <c r="D3" s="622">
        <v>44926</v>
      </c>
    </row>
    <row r="4" spans="1:4" ht="15" customHeight="1">
      <c r="A4" s="976" t="s">
        <v>1423</v>
      </c>
      <c r="B4" s="977"/>
      <c r="C4" s="964" t="s">
        <v>488</v>
      </c>
      <c r="D4" s="608">
        <v>12</v>
      </c>
    </row>
    <row r="5" spans="1:4" ht="15" customHeight="1">
      <c r="A5" s="157" t="s">
        <v>489</v>
      </c>
      <c r="B5" s="621" t="s">
        <v>1426</v>
      </c>
      <c r="C5" s="964"/>
    </row>
    <row r="7" spans="1:4">
      <c r="A7" s="180" t="s">
        <v>576</v>
      </c>
      <c r="B7" s="181"/>
      <c r="C7" s="444"/>
    </row>
    <row r="8" spans="1:4" ht="12.75" customHeight="1">
      <c r="A8" s="1034"/>
      <c r="B8" s="1035"/>
      <c r="C8" s="1036"/>
    </row>
    <row r="9" spans="1:4" ht="12.75" customHeight="1">
      <c r="A9" s="1037"/>
      <c r="B9" s="1035"/>
      <c r="C9" s="1036"/>
    </row>
    <row r="10" spans="1:4" ht="12.75" customHeight="1">
      <c r="A10" s="1037"/>
      <c r="B10" s="1035"/>
      <c r="C10" s="1036"/>
    </row>
    <row r="11" spans="1:4" ht="12.75" customHeight="1">
      <c r="A11" s="1037"/>
      <c r="B11" s="1035"/>
      <c r="C11" s="1036"/>
    </row>
    <row r="12" spans="1:4" ht="12.75" customHeight="1">
      <c r="A12" s="1038"/>
      <c r="B12" s="1029"/>
      <c r="C12" s="1030"/>
    </row>
    <row r="13" spans="1:4" s="172" customFormat="1">
      <c r="A13" s="274" t="s">
        <v>577</v>
      </c>
      <c r="B13" s="410" t="s">
        <v>578</v>
      </c>
      <c r="C13" s="445" t="s">
        <v>579</v>
      </c>
    </row>
    <row r="14" spans="1:4" s="172" customFormat="1" ht="15" customHeight="1">
      <c r="A14" s="519"/>
      <c r="B14" s="513"/>
      <c r="C14" s="514"/>
    </row>
    <row r="15" spans="1:4" s="172" customFormat="1" ht="15" customHeight="1">
      <c r="A15" s="520"/>
      <c r="B15" s="515"/>
      <c r="C15" s="516"/>
    </row>
    <row r="16" spans="1:4" s="172" customFormat="1" ht="15" customHeight="1">
      <c r="A16" s="520"/>
      <c r="B16" s="515"/>
      <c r="C16" s="516"/>
    </row>
    <row r="17" spans="1:3" s="172" customFormat="1" ht="15" customHeight="1">
      <c r="A17" s="520"/>
      <c r="B17" s="515"/>
      <c r="C17" s="516"/>
    </row>
    <row r="18" spans="1:3" s="172" customFormat="1" ht="15" customHeight="1">
      <c r="A18" s="520"/>
      <c r="B18" s="515"/>
      <c r="C18" s="516"/>
    </row>
    <row r="19" spans="1:3" s="172" customFormat="1" ht="15" customHeight="1">
      <c r="A19" s="520"/>
      <c r="B19" s="515"/>
      <c r="C19" s="516"/>
    </row>
    <row r="20" spans="1:3" s="172" customFormat="1" ht="15" customHeight="1">
      <c r="A20" s="520"/>
      <c r="B20" s="515"/>
      <c r="C20" s="516"/>
    </row>
    <row r="21" spans="1:3" s="172" customFormat="1" ht="15" customHeight="1">
      <c r="A21" s="521"/>
      <c r="B21" s="517"/>
      <c r="C21" s="518"/>
    </row>
    <row r="22" spans="1:3">
      <c r="A22" s="180" t="s">
        <v>580</v>
      </c>
      <c r="B22" s="181"/>
      <c r="C22" s="444"/>
    </row>
    <row r="23" spans="1:3" ht="45" customHeight="1">
      <c r="A23" s="1028"/>
      <c r="B23" s="1029"/>
      <c r="C23" s="1030"/>
    </row>
    <row r="24" spans="1:3">
      <c r="A24" s="180" t="s">
        <v>581</v>
      </c>
      <c r="B24" s="181"/>
      <c r="C24" s="444"/>
    </row>
    <row r="25" spans="1:3" ht="15" customHeight="1">
      <c r="A25" s="182" t="s">
        <v>582</v>
      </c>
      <c r="B25" s="173"/>
      <c r="C25" s="446"/>
    </row>
    <row r="26" spans="1:3" ht="54" customHeight="1">
      <c r="A26" s="1031"/>
      <c r="B26" s="1032"/>
      <c r="C26" s="1033"/>
    </row>
    <row r="27" spans="1:3" s="172" customFormat="1" ht="20.25" customHeight="1">
      <c r="A27" s="183" t="s">
        <v>583</v>
      </c>
      <c r="B27" s="184"/>
      <c r="C27" s="619">
        <v>0</v>
      </c>
    </row>
    <row r="28" spans="1:3" s="176" customFormat="1" ht="20.149999999999999" customHeight="1">
      <c r="A28" s="185"/>
      <c r="B28" s="185"/>
      <c r="C28" s="186"/>
    </row>
    <row r="29" spans="1:3">
      <c r="A29" s="608"/>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R37"/>
  <sheetViews>
    <sheetView topLeftCell="A19" workbookViewId="0">
      <selection activeCell="H39" sqref="H39"/>
    </sheetView>
  </sheetViews>
  <sheetFormatPr baseColWidth="10" defaultColWidth="12" defaultRowHeight="13"/>
  <cols>
    <col min="1" max="1" customWidth="true" style="157" width="36.5" collapsed="true"/>
    <col min="2" max="2" customWidth="true" style="157" width="27.296875" collapsed="true"/>
    <col min="3" max="3" customWidth="true" style="157" width="20.796875" collapsed="true"/>
    <col min="4" max="4" customWidth="true" style="157" width="16.5" collapsed="true"/>
    <col min="5" max="5" customWidth="true" style="157" width="22.296875" collapsed="true"/>
    <col min="6" max="6" customWidth="true" style="157" width="18.69921875" collapsed="true"/>
    <col min="7" max="7" customWidth="true" style="157" width="18.296875" collapsed="true"/>
    <col min="8" max="8" customWidth="true" style="157" width="16.69921875" collapsed="true"/>
    <col min="9" max="16384" style="157" width="12.0" collapsed="true"/>
  </cols>
  <sheetData>
    <row r="1" spans="1:18" ht="18" customHeight="1">
      <c r="A1" s="959" t="s">
        <v>584</v>
      </c>
      <c r="B1" s="959"/>
      <c r="C1" s="959"/>
      <c r="D1" s="959"/>
      <c r="E1" s="959"/>
      <c r="F1" s="959"/>
      <c r="G1" s="959"/>
      <c r="H1" s="959"/>
    </row>
    <row r="2" spans="1:18" ht="8.15" customHeight="1"/>
    <row r="3" spans="1:18" ht="12.75" customHeight="1">
      <c r="A3" s="960" t="s">
        <v>486</v>
      </c>
      <c r="B3" s="960"/>
      <c r="C3" s="960"/>
      <c r="D3" s="402"/>
      <c r="F3" s="169" t="s">
        <v>487</v>
      </c>
      <c r="G3" s="980">
        <v>44926</v>
      </c>
      <c r="H3" s="981"/>
    </row>
    <row r="4" spans="1:18" ht="15" customHeight="1">
      <c r="A4" s="976" t="s">
        <v>1423</v>
      </c>
      <c r="B4" s="977"/>
      <c r="C4" s="977"/>
      <c r="D4" s="403"/>
      <c r="F4" s="982" t="s">
        <v>488</v>
      </c>
      <c r="G4" s="965">
        <v>12</v>
      </c>
      <c r="H4" s="966"/>
    </row>
    <row r="5" spans="1:18" ht="15" customHeight="1">
      <c r="A5" s="157" t="s">
        <v>489</v>
      </c>
      <c r="B5" s="983" t="s">
        <v>1426</v>
      </c>
      <c r="C5" s="984"/>
      <c r="D5" s="403"/>
      <c r="F5" s="982"/>
      <c r="G5" s="962"/>
      <c r="H5" s="962"/>
    </row>
    <row r="6" spans="1:18" ht="8.15" customHeight="1"/>
    <row r="7" spans="1:18" s="172" customFormat="1" ht="25.15" customHeight="1">
      <c r="A7" s="187" t="s">
        <v>535</v>
      </c>
      <c r="B7" s="1002" t="s">
        <v>721</v>
      </c>
      <c r="C7" s="1002" t="s">
        <v>722</v>
      </c>
      <c r="D7" s="1002" t="s">
        <v>717</v>
      </c>
      <c r="E7" s="1002" t="s">
        <v>585</v>
      </c>
      <c r="F7" s="1039" t="s">
        <v>586</v>
      </c>
      <c r="G7" s="1039" t="s">
        <v>587</v>
      </c>
      <c r="H7" s="1002" t="s">
        <v>588</v>
      </c>
    </row>
    <row r="8" spans="1:18" s="172" customFormat="1" ht="25.15" customHeight="1">
      <c r="A8" s="188"/>
      <c r="B8" s="994"/>
      <c r="C8" s="994"/>
      <c r="D8" s="994"/>
      <c r="E8" s="994"/>
      <c r="F8" s="997"/>
      <c r="G8" s="997"/>
      <c r="H8" s="994"/>
    </row>
    <row r="9" spans="1:18">
      <c r="A9" s="280" t="s">
        <v>280</v>
      </c>
      <c r="B9" s="617">
        <v>0</v>
      </c>
      <c r="C9" s="617">
        <v>0</v>
      </c>
      <c r="D9" s="617">
        <v>0</v>
      </c>
      <c r="E9" s="617">
        <v>0</v>
      </c>
      <c r="F9" s="617">
        <v>0</v>
      </c>
      <c r="G9" s="617">
        <v>0</v>
      </c>
      <c r="H9" s="617">
        <v>0</v>
      </c>
    </row>
    <row r="10" spans="1:18">
      <c r="A10" s="280" t="s">
        <v>589</v>
      </c>
      <c r="B10" s="617">
        <v>0</v>
      </c>
      <c r="C10" s="617">
        <v>0</v>
      </c>
      <c r="D10" s="617">
        <v>0</v>
      </c>
      <c r="E10" s="617">
        <v>0</v>
      </c>
      <c r="F10" s="617">
        <v>0</v>
      </c>
      <c r="G10" s="617">
        <v>0</v>
      </c>
      <c r="H10" s="617">
        <v>0</v>
      </c>
    </row>
    <row r="11" spans="1:18">
      <c r="A11" s="280" t="s">
        <v>590</v>
      </c>
      <c r="B11" s="617">
        <v>0</v>
      </c>
      <c r="C11" s="617">
        <v>0</v>
      </c>
      <c r="D11" s="617">
        <v>0</v>
      </c>
      <c r="E11" s="617">
        <v>0</v>
      </c>
      <c r="F11" s="711"/>
      <c r="G11" s="617">
        <v>0</v>
      </c>
      <c r="H11" s="617">
        <v>0</v>
      </c>
      <c r="R11" s="608">
        <v>0</v>
      </c>
    </row>
    <row r="12" spans="1:18">
      <c r="A12" s="280" t="s">
        <v>591</v>
      </c>
      <c r="B12" s="617">
        <v>0</v>
      </c>
      <c r="C12" s="617">
        <v>0</v>
      </c>
      <c r="D12" s="617">
        <v>0</v>
      </c>
      <c r="E12" s="617">
        <v>0</v>
      </c>
      <c r="F12" s="617">
        <v>0</v>
      </c>
      <c r="G12" s="663">
        <v>0</v>
      </c>
      <c r="H12" s="617">
        <v>0</v>
      </c>
    </row>
    <row r="13" spans="1:18">
      <c r="A13" s="280" t="s">
        <v>1366</v>
      </c>
      <c r="B13" s="617">
        <v>0</v>
      </c>
      <c r="C13" s="617">
        <v>0</v>
      </c>
      <c r="D13" s="617">
        <v>0</v>
      </c>
      <c r="E13" s="617">
        <v>0</v>
      </c>
      <c r="F13" s="617">
        <v>0</v>
      </c>
      <c r="G13" s="617">
        <v>0</v>
      </c>
      <c r="H13" s="617">
        <v>0</v>
      </c>
    </row>
    <row r="14" spans="1:18">
      <c r="A14" s="281" t="s">
        <v>592</v>
      </c>
      <c r="B14" s="617">
        <v>0</v>
      </c>
      <c r="C14" s="617">
        <v>0</v>
      </c>
      <c r="D14" s="617">
        <v>0</v>
      </c>
      <c r="E14" s="617">
        <v>0</v>
      </c>
      <c r="F14" s="617">
        <v>0</v>
      </c>
      <c r="G14" s="617">
        <v>0</v>
      </c>
      <c r="H14" s="617">
        <v>0</v>
      </c>
    </row>
    <row r="15" spans="1:18">
      <c r="A15" s="281" t="s">
        <v>593</v>
      </c>
      <c r="B15" s="617">
        <v>423020339.88</v>
      </c>
      <c r="C15" s="617">
        <v>369323602.44999999</v>
      </c>
      <c r="D15" s="617">
        <v>53696737.43</v>
      </c>
      <c r="E15" s="617">
        <v>14.53</v>
      </c>
      <c r="F15" s="617">
        <v>0</v>
      </c>
      <c r="G15" s="617">
        <v>0</v>
      </c>
      <c r="H15" s="617">
        <v>0</v>
      </c>
    </row>
    <row r="16" spans="1:18">
      <c r="A16" s="281" t="s">
        <v>594</v>
      </c>
      <c r="B16" s="617">
        <v>0</v>
      </c>
      <c r="C16" s="617">
        <v>0</v>
      </c>
      <c r="D16" s="617">
        <v>0</v>
      </c>
      <c r="E16" s="617">
        <v>0</v>
      </c>
      <c r="F16" s="617">
        <v>0</v>
      </c>
      <c r="G16" s="617">
        <v>0</v>
      </c>
      <c r="H16" s="617">
        <v>0</v>
      </c>
    </row>
    <row r="17" spans="1:8" ht="27" customHeight="1">
      <c r="A17" s="280" t="s">
        <v>1367</v>
      </c>
      <c r="B17" s="617">
        <v>0</v>
      </c>
      <c r="C17" s="617">
        <v>0</v>
      </c>
      <c r="D17" s="617">
        <v>0</v>
      </c>
      <c r="E17" s="617">
        <v>0</v>
      </c>
      <c r="F17" s="617">
        <v>0</v>
      </c>
      <c r="G17" s="617">
        <v>0</v>
      </c>
      <c r="H17" s="617">
        <v>0</v>
      </c>
    </row>
    <row r="18" spans="1:8">
      <c r="A18" s="281" t="s">
        <v>1419</v>
      </c>
      <c r="B18" s="617">
        <v>0</v>
      </c>
      <c r="C18" s="617">
        <v>0</v>
      </c>
      <c r="D18" s="617">
        <v>0</v>
      </c>
      <c r="E18" s="617">
        <v>0</v>
      </c>
      <c r="F18" s="617">
        <v>0</v>
      </c>
      <c r="G18" s="617">
        <v>0</v>
      </c>
      <c r="H18" s="617">
        <v>0</v>
      </c>
    </row>
    <row r="19" spans="1:8">
      <c r="A19" s="294" t="s">
        <v>595</v>
      </c>
      <c r="B19" s="702">
        <v>423020339.88</v>
      </c>
      <c r="C19" s="702">
        <v>369323602.44999999</v>
      </c>
      <c r="D19" s="702">
        <v>53696737.43</v>
      </c>
      <c r="E19" s="702">
        <v>14.53</v>
      </c>
      <c r="F19" s="702">
        <v>0</v>
      </c>
      <c r="G19" s="702">
        <v>0</v>
      </c>
      <c r="H19" s="702">
        <v>0</v>
      </c>
    </row>
    <row r="20" spans="1:8">
      <c r="A20" s="281" t="s">
        <v>596</v>
      </c>
      <c r="B20" s="617">
        <v>0</v>
      </c>
      <c r="C20" s="617">
        <v>0</v>
      </c>
      <c r="D20" s="617">
        <v>0</v>
      </c>
      <c r="E20" s="617">
        <v>0</v>
      </c>
      <c r="F20" s="617">
        <v>0</v>
      </c>
      <c r="G20" s="617">
        <v>0</v>
      </c>
      <c r="H20" s="617">
        <v>0</v>
      </c>
    </row>
    <row r="21" spans="1:8">
      <c r="A21" s="281" t="s">
        <v>597</v>
      </c>
      <c r="B21" s="617">
        <v>0</v>
      </c>
      <c r="C21" s="617">
        <v>0</v>
      </c>
      <c r="D21" s="617">
        <v>0</v>
      </c>
      <c r="E21" s="617">
        <v>0</v>
      </c>
      <c r="F21" s="617">
        <v>0</v>
      </c>
      <c r="G21" s="711"/>
      <c r="H21" s="617">
        <v>0</v>
      </c>
    </row>
    <row r="22" spans="1:8" ht="20.149999999999999" customHeight="1">
      <c r="A22" s="282" t="s">
        <v>598</v>
      </c>
      <c r="B22" s="702">
        <v>423020339.88</v>
      </c>
      <c r="C22" s="702">
        <v>369323602.44999999</v>
      </c>
      <c r="D22" s="702">
        <v>53696737.43</v>
      </c>
      <c r="E22" s="702">
        <v>14.53</v>
      </c>
      <c r="F22" s="702">
        <v>0</v>
      </c>
      <c r="G22" s="702">
        <v>0</v>
      </c>
      <c r="H22" s="702">
        <v>0</v>
      </c>
    </row>
    <row r="23" spans="1:8">
      <c r="A23" s="297"/>
    </row>
    <row r="24" spans="1:8">
      <c r="A24" s="296" t="s">
        <v>599</v>
      </c>
    </row>
    <row r="26" spans="1:8" s="172" customFormat="1" ht="25.15" customHeight="1">
      <c r="A26" s="969" t="s">
        <v>600</v>
      </c>
      <c r="B26" s="1002" t="s">
        <v>601</v>
      </c>
      <c r="C26" s="1041" t="s">
        <v>602</v>
      </c>
      <c r="D26" s="1042"/>
      <c r="E26" s="1043"/>
      <c r="F26" s="1039" t="s">
        <v>603</v>
      </c>
      <c r="G26" s="1039" t="s">
        <v>604</v>
      </c>
      <c r="H26" s="1002" t="s">
        <v>605</v>
      </c>
    </row>
    <row r="27" spans="1:8" s="172" customFormat="1" ht="25.15" customHeight="1">
      <c r="A27" s="1040"/>
      <c r="B27" s="994"/>
      <c r="C27" s="1044"/>
      <c r="D27" s="1045"/>
      <c r="E27" s="1046"/>
      <c r="F27" s="997"/>
      <c r="G27" s="997"/>
      <c r="H27" s="994"/>
    </row>
    <row r="28" spans="1:8">
      <c r="A28" s="522"/>
      <c r="B28" s="523"/>
      <c r="C28" s="1047"/>
      <c r="D28" s="1048"/>
      <c r="E28" s="1049"/>
      <c r="F28" s="447"/>
      <c r="G28" s="503"/>
      <c r="H28" s="503"/>
    </row>
    <row r="29" spans="1:8">
      <c r="A29" s="522"/>
      <c r="B29" s="523"/>
      <c r="C29" s="1047"/>
      <c r="D29" s="1048"/>
      <c r="E29" s="1049"/>
      <c r="F29" s="447"/>
      <c r="G29" s="503"/>
      <c r="H29" s="503"/>
    </row>
    <row r="30" spans="1:8">
      <c r="A30" s="522"/>
      <c r="B30" s="523"/>
      <c r="C30" s="1047"/>
      <c r="D30" s="1048"/>
      <c r="E30" s="1049"/>
      <c r="F30" s="447"/>
      <c r="G30" s="503"/>
      <c r="H30" s="503"/>
    </row>
    <row r="31" spans="1:8">
      <c r="A31" s="522"/>
      <c r="B31" s="523"/>
      <c r="C31" s="1047"/>
      <c r="D31" s="1048"/>
      <c r="E31" s="1049"/>
      <c r="F31" s="447"/>
      <c r="G31" s="503"/>
      <c r="H31" s="503"/>
    </row>
    <row r="32" spans="1:8">
      <c r="A32" s="523"/>
      <c r="B32" s="523"/>
      <c r="C32" s="1047"/>
      <c r="D32" s="1048"/>
      <c r="E32" s="1049"/>
      <c r="F32" s="447"/>
      <c r="G32" s="503"/>
      <c r="H32" s="503"/>
    </row>
    <row r="33" spans="1:8">
      <c r="A33" s="523"/>
      <c r="B33" s="523"/>
      <c r="C33" s="1047"/>
      <c r="D33" s="1048"/>
      <c r="E33" s="1049"/>
      <c r="F33" s="447"/>
      <c r="G33" s="503"/>
      <c r="H33" s="503"/>
    </row>
    <row r="34" spans="1:8">
      <c r="A34" s="523"/>
      <c r="B34" s="523"/>
      <c r="C34" s="1047"/>
      <c r="D34" s="1048"/>
      <c r="E34" s="1049"/>
      <c r="F34" s="447"/>
      <c r="G34" s="503"/>
      <c r="H34" s="503"/>
    </row>
    <row r="35" spans="1:8">
      <c r="A35" s="167" t="s">
        <v>528</v>
      </c>
    </row>
    <row r="37" spans="1:8">
      <c r="A37" s="608" t="s">
        <v>1524</v>
      </c>
    </row>
  </sheetData>
  <sheetProtection sheet="false"/>
  <mergeCells count="27">
    <mergeCell ref="C34:E34"/>
    <mergeCell ref="C28:E28"/>
    <mergeCell ref="C29:E29"/>
    <mergeCell ref="C30:E30"/>
    <mergeCell ref="C31:E31"/>
    <mergeCell ref="C32:E32"/>
    <mergeCell ref="C33:E33"/>
    <mergeCell ref="A26:A27"/>
    <mergeCell ref="B26:B27"/>
    <mergeCell ref="C26:E27"/>
    <mergeCell ref="F26:F27"/>
    <mergeCell ref="G26:G27"/>
    <mergeCell ref="H26:H27"/>
    <mergeCell ref="B7:B8"/>
    <mergeCell ref="C7:C8"/>
    <mergeCell ref="E7:E8"/>
    <mergeCell ref="F7:F8"/>
    <mergeCell ref="G7:G8"/>
    <mergeCell ref="H7:H8"/>
    <mergeCell ref="D7:D8"/>
    <mergeCell ref="A1:H1"/>
    <mergeCell ref="A3:C3"/>
    <mergeCell ref="G3:H3"/>
    <mergeCell ref="A4:C4"/>
    <mergeCell ref="F4:F5"/>
    <mergeCell ref="G4:H5"/>
    <mergeCell ref="B5:C5"/>
  </mergeCells>
  <dataValidations count="1">
    <dataValidation allowBlank="1" showInputMessage="1" showErrorMessage="1" errorTitle="Erreur de saisie" error="La cellule ne peut prendre que du numérique." promptTitle="Information" prompt="Cette cellule ne peut prendre que du numérique." sqref="B9:H22 G28:H34" xr:uid="{00000000-0002-0000-1000-000000000000}"/>
  </dataValidations>
  <pageMargins left="0.7" right="0.7" top="0.75" bottom="0.75" header="0.3" footer="0.3"/>
  <pageSetup paperSize="9" scale="82" orientation="landscape"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30"/>
  <sheetViews>
    <sheetView workbookViewId="0">
      <selection activeCell="H39" sqref="H39"/>
    </sheetView>
  </sheetViews>
  <sheetFormatPr baseColWidth="10" defaultColWidth="12" defaultRowHeight="13"/>
  <cols>
    <col min="1" max="1" customWidth="true" style="157" width="39.5" collapsed="true"/>
    <col min="2" max="2" bestFit="true" customWidth="true" style="157" width="9.5" collapsed="true"/>
    <col min="3" max="3" bestFit="true" customWidth="true" style="157" width="11.296875" collapsed="true"/>
    <col min="4" max="4" customWidth="true" style="157" width="11.296875" collapsed="true"/>
    <col min="5" max="5" customWidth="true" style="157" width="9.5" collapsed="true"/>
    <col min="6" max="8" customWidth="true" style="157" width="13.69921875" collapsed="true"/>
    <col min="9" max="16384" style="157" width="12.0" collapsed="true"/>
  </cols>
  <sheetData>
    <row r="1" spans="1:8" ht="18" customHeight="1">
      <c r="A1" s="959" t="s">
        <v>608</v>
      </c>
      <c r="B1" s="959"/>
      <c r="C1" s="959"/>
      <c r="D1" s="959"/>
      <c r="E1" s="959"/>
      <c r="F1" s="959"/>
      <c r="G1" s="959"/>
      <c r="H1" s="959"/>
    </row>
    <row r="2" spans="1:8" ht="8.15" customHeight="1"/>
    <row r="3" spans="1:8" ht="12.75" customHeight="1">
      <c r="A3" s="960" t="s">
        <v>486</v>
      </c>
      <c r="B3" s="960"/>
      <c r="C3" s="960"/>
      <c r="D3" s="402"/>
      <c r="F3" s="635" t="s">
        <v>1489</v>
      </c>
      <c r="G3" s="981"/>
      <c r="H3" s="981"/>
    </row>
    <row r="4" spans="1:8" ht="15" customHeight="1">
      <c r="A4" s="976" t="s">
        <v>1423</v>
      </c>
      <c r="B4" s="977"/>
      <c r="C4" s="977"/>
      <c r="D4" s="403"/>
      <c r="F4" s="1050">
        <v>12</v>
      </c>
      <c r="G4" s="966"/>
      <c r="H4" s="966"/>
    </row>
    <row r="5" spans="1:8" ht="15" customHeight="1">
      <c r="A5" s="157" t="s">
        <v>489</v>
      </c>
      <c r="B5" s="983" t="s">
        <v>1426</v>
      </c>
      <c r="C5" s="984"/>
      <c r="D5" s="403"/>
      <c r="F5" s="982"/>
      <c r="G5" s="962"/>
      <c r="H5" s="962"/>
    </row>
    <row r="6" spans="1:8" ht="8.15" customHeight="1"/>
    <row r="7" spans="1:8" s="172" customFormat="1" ht="25.15" customHeight="1">
      <c r="A7" s="969" t="s">
        <v>339</v>
      </c>
      <c r="B7" s="1002" t="s">
        <v>721</v>
      </c>
      <c r="C7" s="1002" t="s">
        <v>722</v>
      </c>
      <c r="D7" s="1002" t="s">
        <v>717</v>
      </c>
      <c r="E7" s="1002" t="s">
        <v>585</v>
      </c>
      <c r="F7" s="1039" t="s">
        <v>586</v>
      </c>
      <c r="G7" s="1039" t="s">
        <v>587</v>
      </c>
      <c r="H7" s="1002" t="s">
        <v>588</v>
      </c>
    </row>
    <row r="8" spans="1:8" s="172" customFormat="1" ht="25.15" customHeight="1">
      <c r="A8" s="1040"/>
      <c r="B8" s="994"/>
      <c r="C8" s="994"/>
      <c r="D8" s="994"/>
      <c r="E8" s="994"/>
      <c r="F8" s="997"/>
      <c r="G8" s="997"/>
      <c r="H8" s="994"/>
    </row>
    <row r="9" spans="1:8" ht="25.5" customHeight="1">
      <c r="A9" s="280" t="s">
        <v>609</v>
      </c>
      <c r="B9" s="610">
        <v>0</v>
      </c>
      <c r="C9" s="610">
        <v>0</v>
      </c>
      <c r="D9" s="610">
        <v>0</v>
      </c>
      <c r="E9" s="610">
        <v>0</v>
      </c>
      <c r="F9" s="610">
        <v>0</v>
      </c>
      <c r="G9" s="610">
        <v>0</v>
      </c>
      <c r="H9" s="503"/>
    </row>
    <row r="10" spans="1:8" ht="25.5" customHeight="1">
      <c r="A10" s="281" t="s">
        <v>610</v>
      </c>
      <c r="B10" s="610">
        <v>0</v>
      </c>
      <c r="C10" s="610">
        <v>0</v>
      </c>
      <c r="D10" s="610">
        <v>0</v>
      </c>
      <c r="E10" s="771">
        <v>0</v>
      </c>
      <c r="F10" s="610">
        <v>0</v>
      </c>
      <c r="G10" s="610">
        <v>0</v>
      </c>
      <c r="H10" s="503"/>
    </row>
    <row r="11" spans="1:8">
      <c r="A11" s="294" t="s">
        <v>595</v>
      </c>
      <c r="B11" s="616">
        <v>0</v>
      </c>
      <c r="C11" s="616">
        <v>0</v>
      </c>
      <c r="D11" s="616">
        <v>0</v>
      </c>
      <c r="E11" s="616">
        <v>0</v>
      </c>
      <c r="F11" s="616">
        <v>0</v>
      </c>
      <c r="G11" s="616">
        <v>0</v>
      </c>
      <c r="H11" s="505"/>
    </row>
    <row r="12" spans="1:8" ht="25.5" customHeight="1">
      <c r="A12" s="281" t="s">
        <v>611</v>
      </c>
      <c r="B12" s="610">
        <v>0</v>
      </c>
      <c r="C12" s="610">
        <v>0</v>
      </c>
      <c r="D12" s="610">
        <v>0</v>
      </c>
      <c r="E12" s="610">
        <v>0</v>
      </c>
      <c r="F12" s="610">
        <v>0</v>
      </c>
      <c r="G12" s="610">
        <v>0</v>
      </c>
      <c r="H12" s="503"/>
    </row>
    <row r="13" spans="1:8" ht="20.149999999999999" customHeight="1">
      <c r="A13" s="295" t="s">
        <v>598</v>
      </c>
      <c r="B13" s="631">
        <v>0</v>
      </c>
      <c r="C13" s="631">
        <v>0</v>
      </c>
      <c r="D13" s="631">
        <v>0</v>
      </c>
      <c r="E13" s="631">
        <v>0</v>
      </c>
      <c r="F13" s="631">
        <v>0</v>
      </c>
      <c r="G13" s="631">
        <v>0</v>
      </c>
      <c r="H13" s="511"/>
    </row>
    <row r="14" spans="1:8">
      <c r="A14" s="296" t="s">
        <v>528</v>
      </c>
    </row>
    <row r="15" spans="1:8">
      <c r="A15" s="168" t="s">
        <v>612</v>
      </c>
    </row>
    <row r="16" spans="1:8">
      <c r="A16" s="168" t="s">
        <v>606</v>
      </c>
    </row>
    <row r="17" spans="1:8">
      <c r="A17" s="189" t="s">
        <v>607</v>
      </c>
    </row>
    <row r="18" spans="1:8">
      <c r="A18" s="608"/>
    </row>
    <row r="19" spans="1:8" ht="18" customHeight="1">
      <c r="A19" s="1051" t="s">
        <v>613</v>
      </c>
      <c r="B19" s="1051"/>
      <c r="C19" s="1051"/>
      <c r="D19" s="1051"/>
      <c r="E19" s="1051"/>
      <c r="F19" s="1051"/>
      <c r="G19" s="1051"/>
      <c r="H19" s="1051"/>
    </row>
    <row r="21" spans="1:8" s="172" customFormat="1" ht="25.15" customHeight="1">
      <c r="A21" s="969" t="s">
        <v>339</v>
      </c>
      <c r="B21" s="1041" t="s">
        <v>721</v>
      </c>
      <c r="C21" s="1043"/>
      <c r="D21" s="418"/>
      <c r="E21" s="1041" t="s">
        <v>722</v>
      </c>
      <c r="F21" s="1043"/>
      <c r="G21" s="1052" t="s">
        <v>614</v>
      </c>
      <c r="H21" s="1053"/>
    </row>
    <row r="22" spans="1:8" s="172" customFormat="1" ht="25.15" customHeight="1">
      <c r="A22" s="1040"/>
      <c r="B22" s="1044"/>
      <c r="C22" s="1046"/>
      <c r="D22" s="419"/>
      <c r="E22" s="1044"/>
      <c r="F22" s="1046"/>
      <c r="G22" s="1054"/>
      <c r="H22" s="1055"/>
    </row>
    <row r="23" spans="1:8">
      <c r="A23" s="159" t="s">
        <v>615</v>
      </c>
      <c r="B23" s="1056">
        <v>0</v>
      </c>
      <c r="C23" s="1049"/>
      <c r="D23" s="507"/>
      <c r="E23" s="1056">
        <v>0</v>
      </c>
      <c r="F23" s="1049"/>
      <c r="G23" s="1057">
        <v>0</v>
      </c>
      <c r="H23" s="1049"/>
    </row>
    <row r="24" spans="1:8">
      <c r="A24" s="159" t="s">
        <v>616</v>
      </c>
      <c r="B24" s="1056">
        <v>0</v>
      </c>
      <c r="C24" s="1049"/>
      <c r="D24" s="507"/>
      <c r="E24" s="1056">
        <v>0</v>
      </c>
      <c r="F24" s="1049"/>
      <c r="G24" s="1057">
        <v>0</v>
      </c>
      <c r="H24" s="1049"/>
    </row>
    <row r="25" spans="1:8" ht="27.65" customHeight="1">
      <c r="A25" s="159" t="s">
        <v>617</v>
      </c>
      <c r="B25" s="1056">
        <v>0</v>
      </c>
      <c r="C25" s="1049"/>
      <c r="D25" s="507"/>
      <c r="E25" s="1056">
        <v>0</v>
      </c>
      <c r="F25" s="1049"/>
      <c r="G25" s="1057">
        <v>0</v>
      </c>
      <c r="H25" s="1049"/>
    </row>
    <row r="26" spans="1:8">
      <c r="A26" s="159" t="s">
        <v>618</v>
      </c>
      <c r="B26" s="1056">
        <v>0</v>
      </c>
      <c r="C26" s="1049"/>
      <c r="D26" s="507"/>
      <c r="E26" s="1056">
        <v>0</v>
      </c>
      <c r="F26" s="1049"/>
      <c r="G26" s="1057">
        <v>0</v>
      </c>
      <c r="H26" s="1049"/>
    </row>
    <row r="27" spans="1:8" ht="21.4" customHeight="1">
      <c r="A27" s="170" t="s">
        <v>113</v>
      </c>
      <c r="B27" s="1058">
        <v>0</v>
      </c>
      <c r="C27" s="1059"/>
      <c r="D27" s="524"/>
      <c r="E27" s="1058">
        <v>0</v>
      </c>
      <c r="F27" s="1059"/>
      <c r="G27" s="1060">
        <v>0</v>
      </c>
      <c r="H27" s="1059"/>
    </row>
    <row r="28" spans="1:8">
      <c r="A28" s="167" t="s">
        <v>528</v>
      </c>
    </row>
    <row r="30" spans="1:8">
      <c r="A30" s="608"/>
    </row>
  </sheetData>
  <sheetProtection sheet="false"/>
  <mergeCells count="35">
    <mergeCell ref="B27:C27"/>
    <mergeCell ref="E27:F27"/>
    <mergeCell ref="G27:H27"/>
    <mergeCell ref="B25:C25"/>
    <mergeCell ref="E25:F25"/>
    <mergeCell ref="G25:H25"/>
    <mergeCell ref="B26:C26"/>
    <mergeCell ref="E26:F26"/>
    <mergeCell ref="G26:H26"/>
    <mergeCell ref="B23:C23"/>
    <mergeCell ref="E23:F23"/>
    <mergeCell ref="G23:H23"/>
    <mergeCell ref="B24:C24"/>
    <mergeCell ref="E24:F24"/>
    <mergeCell ref="G24:H24"/>
    <mergeCell ref="H7:H8"/>
    <mergeCell ref="A19:H19"/>
    <mergeCell ref="A21:A22"/>
    <mergeCell ref="B21:C22"/>
    <mergeCell ref="E21:F22"/>
    <mergeCell ref="G21:H22"/>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13" xr:uid="{00000000-0002-0000-11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F9:H13" xr:uid="{00000000-0002-0000-1100-000001000000}">
      <formula1>0</formula1>
    </dataValidation>
  </dataValidations>
  <pageMargins left="0.7" right="0.7" top="0.75" bottom="0.75" header="0.3" footer="0.3"/>
  <pageSetup paperSize="9" orientation="landscape"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D26"/>
  <sheetViews>
    <sheetView topLeftCell="A24" workbookViewId="0">
      <selection activeCell="A27" sqref="A27"/>
    </sheetView>
  </sheetViews>
  <sheetFormatPr baseColWidth="10" defaultColWidth="12" defaultRowHeight="13"/>
  <cols>
    <col min="1" max="1" customWidth="true" style="157" width="39.5" collapsed="true"/>
    <col min="2" max="2" customWidth="true" style="157" width="28.796875" collapsed="true"/>
    <col min="3" max="3" customWidth="true" style="157" width="26.69921875" collapsed="true"/>
    <col min="4" max="4" customWidth="true" style="157" width="21.0" collapsed="true"/>
    <col min="5" max="16384" style="157" width="12.0" collapsed="true"/>
  </cols>
  <sheetData>
    <row r="1" spans="1:4" ht="19.899999999999999" customHeight="1">
      <c r="A1" s="959" t="s">
        <v>619</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61" t="s">
        <v>722</v>
      </c>
      <c r="D7" s="1062" t="s">
        <v>614</v>
      </c>
    </row>
    <row r="8" spans="1:4" s="172" customFormat="1" ht="25.15" customHeight="1">
      <c r="A8" s="1040"/>
      <c r="B8" s="1044"/>
      <c r="C8" s="1061"/>
      <c r="D8" s="1062"/>
    </row>
    <row r="9" spans="1:4">
      <c r="A9" s="772" t="s">
        <v>620</v>
      </c>
      <c r="B9" s="752">
        <v>0</v>
      </c>
      <c r="C9" s="617">
        <v>0</v>
      </c>
      <c r="D9" s="617">
        <v>0</v>
      </c>
    </row>
    <row r="10" spans="1:4">
      <c r="A10" s="772" t="s">
        <v>1368</v>
      </c>
      <c r="B10" s="752">
        <v>0</v>
      </c>
      <c r="C10" s="617">
        <v>0</v>
      </c>
      <c r="D10" s="617">
        <v>0</v>
      </c>
    </row>
    <row r="11" spans="1:4">
      <c r="A11" s="772" t="s">
        <v>621</v>
      </c>
      <c r="B11" s="752">
        <v>0</v>
      </c>
      <c r="C11" s="617">
        <v>0</v>
      </c>
      <c r="D11" s="617">
        <v>0</v>
      </c>
    </row>
    <row r="12" spans="1:4">
      <c r="A12" s="772" t="s">
        <v>622</v>
      </c>
      <c r="B12" s="752">
        <v>17561273751.060001</v>
      </c>
      <c r="C12" s="617">
        <v>15934054763.92</v>
      </c>
      <c r="D12" s="617">
        <v>10.210000000000001</v>
      </c>
    </row>
    <row r="13" spans="1:4">
      <c r="A13" s="772" t="s">
        <v>1369</v>
      </c>
      <c r="B13" s="752">
        <v>0</v>
      </c>
      <c r="C13" s="617">
        <v>0</v>
      </c>
      <c r="D13" s="617">
        <v>0</v>
      </c>
    </row>
    <row r="14" spans="1:4">
      <c r="A14" s="772" t="s">
        <v>623</v>
      </c>
      <c r="B14" s="752">
        <v>511481772.44999999</v>
      </c>
      <c r="C14" s="617">
        <v>595172375.30999994</v>
      </c>
      <c r="D14" s="617">
        <v>-14.07</v>
      </c>
    </row>
    <row r="15" spans="1:4">
      <c r="A15" s="772" t="s">
        <v>624</v>
      </c>
      <c r="B15" s="752">
        <v>0</v>
      </c>
      <c r="C15" s="617">
        <v>0</v>
      </c>
      <c r="D15" s="617">
        <v>0</v>
      </c>
    </row>
    <row r="16" spans="1:4">
      <c r="A16" s="772" t="s">
        <v>625</v>
      </c>
      <c r="B16" s="752">
        <v>594244019.33000004</v>
      </c>
      <c r="C16" s="617">
        <v>3725770215.8899999</v>
      </c>
      <c r="D16" s="617">
        <v>-84.06</v>
      </c>
    </row>
    <row r="17" spans="1:4">
      <c r="A17" s="280" t="s">
        <v>626</v>
      </c>
      <c r="B17" s="752">
        <v>0</v>
      </c>
      <c r="C17" s="617">
        <v>0</v>
      </c>
      <c r="D17" s="617">
        <v>0</v>
      </c>
    </row>
    <row r="18" spans="1:4" ht="27.65" customHeight="1">
      <c r="A18" s="280" t="s">
        <v>627</v>
      </c>
      <c r="B18" s="752">
        <v>142119789.37</v>
      </c>
      <c r="C18" s="617">
        <v>129691256.76000001</v>
      </c>
      <c r="D18" s="617">
        <v>9.58</v>
      </c>
    </row>
    <row r="19" spans="1:4">
      <c r="A19" s="294" t="s">
        <v>628</v>
      </c>
      <c r="B19" s="716">
        <v>18809119332.209999</v>
      </c>
      <c r="C19" s="715">
        <v>20384688611.880001</v>
      </c>
      <c r="D19" s="715">
        <v>-7.73</v>
      </c>
    </row>
    <row r="20" spans="1:4">
      <c r="A20" s="280" t="s">
        <v>629</v>
      </c>
      <c r="B20" s="752">
        <v>4499473614.8999996</v>
      </c>
      <c r="C20" s="617">
        <v>4049086954.5900002</v>
      </c>
      <c r="D20" s="617">
        <v>11.12</v>
      </c>
    </row>
    <row r="21" spans="1:4">
      <c r="A21" s="280"/>
      <c r="B21" s="754"/>
      <c r="C21" s="711"/>
      <c r="D21" s="711"/>
    </row>
    <row r="22" spans="1:4" ht="25.9" customHeight="1">
      <c r="A22" s="295" t="s">
        <v>113</v>
      </c>
      <c r="B22" s="718">
        <v>14309645717.309999</v>
      </c>
      <c r="C22" s="719">
        <v>16335601657.290001</v>
      </c>
      <c r="D22" s="719">
        <v>-12.41</v>
      </c>
    </row>
    <row r="24" spans="1:4">
      <c r="A24" s="167" t="s">
        <v>528</v>
      </c>
    </row>
    <row r="26" spans="1:4" ht="138" customHeight="1">
      <c r="A26" s="1027" t="s">
        <v>1538</v>
      </c>
      <c r="B26" s="1027"/>
      <c r="C26" s="1027"/>
      <c r="D26" s="1027"/>
    </row>
  </sheetData>
  <sheetProtection sheet="false"/>
  <mergeCells count="9">
    <mergeCell ref="A26:D26"/>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2" xr:uid="{00000000-0002-0000-1200-000000000000}">
      <formula1>0</formula1>
    </dataValidation>
  </dataValidations>
  <pageMargins left="0.7" right="0.7" top="0.75" bottom="0.75" header="0.3" footer="0.3"/>
  <pageSetup paperSize="9" scale="96" orientation="landscape"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R29"/>
  <sheetViews>
    <sheetView topLeftCell="A23" workbookViewId="0">
      <selection activeCell="A30" sqref="A30"/>
    </sheetView>
  </sheetViews>
  <sheetFormatPr baseColWidth="10" defaultColWidth="12" defaultRowHeight="13"/>
  <cols>
    <col min="1" max="1" customWidth="true" style="157" width="36.5" collapsed="true"/>
    <col min="2" max="2" bestFit="true" customWidth="true" style="157" width="19.0" collapsed="true"/>
    <col min="3" max="3" bestFit="true" customWidth="true" style="157" width="19.19921875" collapsed="true"/>
    <col min="4" max="4" bestFit="true" customWidth="true" style="157" width="26.69921875" collapsed="true"/>
    <col min="5" max="5" customWidth="true" style="157" width="9.5" collapsed="true"/>
    <col min="6" max="8" customWidth="true" style="157" width="13.69921875" collapsed="true"/>
    <col min="9" max="11" style="157" width="12.0" collapsed="true"/>
    <col min="12" max="12" bestFit="true" customWidth="true" style="157" width="14.19921875" collapsed="true"/>
    <col min="13" max="16384" style="157" width="12.0" collapsed="true"/>
  </cols>
  <sheetData>
    <row r="1" spans="1:8" ht="18" customHeight="1">
      <c r="A1" s="959" t="s">
        <v>630</v>
      </c>
      <c r="B1" s="959"/>
      <c r="C1" s="959"/>
      <c r="D1" s="959"/>
      <c r="E1" s="959"/>
      <c r="F1" s="959"/>
      <c r="G1" s="959"/>
      <c r="H1" s="959"/>
    </row>
    <row r="2" spans="1:8" ht="8.15" customHeight="1"/>
    <row r="3" spans="1:8" ht="12.75" customHeight="1">
      <c r="A3" s="960" t="s">
        <v>486</v>
      </c>
      <c r="B3" s="960"/>
      <c r="C3" s="960"/>
      <c r="D3" s="402"/>
      <c r="F3" s="635" t="s">
        <v>1489</v>
      </c>
      <c r="G3" s="981"/>
      <c r="H3" s="981"/>
    </row>
    <row r="4" spans="1:8" ht="15" customHeight="1">
      <c r="A4" s="976" t="s">
        <v>1423</v>
      </c>
      <c r="B4" s="977"/>
      <c r="C4" s="977"/>
      <c r="D4" s="403"/>
      <c r="F4" s="1050">
        <v>12</v>
      </c>
      <c r="G4" s="966"/>
      <c r="H4" s="966"/>
    </row>
    <row r="5" spans="1:8" ht="15" customHeight="1">
      <c r="A5" s="157" t="s">
        <v>489</v>
      </c>
      <c r="B5" s="983" t="s">
        <v>1426</v>
      </c>
      <c r="C5" s="984"/>
      <c r="D5" s="403"/>
      <c r="F5" s="982"/>
      <c r="G5" s="962"/>
      <c r="H5" s="962"/>
    </row>
    <row r="6" spans="1:8" ht="8.15" customHeight="1"/>
    <row r="7" spans="1:8" s="172" customFormat="1" ht="25.15" customHeight="1">
      <c r="A7" s="969" t="s">
        <v>339</v>
      </c>
      <c r="B7" s="1002" t="s">
        <v>721</v>
      </c>
      <c r="C7" s="1002" t="s">
        <v>722</v>
      </c>
      <c r="D7" s="1002" t="s">
        <v>717</v>
      </c>
      <c r="E7" s="1002" t="s">
        <v>585</v>
      </c>
      <c r="F7" s="1039" t="s">
        <v>586</v>
      </c>
      <c r="G7" s="1039" t="s">
        <v>587</v>
      </c>
      <c r="H7" s="1002" t="s">
        <v>588</v>
      </c>
    </row>
    <row r="8" spans="1:8" s="172" customFormat="1" ht="25.15" customHeight="1">
      <c r="A8" s="1040"/>
      <c r="B8" s="994"/>
      <c r="C8" s="994"/>
      <c r="D8" s="994"/>
      <c r="E8" s="994"/>
      <c r="F8" s="997"/>
      <c r="G8" s="997"/>
      <c r="H8" s="994"/>
    </row>
    <row r="9" spans="1:8" ht="26">
      <c r="A9" s="280" t="s">
        <v>631</v>
      </c>
      <c r="B9" s="617">
        <v>27262245705.09</v>
      </c>
      <c r="C9" s="617">
        <v>25755966594.77</v>
      </c>
      <c r="D9" s="617">
        <v>1506279110.3199999</v>
      </c>
      <c r="E9" s="771">
        <v>5.84</v>
      </c>
      <c r="F9" s="610">
        <v>0</v>
      </c>
      <c r="G9" s="610">
        <v>0</v>
      </c>
      <c r="H9" s="610">
        <v>0</v>
      </c>
    </row>
    <row r="10" spans="1:8" ht="27.65" customHeight="1">
      <c r="A10" s="280" t="s">
        <v>632</v>
      </c>
      <c r="B10" s="617">
        <v>0</v>
      </c>
      <c r="C10" s="617">
        <v>0</v>
      </c>
      <c r="D10" s="617">
        <v>0</v>
      </c>
      <c r="E10" s="771">
        <v>0</v>
      </c>
      <c r="F10" s="610">
        <v>0</v>
      </c>
      <c r="G10" s="610">
        <v>0</v>
      </c>
      <c r="H10" s="610">
        <v>0</v>
      </c>
    </row>
    <row r="11" spans="1:8" ht="27.65" customHeight="1">
      <c r="A11" s="280" t="s">
        <v>633</v>
      </c>
      <c r="B11" s="617">
        <v>0</v>
      </c>
      <c r="C11" s="617">
        <v>0</v>
      </c>
      <c r="D11" s="617">
        <v>0</v>
      </c>
      <c r="E11" s="771">
        <v>0</v>
      </c>
      <c r="F11" s="610">
        <v>0</v>
      </c>
      <c r="G11" s="610">
        <v>0</v>
      </c>
      <c r="H11" s="610">
        <v>0</v>
      </c>
    </row>
    <row r="12" spans="1:8" ht="39">
      <c r="A12" s="448" t="s">
        <v>1370</v>
      </c>
      <c r="B12" s="617">
        <v>0</v>
      </c>
      <c r="C12" s="617">
        <v>0</v>
      </c>
      <c r="D12" s="617">
        <v>0</v>
      </c>
      <c r="E12" s="771">
        <v>0</v>
      </c>
      <c r="F12" s="610">
        <v>0</v>
      </c>
      <c r="G12" s="610">
        <v>0</v>
      </c>
      <c r="H12" s="610">
        <v>0</v>
      </c>
    </row>
    <row r="13" spans="1:8">
      <c r="A13" s="280" t="s">
        <v>1371</v>
      </c>
      <c r="B13" s="617">
        <v>0</v>
      </c>
      <c r="C13" s="617">
        <v>0</v>
      </c>
      <c r="D13" s="617">
        <v>0</v>
      </c>
      <c r="E13" s="771">
        <v>0</v>
      </c>
      <c r="F13" s="610">
        <v>0</v>
      </c>
      <c r="G13" s="610">
        <v>0</v>
      </c>
      <c r="H13" s="610">
        <v>0</v>
      </c>
    </row>
    <row r="14" spans="1:8">
      <c r="A14" s="280" t="s">
        <v>1372</v>
      </c>
      <c r="B14" s="617">
        <v>0</v>
      </c>
      <c r="C14" s="617">
        <v>0</v>
      </c>
      <c r="D14" s="617">
        <v>0</v>
      </c>
      <c r="E14" s="771">
        <v>0</v>
      </c>
      <c r="F14" s="610">
        <v>0</v>
      </c>
      <c r="G14" s="610">
        <v>0</v>
      </c>
      <c r="H14" s="610">
        <v>0</v>
      </c>
    </row>
    <row r="15" spans="1:8">
      <c r="A15" s="280" t="s">
        <v>634</v>
      </c>
      <c r="B15" s="617">
        <v>0</v>
      </c>
      <c r="C15" s="617">
        <v>0</v>
      </c>
      <c r="D15" s="617">
        <v>0</v>
      </c>
      <c r="E15" s="771">
        <v>0</v>
      </c>
      <c r="F15" s="610">
        <v>0</v>
      </c>
      <c r="G15" s="610">
        <v>0</v>
      </c>
      <c r="H15" s="610">
        <v>0</v>
      </c>
    </row>
    <row r="16" spans="1:8">
      <c r="A16" s="280" t="s">
        <v>635</v>
      </c>
      <c r="B16" s="617">
        <v>0</v>
      </c>
      <c r="C16" s="617">
        <v>0</v>
      </c>
      <c r="D16" s="617">
        <v>0</v>
      </c>
      <c r="E16" s="771">
        <v>0</v>
      </c>
      <c r="F16" s="610">
        <v>0</v>
      </c>
      <c r="G16" s="610">
        <v>0</v>
      </c>
      <c r="H16" s="610">
        <v>0</v>
      </c>
    </row>
    <row r="17" spans="1:18">
      <c r="A17" s="281" t="s">
        <v>636</v>
      </c>
      <c r="B17" s="617">
        <v>0</v>
      </c>
      <c r="C17" s="617">
        <v>0</v>
      </c>
      <c r="D17" s="617">
        <v>0</v>
      </c>
      <c r="E17" s="771">
        <v>0</v>
      </c>
      <c r="F17" s="610">
        <v>0</v>
      </c>
      <c r="G17" s="610">
        <v>0</v>
      </c>
      <c r="H17" s="610">
        <v>0</v>
      </c>
    </row>
    <row r="18" spans="1:18">
      <c r="A18" s="281" t="s">
        <v>637</v>
      </c>
      <c r="B18" s="617">
        <v>475640823.75999999</v>
      </c>
      <c r="C18" s="617">
        <v>436727575.75999999</v>
      </c>
      <c r="D18" s="617">
        <v>38913248</v>
      </c>
      <c r="E18" s="773">
        <v>0</v>
      </c>
      <c r="F18" s="503"/>
      <c r="G18" s="503"/>
      <c r="H18" s="610">
        <v>0</v>
      </c>
      <c r="L18" s="297"/>
      <c r="R18" s="608"/>
    </row>
    <row r="19" spans="1:18">
      <c r="A19" s="281" t="s">
        <v>638</v>
      </c>
      <c r="B19" s="617">
        <v>0</v>
      </c>
      <c r="C19" s="617">
        <v>0</v>
      </c>
      <c r="D19" s="617">
        <v>0</v>
      </c>
      <c r="E19" s="771">
        <v>0</v>
      </c>
      <c r="F19" s="610">
        <v>0</v>
      </c>
      <c r="G19" s="610">
        <v>0</v>
      </c>
      <c r="H19" s="610">
        <v>0</v>
      </c>
    </row>
    <row r="20" spans="1:18">
      <c r="A20" s="294" t="s">
        <v>639</v>
      </c>
      <c r="B20" s="702">
        <v>27737886528.849998</v>
      </c>
      <c r="C20" s="702">
        <v>26192694170.529999</v>
      </c>
      <c r="D20" s="702">
        <v>1545192358.3199999</v>
      </c>
      <c r="E20" s="774">
        <v>5.89</v>
      </c>
      <c r="F20" s="616">
        <v>0</v>
      </c>
      <c r="G20" s="616">
        <v>0</v>
      </c>
      <c r="H20" s="616">
        <v>0</v>
      </c>
    </row>
    <row r="21" spans="1:18">
      <c r="A21" s="281" t="s">
        <v>640</v>
      </c>
      <c r="B21" s="617">
        <v>475640823.70999998</v>
      </c>
      <c r="C21" s="617">
        <v>263838635.00999999</v>
      </c>
      <c r="D21" s="617">
        <v>211802188.69999999</v>
      </c>
      <c r="E21" s="771">
        <v>80.27</v>
      </c>
      <c r="F21" s="610">
        <v>0</v>
      </c>
      <c r="G21" s="610">
        <v>0</v>
      </c>
      <c r="H21" s="610">
        <v>0</v>
      </c>
    </row>
    <row r="22" spans="1:18">
      <c r="A22" s="294" t="s">
        <v>598</v>
      </c>
      <c r="B22" s="702">
        <v>27262245705.139999</v>
      </c>
      <c r="C22" s="702">
        <v>25928855535.52</v>
      </c>
      <c r="D22" s="702">
        <v>1333390169.6199999</v>
      </c>
      <c r="E22" s="774">
        <v>5.14</v>
      </c>
      <c r="F22" s="616">
        <v>0</v>
      </c>
      <c r="G22" s="616">
        <v>0</v>
      </c>
      <c r="H22" s="616">
        <v>0</v>
      </c>
    </row>
    <row r="23" spans="1:18">
      <c r="A23" s="281" t="s">
        <v>641</v>
      </c>
      <c r="B23" s="617">
        <v>0.73</v>
      </c>
      <c r="C23" s="617">
        <v>101360600.87</v>
      </c>
      <c r="D23" s="617">
        <v>101360600.14</v>
      </c>
      <c r="E23" s="771">
        <v>-100</v>
      </c>
      <c r="F23" s="610">
        <v>0</v>
      </c>
      <c r="G23" s="610">
        <v>0</v>
      </c>
      <c r="H23" s="610">
        <v>0</v>
      </c>
    </row>
    <row r="24" spans="1:18">
      <c r="A24" s="281" t="s">
        <v>642</v>
      </c>
      <c r="B24" s="617">
        <v>0</v>
      </c>
      <c r="C24" s="617">
        <v>0</v>
      </c>
      <c r="D24" s="617">
        <v>0</v>
      </c>
      <c r="E24" s="771">
        <v>0</v>
      </c>
      <c r="F24" s="610">
        <v>0</v>
      </c>
      <c r="G24" s="610">
        <v>0</v>
      </c>
      <c r="H24" s="610">
        <v>0</v>
      </c>
    </row>
    <row r="25" spans="1:18">
      <c r="A25" s="281" t="s">
        <v>643</v>
      </c>
      <c r="B25" s="617">
        <v>3115958064</v>
      </c>
      <c r="C25" s="617">
        <v>1455828625</v>
      </c>
      <c r="D25" s="617">
        <v>1660129439</v>
      </c>
      <c r="E25" s="771">
        <v>114.03</v>
      </c>
      <c r="F25" s="610">
        <v>0</v>
      </c>
      <c r="G25" s="610">
        <v>0</v>
      </c>
      <c r="H25" s="610">
        <v>0</v>
      </c>
    </row>
    <row r="26" spans="1:18" ht="20.149999999999999" customHeight="1">
      <c r="A26" s="295" t="s">
        <v>644</v>
      </c>
      <c r="B26" s="703">
        <v>3115958064.73</v>
      </c>
      <c r="C26" s="703">
        <v>1557189225.8699999</v>
      </c>
      <c r="D26" s="703">
        <v>1558768838.8599999</v>
      </c>
      <c r="E26" s="775">
        <v>100.1</v>
      </c>
      <c r="F26" s="631">
        <v>0</v>
      </c>
      <c r="G26" s="631">
        <v>0</v>
      </c>
      <c r="H26" s="631">
        <v>0</v>
      </c>
    </row>
    <row r="27" spans="1:18">
      <c r="A27" s="296" t="s">
        <v>528</v>
      </c>
    </row>
    <row r="29" spans="1:18" ht="78" customHeight="1">
      <c r="A29" s="1027" t="s">
        <v>1539</v>
      </c>
      <c r="B29" s="1027"/>
      <c r="C29" s="1027"/>
      <c r="D29" s="1027"/>
      <c r="E29" s="1027"/>
      <c r="F29" s="1027"/>
      <c r="G29" s="1027"/>
      <c r="H29" s="1027"/>
    </row>
  </sheetData>
  <sheetProtection sheet="false"/>
  <mergeCells count="16">
    <mergeCell ref="A29:H29"/>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6" xr:uid="{00000000-0002-0000-1300-000000000000}">
      <formula1>0</formula1>
    </dataValidation>
    <dataValidation type="whole" operator="notEqual" allowBlank="1" showInputMessage="1" showErrorMessage="1" errorTitle="Erreur" error="La cellule ne peut prendre que du numérique." promptTitle="Information" prompt="Cette cellule ne peut prendre que du numérique." sqref="F9:H26" xr:uid="{00000000-0002-0000-1300-000001000000}">
      <formula1>0</formula1>
    </dataValidation>
  </dataValidations>
  <pageMargins left="0.7" right="0.7" top="0.75" bottom="0.75" header="0.3" footer="0.3"/>
  <pageSetup paperSize="9" scale="91" orientation="landscape"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25"/>
  <sheetViews>
    <sheetView topLeftCell="A22" workbookViewId="0">
      <selection activeCell="A26" sqref="A26"/>
    </sheetView>
  </sheetViews>
  <sheetFormatPr baseColWidth="10" defaultColWidth="12" defaultRowHeight="13"/>
  <cols>
    <col min="1" max="1" customWidth="true" style="157" width="37.296875" collapsed="true"/>
    <col min="2" max="2" bestFit="true" customWidth="true" style="157" width="19.19921875" collapsed="true"/>
    <col min="3" max="3" customWidth="true" style="157" width="18.5" collapsed="true"/>
    <col min="4" max="4" customWidth="true" style="157" width="9.5" collapsed="true"/>
    <col min="5" max="7" customWidth="true" style="157" width="13.69921875" collapsed="true"/>
    <col min="8" max="16384" style="157" width="12.0" collapsed="true"/>
  </cols>
  <sheetData>
    <row r="1" spans="1:7" ht="18" customHeight="1">
      <c r="A1" s="959" t="s">
        <v>645</v>
      </c>
      <c r="B1" s="959"/>
      <c r="C1" s="959"/>
      <c r="D1" s="959"/>
      <c r="E1" s="959"/>
      <c r="F1" s="959"/>
      <c r="G1" s="959"/>
    </row>
    <row r="2" spans="1:7" ht="8.15" customHeight="1"/>
    <row r="3" spans="1:7" ht="12.75" customHeight="1">
      <c r="A3" s="960" t="s">
        <v>486</v>
      </c>
      <c r="B3" s="960"/>
      <c r="C3" s="960"/>
      <c r="E3" s="169" t="s">
        <v>487</v>
      </c>
      <c r="F3" s="980">
        <v>44926</v>
      </c>
      <c r="G3" s="981"/>
    </row>
    <row r="4" spans="1:7" ht="15" customHeight="1">
      <c r="A4" s="976" t="s">
        <v>1423</v>
      </c>
      <c r="B4" s="977"/>
      <c r="C4" s="977"/>
      <c r="E4" s="982" t="s">
        <v>488</v>
      </c>
      <c r="F4" s="965">
        <v>12</v>
      </c>
      <c r="G4" s="966"/>
    </row>
    <row r="5" spans="1:7" ht="15" customHeight="1">
      <c r="A5" s="157" t="s">
        <v>489</v>
      </c>
      <c r="B5" s="983" t="s">
        <v>1426</v>
      </c>
      <c r="C5" s="984"/>
      <c r="E5" s="982"/>
      <c r="F5" s="962"/>
      <c r="G5" s="962"/>
    </row>
    <row r="6" spans="1:7" ht="8.15" customHeight="1"/>
    <row r="7" spans="1:7" s="172" customFormat="1" ht="25.15" customHeight="1">
      <c r="A7" s="969" t="s">
        <v>339</v>
      </c>
      <c r="B7" s="1002" t="s">
        <v>721</v>
      </c>
      <c r="C7" s="1002" t="s">
        <v>722</v>
      </c>
      <c r="D7" s="1002" t="s">
        <v>585</v>
      </c>
      <c r="E7" s="1039" t="s">
        <v>586</v>
      </c>
      <c r="F7" s="1039" t="s">
        <v>587</v>
      </c>
      <c r="G7" s="1002" t="s">
        <v>588</v>
      </c>
    </row>
    <row r="8" spans="1:7" s="172" customFormat="1" ht="25.15" customHeight="1">
      <c r="A8" s="1040"/>
      <c r="B8" s="994"/>
      <c r="C8" s="994"/>
      <c r="D8" s="994"/>
      <c r="E8" s="997"/>
      <c r="F8" s="997"/>
      <c r="G8" s="994"/>
    </row>
    <row r="9" spans="1:7">
      <c r="A9" s="280" t="s">
        <v>510</v>
      </c>
      <c r="B9" s="617">
        <v>200635613.72999999</v>
      </c>
      <c r="C9" s="617">
        <v>142145831.5</v>
      </c>
      <c r="D9" s="617">
        <v>41.14</v>
      </c>
      <c r="E9" s="610">
        <v>0</v>
      </c>
      <c r="F9" s="610">
        <v>0</v>
      </c>
      <c r="G9" s="610">
        <v>0</v>
      </c>
    </row>
    <row r="10" spans="1:7">
      <c r="A10" s="280" t="s">
        <v>646</v>
      </c>
      <c r="B10" s="617">
        <v>0</v>
      </c>
      <c r="C10" s="617">
        <v>0</v>
      </c>
      <c r="D10" s="617">
        <v>0</v>
      </c>
      <c r="E10" s="610">
        <v>0</v>
      </c>
      <c r="F10" s="610">
        <v>0</v>
      </c>
      <c r="G10" s="610">
        <v>0</v>
      </c>
    </row>
    <row r="11" spans="1:7">
      <c r="A11" s="280" t="s">
        <v>647</v>
      </c>
      <c r="B11" s="617">
        <v>0</v>
      </c>
      <c r="C11" s="617">
        <v>27530222.02</v>
      </c>
      <c r="D11" s="617">
        <v>-100</v>
      </c>
      <c r="E11" s="610">
        <v>0</v>
      </c>
      <c r="F11" s="610">
        <v>0</v>
      </c>
      <c r="G11" s="610">
        <v>0</v>
      </c>
    </row>
    <row r="12" spans="1:7">
      <c r="A12" s="280" t="s">
        <v>513</v>
      </c>
      <c r="B12" s="617">
        <v>0</v>
      </c>
      <c r="C12" s="617">
        <v>0</v>
      </c>
      <c r="D12" s="617">
        <v>0</v>
      </c>
      <c r="E12" s="610">
        <v>0</v>
      </c>
      <c r="F12" s="610">
        <v>0</v>
      </c>
      <c r="G12" s="610">
        <v>0</v>
      </c>
    </row>
    <row r="13" spans="1:7">
      <c r="A13" s="280" t="s">
        <v>648</v>
      </c>
      <c r="B13" s="617">
        <v>0.43</v>
      </c>
      <c r="C13" s="617">
        <v>0.43</v>
      </c>
      <c r="D13" s="617">
        <v>0</v>
      </c>
      <c r="E13" s="610">
        <v>0</v>
      </c>
      <c r="F13" s="610">
        <v>0</v>
      </c>
      <c r="G13" s="610">
        <v>0</v>
      </c>
    </row>
    <row r="14" spans="1:7" ht="27.65" customHeight="1">
      <c r="A14" s="280" t="s">
        <v>649</v>
      </c>
      <c r="B14" s="617">
        <v>0.06</v>
      </c>
      <c r="C14" s="617">
        <v>0.06</v>
      </c>
      <c r="D14" s="617">
        <v>0</v>
      </c>
      <c r="E14" s="610">
        <v>0</v>
      </c>
      <c r="F14" s="610">
        <v>0</v>
      </c>
      <c r="G14" s="610">
        <v>0</v>
      </c>
    </row>
    <row r="15" spans="1:7">
      <c r="A15" s="280" t="s">
        <v>650</v>
      </c>
      <c r="B15" s="617">
        <v>18712948152.220001</v>
      </c>
      <c r="C15" s="617">
        <v>6420021018.3699999</v>
      </c>
      <c r="D15" s="617">
        <v>191.47</v>
      </c>
      <c r="E15" s="610">
        <v>0</v>
      </c>
      <c r="F15" s="610">
        <v>0</v>
      </c>
      <c r="G15" s="610">
        <v>0</v>
      </c>
    </row>
    <row r="16" spans="1:7" ht="27.65" customHeight="1">
      <c r="A16" s="280" t="s">
        <v>651</v>
      </c>
      <c r="B16" s="617">
        <v>0</v>
      </c>
      <c r="C16" s="617">
        <v>0</v>
      </c>
      <c r="D16" s="617">
        <v>0</v>
      </c>
      <c r="E16" s="610">
        <v>0</v>
      </c>
      <c r="F16" s="610">
        <v>0</v>
      </c>
      <c r="G16" s="610">
        <v>0</v>
      </c>
    </row>
    <row r="17" spans="1:7">
      <c r="A17" s="280" t="s">
        <v>652</v>
      </c>
      <c r="B17" s="617">
        <v>0</v>
      </c>
      <c r="C17" s="617">
        <v>0</v>
      </c>
      <c r="D17" s="617">
        <v>0</v>
      </c>
      <c r="E17" s="610">
        <v>0</v>
      </c>
      <c r="F17" s="610">
        <v>0</v>
      </c>
      <c r="G17" s="610">
        <v>0</v>
      </c>
    </row>
    <row r="18" spans="1:7" ht="27.65" customHeight="1">
      <c r="A18" s="280" t="s">
        <v>653</v>
      </c>
      <c r="B18" s="617">
        <v>0</v>
      </c>
      <c r="C18" s="617">
        <v>0</v>
      </c>
      <c r="D18" s="617">
        <v>0</v>
      </c>
      <c r="E18" s="610">
        <v>0</v>
      </c>
      <c r="F18" s="610">
        <v>0</v>
      </c>
      <c r="G18" s="610">
        <v>0</v>
      </c>
    </row>
    <row r="19" spans="1:7">
      <c r="A19" s="294" t="s">
        <v>639</v>
      </c>
      <c r="B19" s="702">
        <v>18913583766.439999</v>
      </c>
      <c r="C19" s="702">
        <v>6589697072.3800001</v>
      </c>
      <c r="D19" s="702">
        <v>187.01</v>
      </c>
      <c r="E19" s="616">
        <v>0</v>
      </c>
      <c r="F19" s="616">
        <v>0</v>
      </c>
      <c r="G19" s="616">
        <v>0</v>
      </c>
    </row>
    <row r="20" spans="1:7">
      <c r="A20" s="281" t="s">
        <v>654</v>
      </c>
      <c r="B20" s="617">
        <v>0</v>
      </c>
      <c r="C20" s="617">
        <v>0</v>
      </c>
      <c r="D20" s="617">
        <v>0</v>
      </c>
      <c r="E20" s="610">
        <v>0</v>
      </c>
      <c r="F20" s="610">
        <v>0</v>
      </c>
      <c r="G20" s="610">
        <v>0</v>
      </c>
    </row>
    <row r="21" spans="1:7">
      <c r="A21" s="294" t="s">
        <v>598</v>
      </c>
      <c r="B21" s="702">
        <v>18913583766.439999</v>
      </c>
      <c r="C21" s="702">
        <v>6589697072.3800001</v>
      </c>
      <c r="D21" s="702">
        <v>187.01</v>
      </c>
      <c r="E21" s="616">
        <v>0</v>
      </c>
      <c r="F21" s="616">
        <v>0</v>
      </c>
      <c r="G21" s="616">
        <v>0</v>
      </c>
    </row>
    <row r="22" spans="1:7" s="297" customFormat="1">
      <c r="A22" s="704"/>
      <c r="B22" s="705"/>
      <c r="C22" s="706"/>
      <c r="D22" s="707"/>
      <c r="E22" s="706"/>
      <c r="F22" s="706"/>
      <c r="G22" s="706"/>
    </row>
    <row r="23" spans="1:7">
      <c r="A23" s="296" t="s">
        <v>528</v>
      </c>
    </row>
    <row r="24" spans="1:7">
      <c r="A24" s="189"/>
    </row>
    <row r="25" spans="1:7" ht="68.150000000000006" customHeight="1">
      <c r="A25" s="986" t="s">
        <v>1540</v>
      </c>
      <c r="B25" s="986"/>
      <c r="C25" s="986"/>
      <c r="D25" s="986"/>
      <c r="E25" s="986"/>
      <c r="F25" s="986"/>
      <c r="G25" s="986"/>
    </row>
  </sheetData>
  <sheetProtection sheet="false"/>
  <mergeCells count="15">
    <mergeCell ref="A25:G25"/>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2 E9:G22" xr:uid="{00000000-0002-0000-1400-000000000000}">
      <formula1>0</formula1>
    </dataValidation>
  </dataValidations>
  <pageMargins left="0.7" right="0.7" top="0.75" bottom="0.75" header="0.3" footer="0.3"/>
  <pageSetup paperSize="9" scale="99" orientation="landscape"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36"/>
  <sheetViews>
    <sheetView workbookViewId="0">
      <selection activeCell="H39" sqref="H39"/>
    </sheetView>
  </sheetViews>
  <sheetFormatPr baseColWidth="10" defaultColWidth="12" defaultRowHeight="13"/>
  <cols>
    <col min="1" max="1" customWidth="true" style="157" width="35.796875" collapsed="true"/>
    <col min="2" max="7" customWidth="true" style="157" width="12.5" collapsed="true"/>
    <col min="8" max="16384" style="157" width="12.0" collapsed="true"/>
  </cols>
  <sheetData>
    <row r="1" spans="1:7" ht="18" customHeight="1">
      <c r="A1" s="959" t="s">
        <v>655</v>
      </c>
      <c r="B1" s="959"/>
      <c r="C1" s="959"/>
      <c r="D1" s="959"/>
      <c r="E1" s="959"/>
      <c r="F1" s="959"/>
      <c r="G1" s="959"/>
    </row>
    <row r="2" spans="1:7" ht="8.15" customHeight="1"/>
    <row r="3" spans="1:7" ht="12.75" customHeight="1">
      <c r="A3" s="960" t="s">
        <v>486</v>
      </c>
      <c r="B3" s="960"/>
      <c r="C3" s="960"/>
      <c r="E3" s="169" t="s">
        <v>487</v>
      </c>
      <c r="F3" s="980">
        <v>44926</v>
      </c>
      <c r="G3" s="981"/>
    </row>
    <row r="4" spans="1:7" ht="15" customHeight="1">
      <c r="A4" s="976" t="s">
        <v>1423</v>
      </c>
      <c r="B4" s="977"/>
      <c r="C4" s="977"/>
      <c r="E4" s="982" t="s">
        <v>488</v>
      </c>
      <c r="F4" s="965">
        <v>12</v>
      </c>
      <c r="G4" s="966"/>
    </row>
    <row r="5" spans="1:7" ht="15" customHeight="1">
      <c r="A5" s="157" t="s">
        <v>489</v>
      </c>
      <c r="B5" s="983" t="s">
        <v>1426</v>
      </c>
      <c r="C5" s="984"/>
      <c r="E5" s="982"/>
      <c r="F5" s="962"/>
      <c r="G5" s="962"/>
    </row>
    <row r="6" spans="1:7" ht="8.15" customHeight="1"/>
    <row r="7" spans="1:7" s="172" customFormat="1" ht="25.15" customHeight="1">
      <c r="A7" s="969" t="s">
        <v>339</v>
      </c>
      <c r="B7" s="1041" t="s">
        <v>656</v>
      </c>
      <c r="C7" s="1043"/>
      <c r="D7" s="1041" t="s">
        <v>657</v>
      </c>
      <c r="E7" s="1043"/>
      <c r="F7" s="1052" t="s">
        <v>658</v>
      </c>
      <c r="G7" s="1053"/>
    </row>
    <row r="8" spans="1:7" s="172" customFormat="1" ht="25.15" customHeight="1">
      <c r="A8" s="1040"/>
      <c r="B8" s="1044"/>
      <c r="C8" s="1046"/>
      <c r="D8" s="1044"/>
      <c r="E8" s="1046"/>
      <c r="F8" s="1054"/>
      <c r="G8" s="1055"/>
    </row>
    <row r="9" spans="1:7" ht="26">
      <c r="A9" s="646" t="s">
        <v>659</v>
      </c>
      <c r="B9" s="1056">
        <v>0</v>
      </c>
      <c r="C9" s="1049"/>
      <c r="D9" s="1056">
        <v>0</v>
      </c>
      <c r="E9" s="1049"/>
      <c r="F9" s="1057">
        <v>0</v>
      </c>
      <c r="G9" s="1049"/>
    </row>
    <row r="10" spans="1:7">
      <c r="A10" s="159" t="s">
        <v>660</v>
      </c>
      <c r="B10" s="1056">
        <v>0</v>
      </c>
      <c r="C10" s="1049"/>
      <c r="D10" s="1056">
        <v>0</v>
      </c>
      <c r="E10" s="1049"/>
      <c r="F10" s="1057">
        <v>0</v>
      </c>
      <c r="G10" s="1049"/>
    </row>
    <row r="11" spans="1:7">
      <c r="A11" s="159"/>
      <c r="B11" s="420" t="s">
        <v>661</v>
      </c>
      <c r="C11" s="421" t="s">
        <v>662</v>
      </c>
      <c r="D11" s="420" t="s">
        <v>661</v>
      </c>
      <c r="E11" s="421" t="s">
        <v>662</v>
      </c>
      <c r="F11" s="420" t="s">
        <v>661</v>
      </c>
      <c r="G11" s="421" t="s">
        <v>662</v>
      </c>
    </row>
    <row r="12" spans="1:7">
      <c r="A12" s="1063" t="s">
        <v>663</v>
      </c>
      <c r="B12" s="415" t="s">
        <v>664</v>
      </c>
      <c r="C12" s="417"/>
      <c r="D12" s="415" t="s">
        <v>664</v>
      </c>
      <c r="E12" s="417"/>
      <c r="F12" s="415" t="s">
        <v>664</v>
      </c>
      <c r="G12" s="417"/>
    </row>
    <row r="13" spans="1:7">
      <c r="A13" s="1064"/>
      <c r="B13" s="415" t="s">
        <v>665</v>
      </c>
      <c r="C13" s="417"/>
      <c r="D13" s="415" t="s">
        <v>665</v>
      </c>
      <c r="E13" s="417"/>
      <c r="F13" s="415" t="s">
        <v>665</v>
      </c>
      <c r="G13" s="417"/>
    </row>
    <row r="14" spans="1:7">
      <c r="A14" s="1064"/>
      <c r="B14" s="415" t="s">
        <v>666</v>
      </c>
      <c r="C14" s="417"/>
      <c r="D14" s="415" t="s">
        <v>666</v>
      </c>
      <c r="E14" s="417"/>
      <c r="F14" s="415" t="s">
        <v>666</v>
      </c>
      <c r="G14" s="417"/>
    </row>
    <row r="15" spans="1:7">
      <c r="A15" s="1064"/>
      <c r="B15" s="415" t="s">
        <v>667</v>
      </c>
      <c r="C15" s="417"/>
      <c r="D15" s="415" t="s">
        <v>667</v>
      </c>
      <c r="E15" s="417"/>
      <c r="F15" s="415" t="s">
        <v>667</v>
      </c>
      <c r="G15" s="417"/>
    </row>
    <row r="16" spans="1:7">
      <c r="A16" s="1064"/>
      <c r="B16" s="415" t="s">
        <v>668</v>
      </c>
      <c r="C16" s="417"/>
      <c r="D16" s="415" t="s">
        <v>668</v>
      </c>
      <c r="E16" s="417"/>
      <c r="F16" s="415" t="s">
        <v>668</v>
      </c>
      <c r="G16" s="417"/>
    </row>
    <row r="17" spans="1:7">
      <c r="A17" s="1064"/>
      <c r="B17" s="415" t="s">
        <v>669</v>
      </c>
      <c r="C17" s="417"/>
      <c r="D17" s="415" t="s">
        <v>669</v>
      </c>
      <c r="E17" s="417"/>
      <c r="F17" s="415" t="s">
        <v>669</v>
      </c>
      <c r="G17" s="417"/>
    </row>
    <row r="18" spans="1:7">
      <c r="A18" s="1064"/>
      <c r="B18" s="415" t="s">
        <v>670</v>
      </c>
      <c r="C18" s="417"/>
      <c r="D18" s="415" t="s">
        <v>670</v>
      </c>
      <c r="E18" s="417"/>
      <c r="F18" s="415" t="s">
        <v>670</v>
      </c>
      <c r="G18" s="417"/>
    </row>
    <row r="19" spans="1:7">
      <c r="A19" s="1064"/>
      <c r="B19" s="415" t="s">
        <v>671</v>
      </c>
      <c r="C19" s="417"/>
      <c r="D19" s="415" t="s">
        <v>671</v>
      </c>
      <c r="E19" s="417"/>
      <c r="F19" s="415" t="s">
        <v>671</v>
      </c>
      <c r="G19" s="417"/>
    </row>
    <row r="20" spans="1:7">
      <c r="A20" s="1064"/>
      <c r="B20" s="415" t="s">
        <v>672</v>
      </c>
      <c r="C20" s="417"/>
      <c r="D20" s="415" t="s">
        <v>672</v>
      </c>
      <c r="E20" s="417"/>
      <c r="F20" s="415" t="s">
        <v>672</v>
      </c>
      <c r="G20" s="417"/>
    </row>
    <row r="21" spans="1:7">
      <c r="A21" s="1064"/>
      <c r="B21" s="415" t="s">
        <v>673</v>
      </c>
      <c r="C21" s="417"/>
      <c r="D21" s="415" t="s">
        <v>673</v>
      </c>
      <c r="E21" s="417"/>
      <c r="F21" s="415" t="s">
        <v>673</v>
      </c>
      <c r="G21" s="417"/>
    </row>
    <row r="22" spans="1:7">
      <c r="A22" s="1065"/>
      <c r="B22" s="415" t="s">
        <v>674</v>
      </c>
      <c r="C22" s="417"/>
      <c r="D22" s="415" t="s">
        <v>674</v>
      </c>
      <c r="E22" s="417"/>
      <c r="F22" s="415" t="s">
        <v>674</v>
      </c>
      <c r="G22" s="417"/>
    </row>
    <row r="23" spans="1:7">
      <c r="A23" s="159" t="s">
        <v>675</v>
      </c>
      <c r="B23" s="636"/>
      <c r="C23" s="647">
        <v>0</v>
      </c>
      <c r="D23" s="636"/>
      <c r="E23" s="647" t="s">
        <v>1453</v>
      </c>
      <c r="F23" s="637"/>
      <c r="G23" s="647" t="s">
        <v>1453</v>
      </c>
    </row>
    <row r="24" spans="1:7">
      <c r="A24" s="159" t="s">
        <v>676</v>
      </c>
      <c r="B24" s="636"/>
      <c r="C24" s="647">
        <v>0</v>
      </c>
      <c r="D24" s="636"/>
      <c r="E24" s="647" t="s">
        <v>1453</v>
      </c>
      <c r="F24" s="637"/>
      <c r="G24" s="647" t="s">
        <v>1453</v>
      </c>
    </row>
    <row r="25" spans="1:7">
      <c r="A25" s="159" t="s">
        <v>677</v>
      </c>
      <c r="B25" s="636"/>
      <c r="C25" s="647">
        <v>0</v>
      </c>
      <c r="D25" s="636"/>
      <c r="E25" s="647" t="s">
        <v>1453</v>
      </c>
      <c r="F25" s="637"/>
      <c r="G25" s="647" t="s">
        <v>1453</v>
      </c>
    </row>
    <row r="26" spans="1:7">
      <c r="A26" s="159" t="s">
        <v>678</v>
      </c>
      <c r="B26" s="636"/>
      <c r="C26" s="647">
        <v>0</v>
      </c>
      <c r="D26" s="636"/>
      <c r="E26" s="647" t="s">
        <v>1453</v>
      </c>
      <c r="F26" s="637"/>
      <c r="G26" s="647" t="s">
        <v>1453</v>
      </c>
    </row>
    <row r="27" spans="1:7">
      <c r="A27" s="159" t="s">
        <v>679</v>
      </c>
      <c r="B27" s="636"/>
      <c r="C27" s="647">
        <v>0</v>
      </c>
      <c r="D27" s="636"/>
      <c r="E27" s="647" t="s">
        <v>1453</v>
      </c>
      <c r="F27" s="637"/>
      <c r="G27" s="647" t="s">
        <v>1453</v>
      </c>
    </row>
    <row r="28" spans="1:7">
      <c r="A28" s="170" t="s">
        <v>337</v>
      </c>
      <c r="B28" s="526"/>
      <c r="C28" s="648">
        <v>0</v>
      </c>
      <c r="D28" s="526"/>
      <c r="E28" s="648">
        <v>0</v>
      </c>
      <c r="F28" s="524"/>
      <c r="G28" s="648">
        <v>0</v>
      </c>
    </row>
    <row r="30" spans="1:7">
      <c r="A30" s="608"/>
    </row>
    <row r="31" spans="1:7">
      <c r="A31" s="167"/>
    </row>
    <row r="32" spans="1:7">
      <c r="A32" s="168"/>
    </row>
    <row r="33" spans="1:1">
      <c r="A33" s="191"/>
    </row>
    <row r="34" spans="1:1">
      <c r="A34" s="168"/>
    </row>
    <row r="35" spans="1:1">
      <c r="A35" s="168"/>
    </row>
    <row r="36" spans="1:1">
      <c r="A36" s="191"/>
    </row>
  </sheetData>
  <sheetProtection sheet="false"/>
  <mergeCells count="18">
    <mergeCell ref="B10:C10"/>
    <mergeCell ref="D10:E10"/>
    <mergeCell ref="F10:G10"/>
    <mergeCell ref="A12:A22"/>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02" right="0.74803149606299202" top="0.98425196850393704" bottom="0.98425196850393704" header="0.511811023622047" footer="0.511811023622047"/>
  <pageSetup paperSize="9" orientation="landscape"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G25"/>
  <sheetViews>
    <sheetView workbookViewId="0">
      <selection activeCell="H39" sqref="H39"/>
    </sheetView>
  </sheetViews>
  <sheetFormatPr baseColWidth="10" defaultColWidth="11.19921875" defaultRowHeight="14.5"/>
  <cols>
    <col min="1" max="1" customWidth="true" style="346" width="104.0" collapsed="true"/>
    <col min="2" max="16384" style="346" width="11.19921875" collapsed="true"/>
  </cols>
  <sheetData>
    <row r="1" spans="1:7" ht="18" customHeight="1">
      <c r="A1" s="1021" t="s">
        <v>1412</v>
      </c>
      <c r="B1" s="1021"/>
      <c r="C1" s="1021"/>
      <c r="D1" s="1021"/>
      <c r="E1" s="1021"/>
      <c r="F1" s="1021"/>
      <c r="G1" s="1021"/>
    </row>
    <row r="2" spans="1:7">
      <c r="A2" s="347"/>
      <c r="B2" s="347"/>
      <c r="C2" s="347"/>
      <c r="D2" s="347"/>
      <c r="E2" s="347"/>
      <c r="F2" s="347"/>
      <c r="G2" s="347"/>
    </row>
    <row r="3" spans="1:7">
      <c r="A3" s="1022" t="s">
        <v>486</v>
      </c>
      <c r="B3" s="1022"/>
      <c r="C3" s="1022"/>
      <c r="D3" s="347"/>
      <c r="E3" s="350" t="s">
        <v>487</v>
      </c>
      <c r="F3" s="980">
        <v>44926</v>
      </c>
      <c r="G3" s="1066"/>
    </row>
    <row r="4" spans="1:7">
      <c r="A4" s="976" t="s">
        <v>1423</v>
      </c>
      <c r="B4" s="1023"/>
      <c r="C4" s="1023"/>
      <c r="D4" s="347"/>
      <c r="E4" s="1067" t="s">
        <v>488</v>
      </c>
      <c r="F4" s="965">
        <v>12</v>
      </c>
      <c r="G4" s="1068"/>
    </row>
    <row r="5" spans="1:7">
      <c r="A5" s="347" t="s">
        <v>489</v>
      </c>
      <c r="B5" s="983" t="s">
        <v>1426</v>
      </c>
      <c r="C5" s="1026"/>
      <c r="D5" s="347"/>
      <c r="E5" s="1067"/>
      <c r="F5" s="1025"/>
      <c r="G5" s="1025"/>
    </row>
    <row r="6" spans="1:7">
      <c r="A6" s="347"/>
      <c r="B6" s="347"/>
      <c r="C6" s="347"/>
      <c r="D6" s="347"/>
      <c r="E6" s="347"/>
      <c r="F6" s="347"/>
      <c r="G6" s="347"/>
    </row>
    <row r="7" spans="1:7" ht="15" customHeight="1">
      <c r="A7" s="1075" t="s">
        <v>339</v>
      </c>
      <c r="B7" s="1077" t="s">
        <v>658</v>
      </c>
      <c r="C7" s="1078"/>
    </row>
    <row r="8" spans="1:7">
      <c r="A8" s="1076"/>
      <c r="B8" s="1079"/>
      <c r="C8" s="1080"/>
    </row>
    <row r="9" spans="1:7">
      <c r="A9" s="349" t="s">
        <v>1411</v>
      </c>
      <c r="B9" s="1070">
        <v>0</v>
      </c>
      <c r="C9" s="1071"/>
    </row>
    <row r="10" spans="1:7">
      <c r="A10" s="349" t="s">
        <v>659</v>
      </c>
      <c r="B10" s="1056">
        <v>0</v>
      </c>
      <c r="C10" s="1069"/>
    </row>
    <row r="11" spans="1:7">
      <c r="A11" s="349" t="s">
        <v>660</v>
      </c>
      <c r="B11" s="1070">
        <v>0</v>
      </c>
      <c r="C11" s="1071"/>
    </row>
    <row r="12" spans="1:7">
      <c r="A12" s="1072" t="s">
        <v>663</v>
      </c>
      <c r="B12" s="422" t="s">
        <v>661</v>
      </c>
      <c r="C12" s="422" t="s">
        <v>662</v>
      </c>
    </row>
    <row r="13" spans="1:7" ht="56.25" customHeight="1">
      <c r="A13" s="1073"/>
      <c r="B13" s="351" t="s">
        <v>1410</v>
      </c>
      <c r="C13" s="628">
        <v>0</v>
      </c>
    </row>
    <row r="14" spans="1:7">
      <c r="A14" s="1073"/>
      <c r="B14" s="352"/>
      <c r="C14" s="352"/>
    </row>
    <row r="15" spans="1:7">
      <c r="A15" s="1073"/>
      <c r="B15" s="352"/>
      <c r="C15" s="352"/>
    </row>
    <row r="16" spans="1:7">
      <c r="A16" s="1074"/>
      <c r="B16" s="352"/>
      <c r="C16" s="352"/>
    </row>
    <row r="17" spans="1:5" ht="14.25" customHeight="1">
      <c r="A17" s="349" t="s">
        <v>675</v>
      </c>
      <c r="B17" s="512"/>
      <c r="C17" s="610">
        <v>0</v>
      </c>
      <c r="E17" s="632">
        <v>0</v>
      </c>
    </row>
    <row r="18" spans="1:5" ht="14.25" customHeight="1">
      <c r="A18" s="349" t="s">
        <v>676</v>
      </c>
      <c r="B18" s="610">
        <v>0</v>
      </c>
      <c r="C18" s="610">
        <v>0</v>
      </c>
    </row>
    <row r="19" spans="1:5" ht="14.25" customHeight="1">
      <c r="A19" s="349" t="s">
        <v>677</v>
      </c>
      <c r="B19" s="634">
        <v>0</v>
      </c>
      <c r="C19" s="512"/>
    </row>
    <row r="20" spans="1:5" ht="18" customHeight="1">
      <c r="A20" s="349" t="s">
        <v>678</v>
      </c>
      <c r="B20" s="610">
        <v>0</v>
      </c>
      <c r="C20" s="610">
        <v>0</v>
      </c>
    </row>
    <row r="21" spans="1:5" ht="17.25" customHeight="1">
      <c r="A21" s="349" t="s">
        <v>679</v>
      </c>
      <c r="B21" s="610">
        <v>0</v>
      </c>
      <c r="C21" s="610">
        <v>0</v>
      </c>
    </row>
    <row r="22" spans="1:5">
      <c r="A22" s="353" t="s">
        <v>337</v>
      </c>
      <c r="B22" s="649">
        <v>0</v>
      </c>
      <c r="C22" s="649">
        <v>0</v>
      </c>
    </row>
    <row r="25" spans="1:5">
      <c r="A25" s="632"/>
    </row>
  </sheetData>
  <sheetProtection sheet="false"/>
  <mergeCells count="13">
    <mergeCell ref="B10:C10"/>
    <mergeCell ref="B11:C11"/>
    <mergeCell ref="A12:A16"/>
    <mergeCell ref="A7:A8"/>
    <mergeCell ref="B7:C8"/>
    <mergeCell ref="B9:C9"/>
    <mergeCell ref="A1:G1"/>
    <mergeCell ref="A3:C3"/>
    <mergeCell ref="F3:G3"/>
    <mergeCell ref="A4:C4"/>
    <mergeCell ref="E4:E5"/>
    <mergeCell ref="F4:G5"/>
    <mergeCell ref="B5:C5"/>
  </mergeCells>
  <pageMargins left="0.7" right="0.7" top="0.75" bottom="0.75" header="0.3" footer="0.3"/>
  <pageSetup paperSize="9" scale="85"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30"/>
  <sheetViews>
    <sheetView topLeftCell="A10" workbookViewId="0">
      <selection activeCell="H39" sqref="H39"/>
    </sheetView>
  </sheetViews>
  <sheetFormatPr baseColWidth="10" defaultColWidth="11.19921875" defaultRowHeight="14.5"/>
  <cols>
    <col min="1" max="1" customWidth="true" style="346" width="80.796875" collapsed="true"/>
    <col min="2" max="16384" style="346" width="11.19921875" collapsed="true"/>
  </cols>
  <sheetData>
    <row r="1" spans="1:7" ht="18" customHeight="1">
      <c r="A1" s="1021" t="s">
        <v>1412</v>
      </c>
      <c r="B1" s="1021"/>
      <c r="C1" s="1021"/>
      <c r="D1" s="1021"/>
      <c r="E1" s="1021"/>
      <c r="F1" s="1021"/>
      <c r="G1" s="1021"/>
    </row>
    <row r="2" spans="1:7">
      <c r="A2" s="347"/>
      <c r="B2" s="347"/>
      <c r="C2" s="347"/>
      <c r="D2" s="347"/>
      <c r="E2" s="347"/>
      <c r="F2" s="347"/>
      <c r="G2" s="347"/>
    </row>
    <row r="3" spans="1:7">
      <c r="A3" s="1022" t="s">
        <v>486</v>
      </c>
      <c r="B3" s="1022"/>
      <c r="C3" s="1022"/>
      <c r="D3" s="347"/>
      <c r="E3" s="350" t="s">
        <v>487</v>
      </c>
      <c r="F3" s="980">
        <v>44926</v>
      </c>
      <c r="G3" s="1066"/>
    </row>
    <row r="4" spans="1:7">
      <c r="A4" s="976" t="s">
        <v>1423</v>
      </c>
      <c r="B4" s="1023"/>
      <c r="C4" s="1023"/>
      <c r="D4" s="347"/>
      <c r="E4" s="1067" t="s">
        <v>488</v>
      </c>
      <c r="F4" s="965">
        <v>12</v>
      </c>
      <c r="G4" s="1068"/>
    </row>
    <row r="5" spans="1:7">
      <c r="A5" s="347" t="s">
        <v>489</v>
      </c>
      <c r="B5" s="983" t="s">
        <v>1426</v>
      </c>
      <c r="C5" s="1026"/>
      <c r="D5" s="347"/>
      <c r="E5" s="1067"/>
      <c r="F5" s="1025"/>
      <c r="G5" s="1025"/>
    </row>
    <row r="6" spans="1:7">
      <c r="A6" s="347"/>
      <c r="B6" s="347"/>
      <c r="C6" s="347"/>
      <c r="D6" s="347"/>
      <c r="E6" s="347"/>
      <c r="F6" s="347"/>
      <c r="G6" s="347"/>
    </row>
    <row r="7" spans="1:7">
      <c r="A7" s="1075" t="s">
        <v>339</v>
      </c>
      <c r="B7" s="1077" t="s">
        <v>658</v>
      </c>
      <c r="C7" s="1078"/>
    </row>
    <row r="8" spans="1:7">
      <c r="A8" s="1076"/>
      <c r="B8" s="1079"/>
      <c r="C8" s="1080"/>
    </row>
    <row r="9" spans="1:7" ht="16.5" customHeight="1">
      <c r="A9" s="349" t="s">
        <v>1411</v>
      </c>
      <c r="B9" s="1070">
        <v>0</v>
      </c>
      <c r="C9" s="1071"/>
    </row>
    <row r="10" spans="1:7" ht="16.5" customHeight="1">
      <c r="A10" s="349" t="s">
        <v>659</v>
      </c>
      <c r="B10" s="1083">
        <v>0</v>
      </c>
      <c r="C10" s="1084"/>
    </row>
    <row r="11" spans="1:7">
      <c r="A11" s="349" t="s">
        <v>660</v>
      </c>
      <c r="B11" s="1081">
        <v>0</v>
      </c>
      <c r="C11" s="1082"/>
    </row>
    <row r="12" spans="1:7">
      <c r="A12" s="1072" t="s">
        <v>663</v>
      </c>
      <c r="B12" s="422" t="s">
        <v>661</v>
      </c>
      <c r="C12" s="422" t="s">
        <v>662</v>
      </c>
    </row>
    <row r="13" spans="1:7" ht="45" customHeight="1">
      <c r="A13" s="1073"/>
      <c r="B13" s="351" t="s">
        <v>1413</v>
      </c>
      <c r="C13" s="628">
        <v>0</v>
      </c>
    </row>
    <row r="14" spans="1:7">
      <c r="A14" s="1073"/>
      <c r="B14" s="352"/>
      <c r="C14" s="352"/>
    </row>
    <row r="15" spans="1:7">
      <c r="A15" s="1074"/>
      <c r="B15" s="352"/>
      <c r="C15" s="352"/>
    </row>
    <row r="16" spans="1:7">
      <c r="A16" s="349" t="s">
        <v>675</v>
      </c>
      <c r="B16" s="512"/>
      <c r="C16" s="512"/>
    </row>
    <row r="17" spans="1:3">
      <c r="A17" s="349" t="s">
        <v>676</v>
      </c>
      <c r="B17" s="610">
        <v>0</v>
      </c>
      <c r="C17" s="610">
        <v>0</v>
      </c>
    </row>
    <row r="18" spans="1:3">
      <c r="A18" s="349" t="s">
        <v>677</v>
      </c>
      <c r="B18" s="610">
        <v>0</v>
      </c>
      <c r="C18" s="610">
        <v>0</v>
      </c>
    </row>
    <row r="19" spans="1:3">
      <c r="A19" s="349" t="s">
        <v>678</v>
      </c>
      <c r="B19" s="610">
        <v>0</v>
      </c>
      <c r="C19" s="610">
        <v>0</v>
      </c>
    </row>
    <row r="20" spans="1:3">
      <c r="A20" s="349" t="s">
        <v>679</v>
      </c>
      <c r="B20" s="610">
        <v>0</v>
      </c>
      <c r="C20" s="610">
        <v>0</v>
      </c>
    </row>
    <row r="21" spans="1:3">
      <c r="A21" s="353" t="s">
        <v>337</v>
      </c>
      <c r="B21" s="643">
        <v>0</v>
      </c>
      <c r="C21" s="643">
        <v>0</v>
      </c>
    </row>
    <row r="28" spans="1:3">
      <c r="B28" s="650">
        <v>0</v>
      </c>
      <c r="C28" s="650">
        <v>0</v>
      </c>
    </row>
    <row r="30" spans="1:3">
      <c r="A30" s="632"/>
    </row>
  </sheetData>
  <sheetProtection sheet="false"/>
  <mergeCells count="13">
    <mergeCell ref="A1:G1"/>
    <mergeCell ref="A3:C3"/>
    <mergeCell ref="F3:G3"/>
    <mergeCell ref="A4:C4"/>
    <mergeCell ref="E4:E5"/>
    <mergeCell ref="F4:G5"/>
    <mergeCell ref="B5:C5"/>
    <mergeCell ref="A7:A8"/>
    <mergeCell ref="B7:C8"/>
    <mergeCell ref="B9:C9"/>
    <mergeCell ref="B11:C11"/>
    <mergeCell ref="A12:A15"/>
    <mergeCell ref="B10:C10"/>
  </mergeCells>
  <pageMargins left="0.7" right="0.7" top="0.75" bottom="0.75" header="0.3" footer="0.3"/>
  <pageSetup paperSize="9" scale="9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D21"/>
  <sheetViews>
    <sheetView topLeftCell="A10" workbookViewId="0">
      <selection activeCell="H39" sqref="H39"/>
    </sheetView>
  </sheetViews>
  <sheetFormatPr baseColWidth="10" defaultColWidth="12" defaultRowHeight="13"/>
  <cols>
    <col min="1" max="1" customWidth="true" style="157" width="39.5" collapsed="true"/>
    <col min="2" max="2" customWidth="true" style="157" width="24.5" collapsed="true"/>
    <col min="3" max="3" customWidth="true" style="157" width="26.5" collapsed="true"/>
    <col min="4" max="4" customWidth="true" style="157" width="21.5" collapsed="true"/>
    <col min="5" max="16384" style="157" width="12.0" collapsed="true"/>
  </cols>
  <sheetData>
    <row r="1" spans="1:4" ht="18" customHeight="1">
      <c r="A1" s="959" t="s">
        <v>680</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61" t="s">
        <v>722</v>
      </c>
      <c r="D7" s="1062" t="s">
        <v>614</v>
      </c>
    </row>
    <row r="8" spans="1:4" s="172" customFormat="1" ht="25.15" customHeight="1">
      <c r="A8" s="1040"/>
      <c r="B8" s="1044"/>
      <c r="C8" s="1061"/>
      <c r="D8" s="1062"/>
    </row>
    <row r="9" spans="1:4" ht="26">
      <c r="A9" s="280" t="s">
        <v>681</v>
      </c>
      <c r="B9" s="636">
        <v>0</v>
      </c>
      <c r="C9" s="610">
        <v>0</v>
      </c>
      <c r="D9" s="610">
        <v>0</v>
      </c>
    </row>
    <row r="10" spans="1:4">
      <c r="A10" s="280" t="s">
        <v>682</v>
      </c>
      <c r="B10" s="636">
        <v>0</v>
      </c>
      <c r="C10" s="610">
        <v>0</v>
      </c>
      <c r="D10" s="610">
        <v>0</v>
      </c>
    </row>
    <row r="11" spans="1:4">
      <c r="A11" s="280" t="s">
        <v>683</v>
      </c>
      <c r="B11" s="636">
        <v>0</v>
      </c>
      <c r="C11" s="610">
        <v>0</v>
      </c>
      <c r="D11" s="610">
        <v>0</v>
      </c>
    </row>
    <row r="12" spans="1:4">
      <c r="A12" s="280" t="s">
        <v>684</v>
      </c>
      <c r="B12" s="636">
        <v>0</v>
      </c>
      <c r="C12" s="610">
        <v>0</v>
      </c>
      <c r="D12" s="610">
        <v>0</v>
      </c>
    </row>
    <row r="13" spans="1:4">
      <c r="A13" s="280" t="s">
        <v>685</v>
      </c>
      <c r="B13" s="636">
        <v>0</v>
      </c>
      <c r="C13" s="610">
        <v>0</v>
      </c>
      <c r="D13" s="610">
        <v>0</v>
      </c>
    </row>
    <row r="14" spans="1:4">
      <c r="A14" s="280" t="s">
        <v>594</v>
      </c>
      <c r="B14" s="636">
        <v>0</v>
      </c>
      <c r="C14" s="610">
        <v>0</v>
      </c>
      <c r="D14" s="610">
        <v>0</v>
      </c>
    </row>
    <row r="15" spans="1:4">
      <c r="A15" s="280" t="s">
        <v>686</v>
      </c>
      <c r="B15" s="636">
        <v>0</v>
      </c>
      <c r="C15" s="610">
        <v>0</v>
      </c>
      <c r="D15" s="610">
        <v>0</v>
      </c>
    </row>
    <row r="16" spans="1:4">
      <c r="A16" s="294" t="s">
        <v>628</v>
      </c>
      <c r="B16" s="651">
        <v>0</v>
      </c>
      <c r="C16" s="612">
        <v>0</v>
      </c>
      <c r="D16" s="612">
        <v>0</v>
      </c>
    </row>
    <row r="17" spans="1:4">
      <c r="A17" s="280" t="s">
        <v>687</v>
      </c>
      <c r="B17" s="636">
        <v>0</v>
      </c>
      <c r="C17" s="610">
        <v>0</v>
      </c>
      <c r="D17" s="610">
        <v>0</v>
      </c>
    </row>
    <row r="18" spans="1:4">
      <c r="A18" s="280"/>
      <c r="B18" s="525"/>
      <c r="C18" s="503"/>
      <c r="D18" s="503"/>
    </row>
    <row r="19" spans="1:4">
      <c r="A19" s="295" t="s">
        <v>113</v>
      </c>
      <c r="B19" s="638">
        <v>0</v>
      </c>
      <c r="C19" s="643">
        <v>0</v>
      </c>
      <c r="D19" s="643">
        <v>0</v>
      </c>
    </row>
    <row r="20" spans="1:4">
      <c r="A20" s="296" t="s">
        <v>528</v>
      </c>
    </row>
    <row r="21" spans="1:4">
      <c r="A21" s="608"/>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xr:uid="{00000000-0002-0000-1800-000000000000}">
      <formula1>0</formula1>
    </dataValidation>
  </dataValidations>
  <pageMargins left="0.74803149606299202" right="0.74803149606299202" top="0.98425196850393704" bottom="0.98425196850393704" header="0.511811023622047" footer="0.511811023622047"/>
  <pageSetup paperSize="9" orientation="landscape"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D21"/>
  <sheetViews>
    <sheetView topLeftCell="A4" workbookViewId="0">
      <selection activeCell="H39" sqref="H39"/>
    </sheetView>
  </sheetViews>
  <sheetFormatPr baseColWidth="10" defaultColWidth="12" defaultRowHeight="13"/>
  <cols>
    <col min="1" max="1" customWidth="true" style="157" width="39.5" collapsed="true"/>
    <col min="2" max="2" customWidth="true" style="157" width="20.0" collapsed="true"/>
    <col min="3" max="4" customWidth="true" style="157" width="19.796875" collapsed="true"/>
    <col min="5" max="16384" style="157" width="12.0" collapsed="true"/>
  </cols>
  <sheetData>
    <row r="1" spans="1:4" ht="18" customHeight="1">
      <c r="A1" s="959" t="s">
        <v>688</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41" t="s">
        <v>722</v>
      </c>
      <c r="D7" s="1053" t="s">
        <v>614</v>
      </c>
    </row>
    <row r="8" spans="1:4" s="172" customFormat="1" ht="25.15" customHeight="1">
      <c r="A8" s="1040"/>
      <c r="B8" s="1044"/>
      <c r="C8" s="1044"/>
      <c r="D8" s="1055"/>
    </row>
    <row r="9" spans="1:4">
      <c r="A9" s="280" t="s">
        <v>689</v>
      </c>
      <c r="B9" s="636">
        <v>0</v>
      </c>
      <c r="C9" s="636">
        <v>0</v>
      </c>
      <c r="D9" s="776">
        <v>0</v>
      </c>
    </row>
    <row r="10" spans="1:4">
      <c r="A10" s="280" t="s">
        <v>690</v>
      </c>
      <c r="B10" s="636">
        <v>0</v>
      </c>
      <c r="C10" s="636">
        <v>0</v>
      </c>
      <c r="D10" s="776">
        <v>0</v>
      </c>
    </row>
    <row r="11" spans="1:4">
      <c r="A11" s="280" t="s">
        <v>691</v>
      </c>
      <c r="B11" s="636">
        <v>0</v>
      </c>
      <c r="C11" s="636">
        <v>0</v>
      </c>
      <c r="D11" s="776">
        <v>0</v>
      </c>
    </row>
    <row r="12" spans="1:4">
      <c r="A12" s="280" t="s">
        <v>692</v>
      </c>
      <c r="B12" s="636">
        <v>0</v>
      </c>
      <c r="C12" s="636">
        <v>0</v>
      </c>
      <c r="D12" s="776">
        <v>0</v>
      </c>
    </row>
    <row r="13" spans="1:4">
      <c r="A13" s="280" t="s">
        <v>693</v>
      </c>
      <c r="B13" s="636">
        <v>0</v>
      </c>
      <c r="C13" s="636">
        <v>0</v>
      </c>
      <c r="D13" s="776">
        <v>0</v>
      </c>
    </row>
    <row r="14" spans="1:4">
      <c r="A14" s="280" t="s">
        <v>694</v>
      </c>
      <c r="B14" s="636">
        <v>0</v>
      </c>
      <c r="C14" s="636">
        <v>0</v>
      </c>
      <c r="D14" s="776">
        <v>0</v>
      </c>
    </row>
    <row r="15" spans="1:4">
      <c r="A15" s="294" t="s">
        <v>695</v>
      </c>
      <c r="B15" s="651">
        <v>0</v>
      </c>
      <c r="C15" s="651">
        <v>0</v>
      </c>
      <c r="D15" s="777">
        <v>0</v>
      </c>
    </row>
    <row r="16" spans="1:4">
      <c r="A16" s="280" t="s">
        <v>696</v>
      </c>
      <c r="B16" s="636">
        <v>0</v>
      </c>
      <c r="C16" s="636">
        <v>0</v>
      </c>
      <c r="D16" s="776">
        <v>0</v>
      </c>
    </row>
    <row r="17" spans="1:4">
      <c r="A17" s="280"/>
      <c r="B17" s="525"/>
      <c r="C17" s="525"/>
      <c r="D17" s="778"/>
    </row>
    <row r="18" spans="1:4" ht="22.9" customHeight="1">
      <c r="A18" s="295" t="s">
        <v>113</v>
      </c>
      <c r="B18" s="638">
        <v>0</v>
      </c>
      <c r="C18" s="638">
        <v>0</v>
      </c>
      <c r="D18" s="779">
        <v>0</v>
      </c>
    </row>
    <row r="19" spans="1:4">
      <c r="A19" s="167" t="s">
        <v>528</v>
      </c>
    </row>
    <row r="20" spans="1:4">
      <c r="A20" s="191"/>
    </row>
    <row r="21" spans="1:4">
      <c r="A21" s="608"/>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xr:uid="{00000000-0002-0000-1900-000000000000}">
      <formula1>0</formula1>
    </dataValidation>
  </dataValidations>
  <pageMargins left="0.74803149606299202" right="0.74803149606299202" top="0.98425196850393704" bottom="0.98425196850393704" header="0.511811023622047" footer="0.511811023622047"/>
  <pageSetup paperSize="9" orientation="landscape"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26"/>
  <sheetViews>
    <sheetView topLeftCell="A16" workbookViewId="0">
      <selection activeCell="H39" sqref="H39"/>
    </sheetView>
  </sheetViews>
  <sheetFormatPr baseColWidth="10" defaultColWidth="12" defaultRowHeight="13"/>
  <cols>
    <col min="1" max="1" customWidth="true" style="157" width="39.5" collapsed="true"/>
    <col min="2" max="2" customWidth="true" style="157" width="21.5" collapsed="true"/>
    <col min="3" max="3" customWidth="true" style="157" width="18.796875" collapsed="true"/>
    <col min="4" max="4" customWidth="true" style="157" width="22.5" collapsed="true"/>
    <col min="5" max="16384" style="157" width="12.0" collapsed="true"/>
  </cols>
  <sheetData>
    <row r="1" spans="1:4" ht="18" customHeight="1">
      <c r="A1" s="959" t="s">
        <v>697</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41" t="s">
        <v>722</v>
      </c>
      <c r="D7" s="1053" t="s">
        <v>614</v>
      </c>
    </row>
    <row r="8" spans="1:4" s="172" customFormat="1" ht="25.15" customHeight="1">
      <c r="A8" s="1040"/>
      <c r="B8" s="1044"/>
      <c r="C8" s="1044"/>
      <c r="D8" s="1055"/>
    </row>
    <row r="9" spans="1:4">
      <c r="A9" s="280" t="s">
        <v>698</v>
      </c>
      <c r="B9" s="752">
        <v>1194594708.3099999</v>
      </c>
      <c r="C9" s="752">
        <v>875456948.82000005</v>
      </c>
      <c r="D9" s="771">
        <v>36.450000000000003</v>
      </c>
    </row>
    <row r="10" spans="1:4">
      <c r="A10" s="280" t="s">
        <v>699</v>
      </c>
      <c r="B10" s="752">
        <v>0</v>
      </c>
      <c r="C10" s="752">
        <v>0</v>
      </c>
      <c r="D10" s="771">
        <v>0</v>
      </c>
    </row>
    <row r="11" spans="1:4">
      <c r="A11" s="280" t="s">
        <v>700</v>
      </c>
      <c r="B11" s="752">
        <v>0</v>
      </c>
      <c r="C11" s="752">
        <v>0</v>
      </c>
      <c r="D11" s="771">
        <v>0</v>
      </c>
    </row>
    <row r="12" spans="1:4">
      <c r="A12" s="280" t="s">
        <v>701</v>
      </c>
      <c r="B12" s="752">
        <v>10804284916.51</v>
      </c>
      <c r="C12" s="752">
        <v>15535156998.4</v>
      </c>
      <c r="D12" s="771">
        <v>-30.46</v>
      </c>
    </row>
    <row r="13" spans="1:4">
      <c r="A13" s="280" t="s">
        <v>702</v>
      </c>
      <c r="B13" s="752">
        <v>0</v>
      </c>
      <c r="C13" s="752">
        <v>0</v>
      </c>
      <c r="D13" s="771">
        <v>0</v>
      </c>
    </row>
    <row r="14" spans="1:4">
      <c r="A14" s="280" t="s">
        <v>703</v>
      </c>
      <c r="B14" s="752">
        <v>0</v>
      </c>
      <c r="C14" s="752">
        <v>0</v>
      </c>
      <c r="D14" s="771">
        <v>0</v>
      </c>
    </row>
    <row r="15" spans="1:4">
      <c r="A15" s="280" t="s">
        <v>704</v>
      </c>
      <c r="B15" s="752">
        <v>0</v>
      </c>
      <c r="C15" s="752">
        <v>0</v>
      </c>
      <c r="D15" s="771">
        <v>0</v>
      </c>
    </row>
    <row r="16" spans="1:4">
      <c r="A16" s="280" t="s">
        <v>705</v>
      </c>
      <c r="B16" s="752">
        <v>0</v>
      </c>
      <c r="C16" s="752">
        <v>0</v>
      </c>
      <c r="D16" s="771">
        <v>0</v>
      </c>
    </row>
    <row r="17" spans="1:4">
      <c r="A17" s="280" t="s">
        <v>706</v>
      </c>
      <c r="B17" s="752">
        <v>0</v>
      </c>
      <c r="C17" s="752">
        <v>0</v>
      </c>
      <c r="D17" s="771">
        <v>0</v>
      </c>
    </row>
    <row r="18" spans="1:4">
      <c r="A18" s="280" t="s">
        <v>707</v>
      </c>
      <c r="B18" s="752">
        <v>20465947.129999999</v>
      </c>
      <c r="C18" s="752">
        <v>7456299.5099999998</v>
      </c>
      <c r="D18" s="771">
        <v>174.47</v>
      </c>
    </row>
    <row r="19" spans="1:4">
      <c r="A19" s="280" t="s">
        <v>708</v>
      </c>
      <c r="B19" s="752">
        <v>7684865</v>
      </c>
      <c r="C19" s="752">
        <v>14085815</v>
      </c>
      <c r="D19" s="771">
        <v>-45.45</v>
      </c>
    </row>
    <row r="20" spans="1:4">
      <c r="A20" s="280" t="s">
        <v>709</v>
      </c>
      <c r="B20" s="752">
        <v>0</v>
      </c>
      <c r="C20" s="752">
        <v>0</v>
      </c>
      <c r="D20" s="771">
        <v>0</v>
      </c>
    </row>
    <row r="21" spans="1:4">
      <c r="A21" s="294" t="s">
        <v>710</v>
      </c>
      <c r="B21" s="716">
        <v>12027030436.950001</v>
      </c>
      <c r="C21" s="716">
        <v>16432156061.73</v>
      </c>
      <c r="D21" s="780">
        <v>-26.81</v>
      </c>
    </row>
    <row r="22" spans="1:4">
      <c r="A22" s="280" t="s">
        <v>711</v>
      </c>
      <c r="B22" s="752">
        <v>0</v>
      </c>
      <c r="C22" s="752">
        <v>0</v>
      </c>
      <c r="D22" s="771">
        <v>0</v>
      </c>
    </row>
    <row r="23" spans="1:4">
      <c r="A23" s="280"/>
      <c r="B23" s="754"/>
      <c r="C23" s="754"/>
      <c r="D23" s="781"/>
    </row>
    <row r="24" spans="1:4" ht="23.65" customHeight="1">
      <c r="A24" s="295" t="s">
        <v>113</v>
      </c>
      <c r="B24" s="718">
        <v>12027030436.950001</v>
      </c>
      <c r="C24" s="718">
        <v>16432156061.73</v>
      </c>
      <c r="D24" s="782">
        <v>-26.81</v>
      </c>
    </row>
    <row r="25" spans="1:4">
      <c r="A25" s="296" t="s">
        <v>528</v>
      </c>
    </row>
    <row r="26" spans="1:4" ht="45.65" customHeight="1">
      <c r="A26" s="1027" t="s">
        <v>1490</v>
      </c>
      <c r="B26" s="1027"/>
      <c r="C26" s="1027"/>
      <c r="D26" s="1027"/>
    </row>
  </sheetData>
  <sheetProtection sheet="false"/>
  <mergeCells count="9">
    <mergeCell ref="A26:D26"/>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xr:uid="{00000000-0002-0000-1A00-000000000000}">
      <formula1>0</formula1>
    </dataValidation>
  </dataValidations>
  <pageMargins left="0.74803149606299202" right="0.74803149606299202" top="0.98425196850393704" bottom="0.98425196850393704" header="0.511811023622047" footer="0.511811023622047"/>
  <pageSetup paperSize="9" orientation="landscape"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G34"/>
  <sheetViews>
    <sheetView topLeftCell="A17" workbookViewId="0">
      <selection activeCell="F26" sqref="F26:G26"/>
    </sheetView>
  </sheetViews>
  <sheetFormatPr baseColWidth="10" defaultColWidth="12" defaultRowHeight="13"/>
  <cols>
    <col min="1" max="1" customWidth="true" style="157" width="39.5" collapsed="true"/>
    <col min="2" max="2" bestFit="true" customWidth="true" style="157" width="9.5" collapsed="true"/>
    <col min="3" max="3" bestFit="true" customWidth="true" style="157" width="11.296875" collapsed="true"/>
    <col min="4" max="4" customWidth="true" style="157" width="9.5" collapsed="true"/>
    <col min="5" max="7" customWidth="true" style="157" width="13.69921875" collapsed="true"/>
    <col min="8" max="16384" style="157" width="12.0" collapsed="true"/>
  </cols>
  <sheetData>
    <row r="1" spans="1:7" ht="18" customHeight="1">
      <c r="A1" s="959" t="s">
        <v>712</v>
      </c>
      <c r="B1" s="959"/>
      <c r="C1" s="959"/>
      <c r="D1" s="959"/>
      <c r="E1" s="959"/>
      <c r="F1" s="959"/>
      <c r="G1" s="959"/>
    </row>
    <row r="2" spans="1:7" ht="8.15" customHeight="1"/>
    <row r="3" spans="1:7" ht="12.75" customHeight="1">
      <c r="A3" s="960" t="s">
        <v>486</v>
      </c>
      <c r="B3" s="960"/>
      <c r="C3" s="960"/>
      <c r="E3" s="169" t="s">
        <v>487</v>
      </c>
      <c r="F3" s="980">
        <v>44926</v>
      </c>
      <c r="G3" s="981"/>
    </row>
    <row r="4" spans="1:7" ht="15" customHeight="1">
      <c r="A4" s="976" t="s">
        <v>1423</v>
      </c>
      <c r="B4" s="977"/>
      <c r="C4" s="977"/>
      <c r="E4" s="982" t="s">
        <v>488</v>
      </c>
      <c r="F4" s="965">
        <v>12</v>
      </c>
      <c r="G4" s="966"/>
    </row>
    <row r="5" spans="1:7" ht="15" customHeight="1">
      <c r="A5" s="157" t="s">
        <v>489</v>
      </c>
      <c r="B5" s="983" t="s">
        <v>1426</v>
      </c>
      <c r="C5" s="984"/>
      <c r="E5" s="982"/>
      <c r="F5" s="962"/>
      <c r="G5" s="962"/>
    </row>
    <row r="6" spans="1:7" ht="8.15" customHeight="1"/>
    <row r="7" spans="1:7" s="172" customFormat="1" ht="25.15" customHeight="1">
      <c r="A7" s="969" t="s">
        <v>339</v>
      </c>
      <c r="B7" s="1002" t="s">
        <v>713</v>
      </c>
      <c r="C7" s="1041" t="s">
        <v>714</v>
      </c>
      <c r="D7" s="1043"/>
      <c r="E7" s="1039" t="s">
        <v>715</v>
      </c>
      <c r="F7" s="1039" t="s">
        <v>716</v>
      </c>
      <c r="G7" s="1002" t="s">
        <v>717</v>
      </c>
    </row>
    <row r="8" spans="1:7" s="172" customFormat="1" ht="25.15" customHeight="1">
      <c r="A8" s="1040"/>
      <c r="B8" s="994"/>
      <c r="C8" s="1044"/>
      <c r="D8" s="1046"/>
      <c r="E8" s="997"/>
      <c r="F8" s="997"/>
      <c r="G8" s="994"/>
    </row>
    <row r="9" spans="1:7" ht="25.5" customHeight="1">
      <c r="A9" s="280" t="s">
        <v>718</v>
      </c>
      <c r="B9" s="628" t="s">
        <v>1453</v>
      </c>
      <c r="C9" s="1085"/>
      <c r="D9" s="1086"/>
      <c r="E9" s="617">
        <v>0</v>
      </c>
      <c r="F9" s="610">
        <v>0</v>
      </c>
      <c r="G9" s="610">
        <v>0</v>
      </c>
    </row>
    <row r="10" spans="1:7" ht="25.5" customHeight="1">
      <c r="A10" s="712" t="s">
        <v>1510</v>
      </c>
      <c r="B10" s="713" t="s">
        <v>1512</v>
      </c>
      <c r="C10" s="1087">
        <v>105301176</v>
      </c>
      <c r="D10" s="1086"/>
      <c r="E10" s="711">
        <v>506</v>
      </c>
      <c r="F10" s="503">
        <v>615</v>
      </c>
      <c r="G10" s="805">
        <f>F10/E10-1</f>
        <v>0.21541501976284594</v>
      </c>
    </row>
    <row r="11" spans="1:7" ht="25.5" customHeight="1">
      <c r="A11" s="712" t="s">
        <v>1511</v>
      </c>
      <c r="B11" s="714" t="s">
        <v>1512</v>
      </c>
      <c r="C11" s="1085">
        <v>381210590</v>
      </c>
      <c r="D11" s="1086"/>
      <c r="E11" s="617">
        <v>506</v>
      </c>
      <c r="F11" s="796">
        <v>615</v>
      </c>
      <c r="G11" s="805">
        <f>F11/E11-1</f>
        <v>0.21541501976284594</v>
      </c>
    </row>
    <row r="12" spans="1:7" ht="25.5" customHeight="1">
      <c r="A12" s="280" t="s">
        <v>719</v>
      </c>
      <c r="B12" s="628" t="s">
        <v>1453</v>
      </c>
      <c r="C12" s="1085">
        <v>0</v>
      </c>
      <c r="D12" s="1086"/>
      <c r="E12" s="617">
        <v>0</v>
      </c>
      <c r="F12" s="610">
        <v>0</v>
      </c>
      <c r="G12" s="610">
        <v>0</v>
      </c>
    </row>
    <row r="13" spans="1:7" ht="25.5" customHeight="1">
      <c r="A13" s="712"/>
      <c r="B13" s="797" t="s">
        <v>1453</v>
      </c>
      <c r="C13" s="1085">
        <v>0</v>
      </c>
      <c r="D13" s="1086"/>
      <c r="E13" s="617">
        <v>0</v>
      </c>
      <c r="F13" s="796">
        <v>0</v>
      </c>
      <c r="G13" s="796">
        <v>0</v>
      </c>
    </row>
    <row r="14" spans="1:7" ht="25.5" customHeight="1">
      <c r="A14" s="281"/>
      <c r="B14" s="628" t="s">
        <v>1453</v>
      </c>
      <c r="C14" s="1085">
        <v>0</v>
      </c>
      <c r="D14" s="1086"/>
      <c r="E14" s="617">
        <v>0</v>
      </c>
      <c r="F14" s="610">
        <v>0</v>
      </c>
      <c r="G14" s="610">
        <v>0</v>
      </c>
    </row>
    <row r="15" spans="1:7">
      <c r="A15" s="296" t="s">
        <v>528</v>
      </c>
    </row>
    <row r="16" spans="1:7">
      <c r="A16" s="168"/>
    </row>
    <row r="17" spans="1:7">
      <c r="A17" s="168"/>
    </row>
    <row r="18" spans="1:7">
      <c r="A18" s="652"/>
    </row>
    <row r="20" spans="1:7" ht="18" customHeight="1">
      <c r="A20" s="1051" t="s">
        <v>720</v>
      </c>
      <c r="B20" s="1051"/>
      <c r="C20" s="1051"/>
      <c r="D20" s="1051"/>
      <c r="E20" s="1051"/>
      <c r="F20" s="1051"/>
      <c r="G20" s="1051"/>
    </row>
    <row r="22" spans="1:7" s="172" customFormat="1" ht="25.15" customHeight="1">
      <c r="A22" s="969" t="s">
        <v>339</v>
      </c>
      <c r="B22" s="1041" t="s">
        <v>721</v>
      </c>
      <c r="C22" s="1043"/>
      <c r="D22" s="1041" t="s">
        <v>722</v>
      </c>
      <c r="E22" s="1043"/>
      <c r="F22" s="1052" t="s">
        <v>614</v>
      </c>
      <c r="G22" s="1053"/>
    </row>
    <row r="23" spans="1:7" s="172" customFormat="1" ht="25.15" customHeight="1">
      <c r="A23" s="1040"/>
      <c r="B23" s="1044"/>
      <c r="C23" s="1046"/>
      <c r="D23" s="1044"/>
      <c r="E23" s="1046"/>
      <c r="F23" s="1054"/>
      <c r="G23" s="1055"/>
    </row>
    <row r="24" spans="1:7" ht="27.65" customHeight="1">
      <c r="A24" s="159" t="s">
        <v>723</v>
      </c>
      <c r="B24" s="1056">
        <v>0</v>
      </c>
      <c r="C24" s="1049"/>
      <c r="D24" s="1056">
        <v>0</v>
      </c>
      <c r="E24" s="1049"/>
      <c r="F24" s="1057">
        <v>0</v>
      </c>
      <c r="G24" s="1049"/>
    </row>
    <row r="25" spans="1:7">
      <c r="A25" s="159"/>
      <c r="B25" s="1047"/>
      <c r="C25" s="1049"/>
      <c r="D25" s="1047"/>
      <c r="E25" s="1049"/>
      <c r="F25" s="1048"/>
      <c r="G25" s="1049"/>
    </row>
    <row r="26" spans="1:7">
      <c r="A26" s="712" t="s">
        <v>1513</v>
      </c>
      <c r="B26" s="1087">
        <v>813248625</v>
      </c>
      <c r="C26" s="1086"/>
      <c r="D26" s="1087">
        <v>34316439</v>
      </c>
      <c r="E26" s="1086"/>
      <c r="F26" s="1088">
        <f>B26/D26-1</f>
        <v>22.698514435020488</v>
      </c>
      <c r="G26" s="1089"/>
    </row>
    <row r="27" spans="1:7" ht="27.65" customHeight="1">
      <c r="A27" s="159" t="s">
        <v>724</v>
      </c>
      <c r="B27" s="1056">
        <v>0</v>
      </c>
      <c r="C27" s="1049"/>
      <c r="D27" s="1056">
        <v>0</v>
      </c>
      <c r="E27" s="1049"/>
      <c r="F27" s="1057">
        <v>0</v>
      </c>
      <c r="G27" s="1049"/>
    </row>
    <row r="28" spans="1:7">
      <c r="A28" s="159"/>
      <c r="B28" s="1047"/>
      <c r="C28" s="1049"/>
      <c r="D28" s="1047"/>
      <c r="E28" s="1049"/>
      <c r="F28" s="1048"/>
      <c r="G28" s="1049"/>
    </row>
    <row r="29" spans="1:7">
      <c r="A29" s="159"/>
      <c r="B29" s="1047"/>
      <c r="C29" s="1049"/>
      <c r="D29" s="1047"/>
      <c r="E29" s="1049"/>
      <c r="F29" s="1048"/>
      <c r="G29" s="1049"/>
    </row>
    <row r="30" spans="1:7">
      <c r="A30" s="170" t="s">
        <v>113</v>
      </c>
      <c r="B30" s="1058">
        <v>0</v>
      </c>
      <c r="C30" s="1059"/>
      <c r="D30" s="1058">
        <v>0</v>
      </c>
      <c r="E30" s="1059"/>
      <c r="F30" s="1060">
        <v>0</v>
      </c>
      <c r="G30" s="1059"/>
    </row>
    <row r="31" spans="1:7" s="297" customFormat="1">
      <c r="A31" s="708"/>
      <c r="B31" s="709"/>
      <c r="C31" s="710"/>
      <c r="D31" s="709"/>
      <c r="E31" s="710"/>
      <c r="F31" s="709"/>
      <c r="G31" s="710"/>
    </row>
    <row r="32" spans="1:7">
      <c r="A32" s="167" t="s">
        <v>528</v>
      </c>
    </row>
    <row r="34" spans="1:7" ht="31.5" customHeight="1">
      <c r="A34" s="1027" t="s">
        <v>1541</v>
      </c>
      <c r="B34" s="1027"/>
      <c r="C34" s="1027"/>
      <c r="D34" s="1027"/>
      <c r="E34" s="1027"/>
      <c r="F34" s="1027"/>
      <c r="G34" s="1027"/>
    </row>
  </sheetData>
  <sheetProtection sheet="false"/>
  <mergeCells count="46">
    <mergeCell ref="A34:G34"/>
    <mergeCell ref="B29:C29"/>
    <mergeCell ref="D29:E29"/>
    <mergeCell ref="F29:G29"/>
    <mergeCell ref="B30:C30"/>
    <mergeCell ref="D30:E30"/>
    <mergeCell ref="F30:G30"/>
    <mergeCell ref="B27:C27"/>
    <mergeCell ref="D27:E27"/>
    <mergeCell ref="F27:G27"/>
    <mergeCell ref="B28:C28"/>
    <mergeCell ref="D28:E28"/>
    <mergeCell ref="F28:G28"/>
    <mergeCell ref="B25:C25"/>
    <mergeCell ref="D25:E25"/>
    <mergeCell ref="F25:G25"/>
    <mergeCell ref="B26:C26"/>
    <mergeCell ref="D26:E26"/>
    <mergeCell ref="F26:G26"/>
    <mergeCell ref="B24:C24"/>
    <mergeCell ref="D24:E24"/>
    <mergeCell ref="F24:G24"/>
    <mergeCell ref="C9:D9"/>
    <mergeCell ref="C10:D10"/>
    <mergeCell ref="C11:D11"/>
    <mergeCell ref="C12:D12"/>
    <mergeCell ref="C13:D13"/>
    <mergeCell ref="C14:D14"/>
    <mergeCell ref="A20:G20"/>
    <mergeCell ref="A22:A23"/>
    <mergeCell ref="B22:C23"/>
    <mergeCell ref="D22:E23"/>
    <mergeCell ref="F22:G23"/>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22"/>
  <sheetViews>
    <sheetView topLeftCell="A3" workbookViewId="0">
      <selection activeCell="B11" sqref="B11"/>
    </sheetView>
  </sheetViews>
  <sheetFormatPr baseColWidth="10" defaultColWidth="12" defaultRowHeight="13"/>
  <cols>
    <col min="1" max="1" customWidth="true" style="157" width="39.5" collapsed="true"/>
    <col min="2" max="2" customWidth="true" style="157" width="15.5" collapsed="true"/>
    <col min="3" max="4" customWidth="true" style="157" width="9.5" collapsed="true"/>
    <col min="5" max="5" customWidth="true" style="157" width="11.19921875" collapsed="true"/>
    <col min="6" max="6" customWidth="true" style="157" width="14.796875" collapsed="true"/>
    <col min="7" max="7" customWidth="true" style="157" width="19.296875" collapsed="true"/>
    <col min="8" max="16384" style="157" width="12.0" collapsed="true"/>
  </cols>
  <sheetData>
    <row r="1" spans="1:7" ht="18" customHeight="1">
      <c r="A1" s="959" t="s">
        <v>725</v>
      </c>
      <c r="B1" s="959"/>
      <c r="C1" s="959"/>
      <c r="D1" s="959"/>
      <c r="E1" s="959"/>
      <c r="F1" s="959"/>
      <c r="G1" s="959"/>
    </row>
    <row r="2" spans="1:7" ht="8.15" customHeight="1"/>
    <row r="3" spans="1:7" ht="12.75" customHeight="1">
      <c r="A3" s="960" t="s">
        <v>486</v>
      </c>
      <c r="B3" s="960"/>
      <c r="C3" s="960"/>
      <c r="E3" s="169" t="s">
        <v>487</v>
      </c>
      <c r="F3" s="980">
        <v>44926</v>
      </c>
      <c r="G3" s="981"/>
    </row>
    <row r="4" spans="1:7" ht="15" customHeight="1">
      <c r="A4" s="976" t="s">
        <v>1423</v>
      </c>
      <c r="B4" s="977"/>
      <c r="C4" s="977"/>
      <c r="E4" s="982" t="s">
        <v>488</v>
      </c>
      <c r="F4" s="965">
        <v>12</v>
      </c>
      <c r="G4" s="966"/>
    </row>
    <row r="5" spans="1:7" ht="15" customHeight="1">
      <c r="A5" s="157" t="s">
        <v>489</v>
      </c>
      <c r="B5" s="983" t="s">
        <v>1426</v>
      </c>
      <c r="C5" s="984"/>
      <c r="E5" s="982"/>
      <c r="F5" s="962"/>
      <c r="G5" s="962"/>
    </row>
    <row r="6" spans="1:7" ht="8.15" customHeight="1"/>
    <row r="7" spans="1:7" ht="25.5" customHeight="1">
      <c r="E7" s="1092" t="s">
        <v>726</v>
      </c>
      <c r="F7" s="1092"/>
      <c r="G7" s="653">
        <v>0</v>
      </c>
    </row>
    <row r="8" spans="1:7" s="172" customFormat="1" ht="25.15" customHeight="1">
      <c r="A8" s="969" t="s">
        <v>727</v>
      </c>
      <c r="B8" s="1093" t="s">
        <v>728</v>
      </c>
      <c r="C8" s="1041" t="s">
        <v>729</v>
      </c>
      <c r="D8" s="1043"/>
      <c r="E8" s="1039" t="s">
        <v>730</v>
      </c>
      <c r="F8" s="1039" t="s">
        <v>731</v>
      </c>
      <c r="G8" s="1039" t="s">
        <v>732</v>
      </c>
    </row>
    <row r="9" spans="1:7" s="172" customFormat="1" ht="25.15" customHeight="1">
      <c r="A9" s="1040"/>
      <c r="B9" s="1010"/>
      <c r="C9" s="1044"/>
      <c r="D9" s="1046"/>
      <c r="E9" s="997"/>
      <c r="F9" s="997"/>
      <c r="G9" s="997"/>
    </row>
    <row r="10" spans="1:7" ht="25.5" customHeight="1">
      <c r="A10" s="646" t="s">
        <v>1542</v>
      </c>
      <c r="B10" s="628" t="s">
        <v>1543</v>
      </c>
      <c r="C10" s="1083" t="s">
        <v>1453</v>
      </c>
      <c r="D10" s="1091"/>
      <c r="E10" s="610">
        <v>1000</v>
      </c>
      <c r="F10" s="625">
        <v>1000000</v>
      </c>
      <c r="G10" s="610">
        <v>0</v>
      </c>
    </row>
    <row r="11" spans="1:7" ht="25.5" customHeight="1">
      <c r="A11" s="646" t="s">
        <v>1491</v>
      </c>
      <c r="B11" s="628" t="s">
        <v>1492</v>
      </c>
      <c r="C11" s="1083" t="s">
        <v>1453</v>
      </c>
      <c r="D11" s="1091"/>
      <c r="E11" s="610">
        <v>9000</v>
      </c>
      <c r="F11" s="625">
        <v>9000000</v>
      </c>
      <c r="G11" s="610">
        <v>0</v>
      </c>
    </row>
    <row r="12" spans="1:7" ht="25.5" customHeight="1">
      <c r="A12" s="159"/>
      <c r="B12" s="447"/>
      <c r="C12" s="1090"/>
      <c r="D12" s="1091"/>
      <c r="E12" s="503"/>
      <c r="F12" s="503"/>
      <c r="G12" s="503"/>
    </row>
    <row r="13" spans="1:7" ht="25.5" customHeight="1">
      <c r="A13" s="159"/>
      <c r="B13" s="447"/>
      <c r="C13" s="1090"/>
      <c r="D13" s="1091"/>
      <c r="E13" s="503"/>
      <c r="F13" s="503"/>
      <c r="G13" s="503"/>
    </row>
    <row r="14" spans="1:7" ht="25.5" customHeight="1">
      <c r="A14" s="159"/>
      <c r="B14" s="447"/>
      <c r="C14" s="1090"/>
      <c r="D14" s="1091"/>
      <c r="E14" s="503"/>
      <c r="F14" s="503"/>
      <c r="G14" s="503"/>
    </row>
    <row r="15" spans="1:7" ht="25.5" customHeight="1">
      <c r="A15" s="159"/>
      <c r="B15" s="447"/>
      <c r="C15" s="1090"/>
      <c r="D15" s="1091"/>
      <c r="E15" s="503"/>
      <c r="F15" s="503"/>
      <c r="G15" s="503"/>
    </row>
    <row r="16" spans="1:7" ht="25.5" customHeight="1">
      <c r="A16" s="159"/>
      <c r="B16" s="447"/>
      <c r="C16" s="1090"/>
      <c r="D16" s="1091"/>
      <c r="E16" s="503"/>
      <c r="F16" s="503"/>
      <c r="G16" s="503"/>
    </row>
    <row r="17" spans="1:7" ht="25.5" customHeight="1">
      <c r="A17" s="159"/>
      <c r="B17" s="447"/>
      <c r="C17" s="1090"/>
      <c r="D17" s="1091"/>
      <c r="E17" s="503"/>
      <c r="F17" s="503"/>
      <c r="G17" s="503"/>
    </row>
    <row r="18" spans="1:7" ht="25.5" customHeight="1">
      <c r="A18" s="280" t="s">
        <v>733</v>
      </c>
      <c r="B18" s="161"/>
      <c r="C18" s="1094"/>
      <c r="D18" s="1095"/>
      <c r="E18" s="161"/>
      <c r="F18" s="503"/>
      <c r="G18" s="504"/>
    </row>
    <row r="19" spans="1:7" ht="25.5" customHeight="1">
      <c r="A19" s="283"/>
      <c r="B19" s="416"/>
      <c r="C19" s="1096"/>
      <c r="D19" s="1096"/>
      <c r="E19" s="192" t="s">
        <v>113</v>
      </c>
      <c r="F19" s="625">
        <v>10000000</v>
      </c>
      <c r="G19" s="610">
        <v>0</v>
      </c>
    </row>
    <row r="20" spans="1:7">
      <c r="A20" s="296" t="s">
        <v>528</v>
      </c>
    </row>
    <row r="22" spans="1:7">
      <c r="A22" s="608"/>
    </row>
  </sheetData>
  <sheetProtection sheet="false"/>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0"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G29"/>
  <sheetViews>
    <sheetView topLeftCell="A17" workbookViewId="0">
      <selection activeCell="H39" sqref="H39"/>
    </sheetView>
  </sheetViews>
  <sheetFormatPr baseColWidth="10" defaultColWidth="12" defaultRowHeight="13"/>
  <cols>
    <col min="1" max="1" customWidth="true" style="157" width="39.5" collapsed="true"/>
    <col min="2" max="2" bestFit="true" customWidth="true" style="157" width="9.5" collapsed="true"/>
    <col min="3" max="3" bestFit="true" customWidth="true" style="157" width="11.296875" collapsed="true"/>
    <col min="4" max="4" customWidth="true" style="157" width="9.5" collapsed="true"/>
    <col min="5" max="7" customWidth="true" style="157" width="13.69921875" collapsed="true"/>
    <col min="8" max="16384" style="157" width="12.0" collapsed="true"/>
  </cols>
  <sheetData>
    <row r="1" spans="1:7" ht="18" customHeight="1">
      <c r="A1" s="959" t="s">
        <v>734</v>
      </c>
      <c r="B1" s="959"/>
      <c r="C1" s="959"/>
      <c r="D1" s="959"/>
      <c r="E1" s="959"/>
      <c r="F1" s="959"/>
      <c r="G1" s="959"/>
    </row>
    <row r="2" spans="1:7" ht="8.15" customHeight="1"/>
    <row r="3" spans="1:7" ht="12.75" customHeight="1">
      <c r="A3" s="960" t="s">
        <v>486</v>
      </c>
      <c r="B3" s="960"/>
      <c r="C3" s="960"/>
      <c r="E3" s="171" t="s">
        <v>487</v>
      </c>
      <c r="F3" s="980">
        <v>44926</v>
      </c>
      <c r="G3" s="981"/>
    </row>
    <row r="4" spans="1:7" ht="15" customHeight="1">
      <c r="A4" s="976" t="s">
        <v>1423</v>
      </c>
      <c r="B4" s="977"/>
      <c r="C4" s="977"/>
      <c r="E4" s="982" t="s">
        <v>488</v>
      </c>
      <c r="F4" s="965">
        <v>12</v>
      </c>
      <c r="G4" s="966"/>
    </row>
    <row r="5" spans="1:7" ht="15" customHeight="1">
      <c r="A5" s="157" t="s">
        <v>489</v>
      </c>
      <c r="B5" s="983" t="s">
        <v>1426</v>
      </c>
      <c r="C5" s="984"/>
      <c r="E5" s="982"/>
      <c r="F5" s="962"/>
      <c r="G5" s="962"/>
    </row>
    <row r="6" spans="1:7" ht="8.15" customHeight="1"/>
    <row r="7" spans="1:7" s="172" customFormat="1" ht="25.15" customHeight="1">
      <c r="A7" s="969" t="s">
        <v>339</v>
      </c>
      <c r="B7" s="1041" t="s">
        <v>721</v>
      </c>
      <c r="C7" s="1043"/>
      <c r="D7" s="1041" t="s">
        <v>722</v>
      </c>
      <c r="E7" s="1043"/>
      <c r="F7" s="1052" t="s">
        <v>735</v>
      </c>
      <c r="G7" s="1053"/>
    </row>
    <row r="8" spans="1:7" s="172" customFormat="1" ht="25.15" customHeight="1">
      <c r="A8" s="1040"/>
      <c r="B8" s="1044"/>
      <c r="C8" s="1046"/>
      <c r="D8" s="1044"/>
      <c r="E8" s="1046"/>
      <c r="F8" s="1054"/>
      <c r="G8" s="1055"/>
    </row>
    <row r="9" spans="1:7">
      <c r="A9" s="280" t="s">
        <v>736</v>
      </c>
      <c r="B9" s="1085">
        <v>0</v>
      </c>
      <c r="C9" s="1086"/>
      <c r="D9" s="1085">
        <v>0</v>
      </c>
      <c r="E9" s="1086"/>
      <c r="F9" s="1097">
        <v>0</v>
      </c>
      <c r="G9" s="1086"/>
    </row>
    <row r="10" spans="1:7">
      <c r="A10" s="280" t="s">
        <v>737</v>
      </c>
      <c r="B10" s="1085">
        <v>0</v>
      </c>
      <c r="C10" s="1086"/>
      <c r="D10" s="1085">
        <v>0</v>
      </c>
      <c r="E10" s="1086"/>
      <c r="F10" s="1097">
        <v>0</v>
      </c>
      <c r="G10" s="1086"/>
    </row>
    <row r="11" spans="1:7">
      <c r="A11" s="280" t="s">
        <v>738</v>
      </c>
      <c r="B11" s="1085">
        <v>0</v>
      </c>
      <c r="C11" s="1086"/>
      <c r="D11" s="1085">
        <v>0</v>
      </c>
      <c r="E11" s="1086"/>
      <c r="F11" s="1097">
        <v>0</v>
      </c>
      <c r="G11" s="1086"/>
    </row>
    <row r="12" spans="1:7">
      <c r="A12" s="280" t="s">
        <v>739</v>
      </c>
      <c r="B12" s="1085">
        <v>0</v>
      </c>
      <c r="C12" s="1086"/>
      <c r="D12" s="1085">
        <v>0</v>
      </c>
      <c r="E12" s="1086"/>
      <c r="F12" s="1097">
        <v>0</v>
      </c>
      <c r="G12" s="1086"/>
    </row>
    <row r="13" spans="1:7">
      <c r="A13" s="280" t="s">
        <v>740</v>
      </c>
      <c r="B13" s="1085">
        <v>0</v>
      </c>
      <c r="C13" s="1086"/>
      <c r="D13" s="1085">
        <v>0</v>
      </c>
      <c r="E13" s="1086"/>
      <c r="F13" s="1097">
        <v>0</v>
      </c>
      <c r="G13" s="1086"/>
    </row>
    <row r="14" spans="1:7">
      <c r="A14" s="280"/>
      <c r="B14" s="1087"/>
      <c r="C14" s="1086"/>
      <c r="D14" s="1087"/>
      <c r="E14" s="1086"/>
      <c r="F14" s="1098"/>
      <c r="G14" s="1086"/>
    </row>
    <row r="15" spans="1:7">
      <c r="A15" s="294" t="s">
        <v>741</v>
      </c>
      <c r="B15" s="716">
        <v>0</v>
      </c>
      <c r="C15" s="783"/>
      <c r="D15" s="716">
        <v>0</v>
      </c>
      <c r="E15" s="783"/>
      <c r="F15" s="784">
        <v>0</v>
      </c>
      <c r="G15" s="783"/>
    </row>
    <row r="16" spans="1:7">
      <c r="A16" s="280" t="s">
        <v>742</v>
      </c>
      <c r="B16" s="1085">
        <v>0</v>
      </c>
      <c r="C16" s="1086"/>
      <c r="D16" s="1085">
        <v>0</v>
      </c>
      <c r="E16" s="1086"/>
      <c r="F16" s="1097">
        <v>0</v>
      </c>
      <c r="G16" s="1086"/>
    </row>
    <row r="17" spans="1:7">
      <c r="A17" s="280" t="s">
        <v>743</v>
      </c>
      <c r="B17" s="1085">
        <v>0</v>
      </c>
      <c r="C17" s="1086"/>
      <c r="D17" s="1085">
        <v>0</v>
      </c>
      <c r="E17" s="1086"/>
      <c r="F17" s="1097">
        <v>0</v>
      </c>
      <c r="G17" s="1086"/>
    </row>
    <row r="18" spans="1:7">
      <c r="A18" s="280" t="s">
        <v>744</v>
      </c>
      <c r="B18" s="1085">
        <v>0</v>
      </c>
      <c r="C18" s="1086"/>
      <c r="D18" s="1085">
        <v>0</v>
      </c>
      <c r="E18" s="1086"/>
      <c r="F18" s="1097">
        <v>0</v>
      </c>
      <c r="G18" s="1086"/>
    </row>
    <row r="19" spans="1:7" ht="27.65" customHeight="1">
      <c r="A19" s="280" t="s">
        <v>745</v>
      </c>
      <c r="B19" s="1085">
        <v>0</v>
      </c>
      <c r="C19" s="1086"/>
      <c r="D19" s="1085">
        <v>0</v>
      </c>
      <c r="E19" s="1086"/>
      <c r="F19" s="1097">
        <v>0</v>
      </c>
      <c r="G19" s="1086"/>
    </row>
    <row r="20" spans="1:7">
      <c r="A20" s="280" t="s">
        <v>746</v>
      </c>
      <c r="B20" s="1085">
        <v>0</v>
      </c>
      <c r="C20" s="1086"/>
      <c r="D20" s="1085">
        <v>0</v>
      </c>
      <c r="E20" s="1086"/>
      <c r="F20" s="1097">
        <v>0</v>
      </c>
      <c r="G20" s="1086"/>
    </row>
    <row r="21" spans="1:7">
      <c r="A21" s="280"/>
      <c r="B21" s="1087"/>
      <c r="C21" s="1086"/>
      <c r="D21" s="1087"/>
      <c r="E21" s="1086"/>
      <c r="F21" s="1098"/>
      <c r="G21" s="1086"/>
    </row>
    <row r="22" spans="1:7">
      <c r="A22" s="294" t="s">
        <v>747</v>
      </c>
      <c r="B22" s="716">
        <v>0</v>
      </c>
      <c r="C22" s="783"/>
      <c r="D22" s="716">
        <v>0</v>
      </c>
      <c r="E22" s="783"/>
      <c r="F22" s="784">
        <v>0</v>
      </c>
      <c r="G22" s="783"/>
    </row>
    <row r="23" spans="1:7">
      <c r="A23" s="280"/>
      <c r="B23" s="1087"/>
      <c r="C23" s="1086"/>
      <c r="D23" s="1087"/>
      <c r="E23" s="1086"/>
      <c r="F23" s="1098"/>
      <c r="G23" s="1086"/>
    </row>
    <row r="24" spans="1:7">
      <c r="A24" s="298" t="s">
        <v>251</v>
      </c>
      <c r="B24" s="1085">
        <v>0</v>
      </c>
      <c r="C24" s="1086"/>
      <c r="D24" s="1085">
        <v>0</v>
      </c>
      <c r="E24" s="1086"/>
      <c r="F24" s="1097">
        <v>0</v>
      </c>
      <c r="G24" s="1086"/>
    </row>
    <row r="25" spans="1:7">
      <c r="A25" s="280"/>
      <c r="B25" s="1047"/>
      <c r="C25" s="1049"/>
      <c r="D25" s="1047"/>
      <c r="E25" s="1049"/>
      <c r="F25" s="1048"/>
      <c r="G25" s="1049"/>
    </row>
    <row r="26" spans="1:7">
      <c r="A26" s="295" t="s">
        <v>255</v>
      </c>
      <c r="B26" s="1099">
        <v>-78768704957.600006</v>
      </c>
      <c r="C26" s="1100"/>
      <c r="D26" s="1099">
        <v>-92023042399.600006</v>
      </c>
      <c r="E26" s="1100"/>
      <c r="F26" s="1101">
        <v>13254337442</v>
      </c>
      <c r="G26" s="1100"/>
    </row>
    <row r="27" spans="1:7">
      <c r="A27" s="296" t="s">
        <v>528</v>
      </c>
    </row>
    <row r="29" spans="1:7">
      <c r="A29" s="608"/>
    </row>
  </sheetData>
  <sheetProtection sheet="false"/>
  <mergeCells count="59">
    <mergeCell ref="B26:C26"/>
    <mergeCell ref="D26:E26"/>
    <mergeCell ref="F26:G26"/>
    <mergeCell ref="B24:C24"/>
    <mergeCell ref="D24:E24"/>
    <mergeCell ref="F24:G24"/>
    <mergeCell ref="B25:C25"/>
    <mergeCell ref="D25:E25"/>
    <mergeCell ref="F25:G25"/>
    <mergeCell ref="B21:C21"/>
    <mergeCell ref="D21:E21"/>
    <mergeCell ref="F21:G21"/>
    <mergeCell ref="B23:C23"/>
    <mergeCell ref="D23:E23"/>
    <mergeCell ref="F23:G23"/>
    <mergeCell ref="B19:C19"/>
    <mergeCell ref="D19:E19"/>
    <mergeCell ref="F19:G19"/>
    <mergeCell ref="B20:C20"/>
    <mergeCell ref="D20:E20"/>
    <mergeCell ref="F20:G20"/>
    <mergeCell ref="B17:C17"/>
    <mergeCell ref="D17:E17"/>
    <mergeCell ref="F17:G17"/>
    <mergeCell ref="B18:C18"/>
    <mergeCell ref="D18:E18"/>
    <mergeCell ref="F18:G18"/>
    <mergeCell ref="B14:C14"/>
    <mergeCell ref="D14:E14"/>
    <mergeCell ref="F14:G14"/>
    <mergeCell ref="B16:C16"/>
    <mergeCell ref="D16:E16"/>
    <mergeCell ref="F16:G16"/>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xr:uid="{00000000-0002-0000-1D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30"/>
  <sheetViews>
    <sheetView workbookViewId="0">
      <selection activeCell="H39" sqref="H39"/>
    </sheetView>
  </sheetViews>
  <sheetFormatPr baseColWidth="10" defaultColWidth="12" defaultRowHeight="13"/>
  <cols>
    <col min="1" max="1" customWidth="true" style="157" width="35.796875" collapsed="true"/>
    <col min="2" max="2" bestFit="true" customWidth="true" style="157" width="6.19921875" collapsed="true"/>
    <col min="3" max="8" customWidth="true" style="157" width="11.296875" collapsed="true"/>
    <col min="9" max="16384" style="157" width="12.0" collapsed="true"/>
  </cols>
  <sheetData>
    <row r="1" spans="1:8" ht="18" customHeight="1">
      <c r="A1" s="959" t="s">
        <v>748</v>
      </c>
      <c r="B1" s="959"/>
      <c r="C1" s="959"/>
      <c r="D1" s="959"/>
      <c r="E1" s="959"/>
      <c r="F1" s="959"/>
      <c r="G1" s="959"/>
      <c r="H1" s="959"/>
    </row>
    <row r="2" spans="1:8" ht="8.15" customHeight="1"/>
    <row r="3" spans="1:8" ht="12.75" customHeight="1">
      <c r="A3" s="960" t="s">
        <v>486</v>
      </c>
      <c r="B3" s="960"/>
      <c r="C3" s="960"/>
      <c r="E3" s="169" t="s">
        <v>487</v>
      </c>
      <c r="F3" s="980">
        <v>44926</v>
      </c>
      <c r="G3" s="981"/>
    </row>
    <row r="4" spans="1:8" ht="15" customHeight="1">
      <c r="A4" s="976" t="s">
        <v>1423</v>
      </c>
      <c r="B4" s="977"/>
      <c r="C4" s="977"/>
      <c r="E4" s="982" t="s">
        <v>488</v>
      </c>
      <c r="F4" s="965">
        <v>12</v>
      </c>
      <c r="G4" s="966"/>
    </row>
    <row r="5" spans="1:8" ht="15" customHeight="1">
      <c r="A5" s="157" t="s">
        <v>489</v>
      </c>
      <c r="B5" s="983" t="s">
        <v>1426</v>
      </c>
      <c r="C5" s="984"/>
      <c r="E5" s="982"/>
      <c r="F5" s="962"/>
      <c r="G5" s="962"/>
    </row>
    <row r="6" spans="1:8" ht="8.15" customHeight="1"/>
    <row r="7" spans="1:8" s="172" customFormat="1" ht="25.15" customHeight="1">
      <c r="A7" s="969" t="s">
        <v>339</v>
      </c>
      <c r="B7" s="1002" t="s">
        <v>340</v>
      </c>
      <c r="C7" s="1002" t="s">
        <v>1421</v>
      </c>
      <c r="D7" s="1002" t="s">
        <v>722</v>
      </c>
      <c r="E7" s="1039" t="s">
        <v>717</v>
      </c>
      <c r="F7" s="1039" t="s">
        <v>585</v>
      </c>
      <c r="G7" s="1039" t="s">
        <v>749</v>
      </c>
      <c r="H7" s="1039" t="s">
        <v>750</v>
      </c>
    </row>
    <row r="8" spans="1:8" s="172" customFormat="1" ht="25.15" customHeight="1">
      <c r="A8" s="1040"/>
      <c r="B8" s="994"/>
      <c r="C8" s="994"/>
      <c r="D8" s="994"/>
      <c r="E8" s="997"/>
      <c r="F8" s="997"/>
      <c r="G8" s="997"/>
      <c r="H8" s="997"/>
    </row>
    <row r="9" spans="1:8">
      <c r="A9" s="280" t="s">
        <v>512</v>
      </c>
      <c r="B9" s="160"/>
      <c r="C9" s="610">
        <v>0</v>
      </c>
      <c r="D9" s="610">
        <v>0</v>
      </c>
      <c r="E9" s="610">
        <v>0</v>
      </c>
      <c r="F9" s="771">
        <v>0</v>
      </c>
      <c r="G9" s="610"/>
      <c r="H9" s="610"/>
    </row>
    <row r="10" spans="1:8">
      <c r="A10" s="280" t="s">
        <v>751</v>
      </c>
      <c r="B10" s="160"/>
      <c r="C10" s="610">
        <v>0</v>
      </c>
      <c r="D10" s="610">
        <v>0</v>
      </c>
      <c r="E10" s="610">
        <v>0</v>
      </c>
      <c r="F10" s="771">
        <v>0</v>
      </c>
      <c r="G10" s="610"/>
      <c r="H10" s="610"/>
    </row>
    <row r="11" spans="1:8">
      <c r="A11" s="280" t="s">
        <v>752</v>
      </c>
      <c r="B11" s="160"/>
      <c r="C11" s="610">
        <v>0</v>
      </c>
      <c r="D11" s="610">
        <v>0</v>
      </c>
      <c r="E11" s="610">
        <v>0</v>
      </c>
      <c r="F11" s="771">
        <v>0</v>
      </c>
      <c r="G11" s="610"/>
      <c r="H11" s="610"/>
    </row>
    <row r="12" spans="1:8" ht="27.65" customHeight="1">
      <c r="A12" s="280" t="s">
        <v>753</v>
      </c>
      <c r="B12" s="160"/>
      <c r="C12" s="610">
        <v>0</v>
      </c>
      <c r="D12" s="610">
        <v>0</v>
      </c>
      <c r="E12" s="610">
        <v>0</v>
      </c>
      <c r="F12" s="771">
        <v>0</v>
      </c>
      <c r="G12" s="610"/>
      <c r="H12" s="610"/>
    </row>
    <row r="13" spans="1:8">
      <c r="A13" s="280" t="s">
        <v>754</v>
      </c>
      <c r="B13" s="160"/>
      <c r="C13" s="610">
        <v>0</v>
      </c>
      <c r="D13" s="610">
        <v>0</v>
      </c>
      <c r="E13" s="610">
        <v>0</v>
      </c>
      <c r="F13" s="771">
        <v>0</v>
      </c>
      <c r="G13" s="610"/>
      <c r="H13" s="610"/>
    </row>
    <row r="14" spans="1:8">
      <c r="A14" s="280" t="s">
        <v>755</v>
      </c>
      <c r="B14" s="160"/>
      <c r="C14" s="610">
        <v>0</v>
      </c>
      <c r="D14" s="610">
        <v>0</v>
      </c>
      <c r="E14" s="610">
        <v>0</v>
      </c>
      <c r="F14" s="771">
        <v>0</v>
      </c>
      <c r="G14" s="610"/>
      <c r="H14" s="610"/>
    </row>
    <row r="15" spans="1:8">
      <c r="A15" s="280" t="s">
        <v>513</v>
      </c>
      <c r="B15" s="160"/>
      <c r="C15" s="610">
        <v>0</v>
      </c>
      <c r="D15" s="610">
        <v>0</v>
      </c>
      <c r="E15" s="610">
        <v>0</v>
      </c>
      <c r="F15" s="771">
        <v>0</v>
      </c>
      <c r="G15" s="610"/>
      <c r="H15" s="610"/>
    </row>
    <row r="16" spans="1:8">
      <c r="A16" s="280" t="s">
        <v>495</v>
      </c>
      <c r="B16" s="160"/>
      <c r="C16" s="610">
        <v>0</v>
      </c>
      <c r="D16" s="610">
        <v>0</v>
      </c>
      <c r="E16" s="610">
        <v>0</v>
      </c>
      <c r="F16" s="771">
        <v>0</v>
      </c>
      <c r="G16" s="610"/>
      <c r="H16" s="610"/>
    </row>
    <row r="17" spans="1:8">
      <c r="A17" s="294" t="s">
        <v>756</v>
      </c>
      <c r="B17" s="193"/>
      <c r="C17" s="612">
        <v>0</v>
      </c>
      <c r="D17" s="612">
        <v>0</v>
      </c>
      <c r="E17" s="612">
        <v>0</v>
      </c>
      <c r="F17" s="780">
        <v>0</v>
      </c>
      <c r="G17" s="612"/>
      <c r="H17" s="612"/>
    </row>
    <row r="18" spans="1:8">
      <c r="A18" s="280" t="s">
        <v>757</v>
      </c>
      <c r="B18" s="160"/>
      <c r="C18" s="610">
        <v>0</v>
      </c>
      <c r="D18" s="610">
        <v>0</v>
      </c>
      <c r="E18" s="610">
        <v>0</v>
      </c>
      <c r="F18" s="771">
        <v>0</v>
      </c>
      <c r="G18" s="610"/>
      <c r="H18" s="610"/>
    </row>
    <row r="19" spans="1:8">
      <c r="A19" s="280" t="s">
        <v>758</v>
      </c>
      <c r="B19" s="160"/>
      <c r="C19" s="610">
        <v>0</v>
      </c>
      <c r="D19" s="610">
        <v>0</v>
      </c>
      <c r="E19" s="610">
        <v>0</v>
      </c>
      <c r="F19" s="771">
        <v>0</v>
      </c>
      <c r="G19" s="610"/>
      <c r="H19" s="610"/>
    </row>
    <row r="20" spans="1:8">
      <c r="A20" s="280" t="s">
        <v>759</v>
      </c>
      <c r="B20" s="160" t="s">
        <v>760</v>
      </c>
      <c r="C20" s="610">
        <v>0</v>
      </c>
      <c r="D20" s="610">
        <v>0</v>
      </c>
      <c r="E20" s="610">
        <v>0</v>
      </c>
      <c r="F20" s="771">
        <v>0</v>
      </c>
      <c r="G20" s="610"/>
      <c r="H20" s="610"/>
    </row>
    <row r="21" spans="1:8" ht="27.65" customHeight="1">
      <c r="A21" s="280" t="s">
        <v>761</v>
      </c>
      <c r="B21" s="160"/>
      <c r="C21" s="610">
        <v>0</v>
      </c>
      <c r="D21" s="610">
        <v>0</v>
      </c>
      <c r="E21" s="610">
        <v>0</v>
      </c>
      <c r="F21" s="771">
        <v>0</v>
      </c>
      <c r="G21" s="610"/>
      <c r="H21" s="610"/>
    </row>
    <row r="22" spans="1:8" ht="26">
      <c r="A22" s="280" t="s">
        <v>762</v>
      </c>
      <c r="B22" s="160"/>
      <c r="C22" s="610">
        <v>0</v>
      </c>
      <c r="D22" s="610">
        <v>0</v>
      </c>
      <c r="E22" s="610">
        <v>0</v>
      </c>
      <c r="F22" s="771">
        <v>0</v>
      </c>
      <c r="G22" s="610"/>
      <c r="H22" s="610"/>
    </row>
    <row r="23" spans="1:8">
      <c r="A23" s="280" t="s">
        <v>763</v>
      </c>
      <c r="B23" s="160"/>
      <c r="C23" s="610">
        <v>0</v>
      </c>
      <c r="D23" s="610">
        <v>0</v>
      </c>
      <c r="E23" s="610">
        <v>0</v>
      </c>
      <c r="F23" s="771">
        <v>0</v>
      </c>
      <c r="G23" s="610"/>
      <c r="H23" s="610"/>
    </row>
    <row r="24" spans="1:8">
      <c r="A24" s="280" t="s">
        <v>764</v>
      </c>
      <c r="B24" s="160"/>
      <c r="C24" s="610">
        <v>0</v>
      </c>
      <c r="D24" s="610">
        <v>0</v>
      </c>
      <c r="E24" s="610">
        <v>0</v>
      </c>
      <c r="F24" s="771">
        <v>0</v>
      </c>
      <c r="G24" s="610"/>
      <c r="H24" s="610"/>
    </row>
    <row r="25" spans="1:8">
      <c r="A25" s="294" t="s">
        <v>765</v>
      </c>
      <c r="B25" s="193"/>
      <c r="C25" s="612">
        <v>0</v>
      </c>
      <c r="D25" s="612">
        <v>0</v>
      </c>
      <c r="E25" s="612">
        <v>0</v>
      </c>
      <c r="F25" s="780">
        <v>0</v>
      </c>
      <c r="G25" s="612"/>
      <c r="H25" s="612"/>
    </row>
    <row r="26" spans="1:8">
      <c r="A26" s="280"/>
      <c r="B26" s="160"/>
      <c r="C26" s="503"/>
      <c r="D26" s="503"/>
      <c r="E26" s="503"/>
      <c r="F26" s="781"/>
      <c r="G26" s="503"/>
      <c r="H26" s="503"/>
    </row>
    <row r="27" spans="1:8" ht="27.65" customHeight="1">
      <c r="A27" s="299" t="s">
        <v>766</v>
      </c>
      <c r="B27" s="194"/>
      <c r="C27" s="643">
        <v>0</v>
      </c>
      <c r="D27" s="643">
        <v>0</v>
      </c>
      <c r="E27" s="643">
        <v>0</v>
      </c>
      <c r="F27" s="782">
        <v>0</v>
      </c>
      <c r="G27" s="643"/>
      <c r="H27" s="643"/>
    </row>
    <row r="28" spans="1:8">
      <c r="A28" s="296" t="s">
        <v>528</v>
      </c>
    </row>
    <row r="29" spans="1:8">
      <c r="A29" s="168"/>
    </row>
    <row r="30" spans="1:8">
      <c r="A30" s="608"/>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7 G9:H27" xr:uid="{00000000-0002-0000-1E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16"/>
  <sheetViews>
    <sheetView zoomScaleNormal="100" workbookViewId="0">
      <selection activeCell="H39" sqref="H39"/>
    </sheetView>
  </sheetViews>
  <sheetFormatPr baseColWidth="10" defaultColWidth="12" defaultRowHeight="13"/>
  <cols>
    <col min="1" max="1" customWidth="true" style="157" width="35.796875" collapsed="true"/>
    <col min="2" max="2" bestFit="true" customWidth="true" style="157" width="6.19921875" collapsed="true"/>
    <col min="3" max="7" customWidth="true" style="157" width="11.296875" collapsed="true"/>
    <col min="8" max="16384" style="157" width="12.0" collapsed="true"/>
  </cols>
  <sheetData>
    <row r="1" spans="1:7" ht="19.899999999999999" customHeight="1">
      <c r="A1" s="959" t="s">
        <v>767</v>
      </c>
      <c r="B1" s="959"/>
      <c r="C1" s="959"/>
      <c r="D1" s="959"/>
      <c r="E1" s="959"/>
      <c r="F1" s="959"/>
      <c r="G1" s="959"/>
    </row>
    <row r="2" spans="1:7" ht="8.15" customHeight="1"/>
    <row r="3" spans="1:7" ht="12.75" customHeight="1">
      <c r="A3" s="960" t="s">
        <v>486</v>
      </c>
      <c r="B3" s="960"/>
      <c r="C3" s="960"/>
      <c r="E3" s="171" t="s">
        <v>487</v>
      </c>
      <c r="F3" s="980">
        <v>44926</v>
      </c>
      <c r="G3" s="981"/>
    </row>
    <row r="4" spans="1:7" ht="15" customHeight="1">
      <c r="A4" s="976" t="s">
        <v>1423</v>
      </c>
      <c r="B4" s="977"/>
      <c r="C4" s="977"/>
      <c r="E4" s="982" t="s">
        <v>488</v>
      </c>
      <c r="F4" s="965">
        <v>12</v>
      </c>
      <c r="G4" s="966"/>
    </row>
    <row r="5" spans="1:7" ht="15" customHeight="1">
      <c r="A5" s="157" t="s">
        <v>489</v>
      </c>
      <c r="B5" s="983" t="s">
        <v>1426</v>
      </c>
      <c r="C5" s="984"/>
      <c r="E5" s="982"/>
      <c r="F5" s="962"/>
      <c r="G5" s="962"/>
    </row>
    <row r="6" spans="1:7" ht="8.15" customHeight="1"/>
    <row r="7" spans="1:7" s="172" customFormat="1" ht="25.15" customHeight="1">
      <c r="A7" s="969" t="s">
        <v>339</v>
      </c>
      <c r="B7" s="1002" t="s">
        <v>340</v>
      </c>
      <c r="C7" s="1002" t="s">
        <v>1421</v>
      </c>
      <c r="D7" s="1002" t="s">
        <v>722</v>
      </c>
      <c r="E7" s="1039" t="s">
        <v>717</v>
      </c>
      <c r="F7" s="1039" t="s">
        <v>585</v>
      </c>
      <c r="G7" s="1039" t="s">
        <v>750</v>
      </c>
    </row>
    <row r="8" spans="1:7" s="172" customFormat="1" ht="25.15" customHeight="1">
      <c r="A8" s="1040"/>
      <c r="B8" s="994"/>
      <c r="C8" s="994"/>
      <c r="D8" s="994"/>
      <c r="E8" s="997"/>
      <c r="F8" s="997"/>
      <c r="G8" s="997"/>
    </row>
    <row r="9" spans="1:7">
      <c r="A9" s="280" t="s">
        <v>280</v>
      </c>
      <c r="B9" s="160"/>
      <c r="C9" s="610">
        <v>0</v>
      </c>
      <c r="D9" s="610">
        <v>0</v>
      </c>
      <c r="E9" s="610">
        <v>0</v>
      </c>
      <c r="F9" s="610">
        <v>0</v>
      </c>
      <c r="G9" s="610"/>
    </row>
    <row r="10" spans="1:7">
      <c r="A10" s="280" t="s">
        <v>768</v>
      </c>
      <c r="B10" s="160"/>
      <c r="C10" s="610">
        <v>0</v>
      </c>
      <c r="D10" s="610">
        <v>0</v>
      </c>
      <c r="E10" s="610">
        <v>0</v>
      </c>
      <c r="F10" s="610">
        <v>0</v>
      </c>
      <c r="G10" s="610"/>
    </row>
    <row r="11" spans="1:7" ht="27.65" customHeight="1">
      <c r="A11" s="280" t="s">
        <v>769</v>
      </c>
      <c r="B11" s="160"/>
      <c r="C11" s="610">
        <v>0</v>
      </c>
      <c r="D11" s="610">
        <v>0</v>
      </c>
      <c r="E11" s="610">
        <v>0</v>
      </c>
      <c r="F11" s="610">
        <v>0</v>
      </c>
      <c r="G11" s="610"/>
    </row>
    <row r="12" spans="1:7" ht="26">
      <c r="A12" s="280" t="s">
        <v>770</v>
      </c>
      <c r="B12" s="160"/>
      <c r="C12" s="610">
        <v>0</v>
      </c>
      <c r="D12" s="610">
        <v>0</v>
      </c>
      <c r="E12" s="610">
        <v>0</v>
      </c>
      <c r="F12" s="610">
        <v>0</v>
      </c>
      <c r="G12" s="610"/>
    </row>
    <row r="13" spans="1:7">
      <c r="A13" s="280" t="s">
        <v>495</v>
      </c>
      <c r="B13" s="160"/>
      <c r="C13" s="610">
        <v>0</v>
      </c>
      <c r="D13" s="610">
        <v>0</v>
      </c>
      <c r="E13" s="610">
        <v>0</v>
      </c>
      <c r="F13" s="610">
        <v>0</v>
      </c>
      <c r="G13" s="610"/>
    </row>
    <row r="14" spans="1:7" ht="27.65" customHeight="1">
      <c r="A14" s="299" t="s">
        <v>766</v>
      </c>
      <c r="B14" s="194"/>
      <c r="C14" s="643">
        <v>0</v>
      </c>
      <c r="D14" s="643">
        <v>0</v>
      </c>
      <c r="E14" s="643">
        <v>0</v>
      </c>
      <c r="F14" s="643">
        <v>0</v>
      </c>
      <c r="G14" s="643"/>
    </row>
    <row r="15" spans="1:7">
      <c r="A15" s="168"/>
    </row>
    <row r="16" spans="1:7">
      <c r="A16" s="608"/>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4" xr:uid="{00000000-0002-0000-1F00-000000000000}">
      <formula1>0</formula1>
    </dataValidation>
  </dataValidations>
  <pageMargins left="0.74803149606299213" right="0.74803149606299213" top="0.98425196850393704" bottom="0.98425196850393704" header="0.51181102362204722" footer="0.51181102362204722"/>
  <pageSetup paperSize="9" scale="97"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H41"/>
  <sheetViews>
    <sheetView topLeftCell="A27" zoomScaleNormal="100" workbookViewId="0">
      <selection activeCell="A42" sqref="A42"/>
    </sheetView>
  </sheetViews>
  <sheetFormatPr baseColWidth="10" defaultColWidth="12" defaultRowHeight="13"/>
  <cols>
    <col min="1" max="1" customWidth="true" style="157" width="53.0" collapsed="true"/>
    <col min="2" max="3" bestFit="true" customWidth="true" style="157" width="19.19921875" collapsed="true"/>
    <col min="4" max="4" customWidth="true" style="157" width="16.0" collapsed="true"/>
    <col min="5" max="5" customWidth="true" style="157" width="8.69921875" collapsed="true"/>
    <col min="6" max="6" bestFit="true" customWidth="true" style="157" width="16.796875" collapsed="true"/>
    <col min="7" max="8" customWidth="true" style="157" width="11.296875" collapsed="true"/>
    <col min="9" max="16384" style="157" width="12.0" collapsed="true"/>
  </cols>
  <sheetData>
    <row r="1" spans="1:8" ht="18.75" customHeight="1">
      <c r="A1" s="959" t="s">
        <v>771</v>
      </c>
      <c r="B1" s="959"/>
      <c r="C1" s="959"/>
      <c r="D1" s="959"/>
      <c r="E1" s="959"/>
      <c r="F1" s="959"/>
      <c r="G1" s="959"/>
      <c r="H1" s="959"/>
    </row>
    <row r="2" spans="1:8" ht="8.15" customHeight="1"/>
    <row r="3" spans="1:8" ht="12.75" customHeight="1">
      <c r="A3" s="960" t="s">
        <v>486</v>
      </c>
      <c r="B3" s="960"/>
      <c r="C3" s="960"/>
      <c r="E3" s="171" t="s">
        <v>487</v>
      </c>
      <c r="F3" s="980">
        <v>44926</v>
      </c>
      <c r="G3" s="981"/>
    </row>
    <row r="4" spans="1:8" ht="15" customHeight="1">
      <c r="A4" s="976" t="s">
        <v>1423</v>
      </c>
      <c r="B4" s="977"/>
      <c r="C4" s="977"/>
      <c r="D4" s="982" t="s">
        <v>488</v>
      </c>
      <c r="E4" s="982"/>
      <c r="F4" s="965">
        <v>12</v>
      </c>
      <c r="G4" s="966"/>
    </row>
    <row r="5" spans="1:8" ht="15" customHeight="1">
      <c r="A5" s="157" t="s">
        <v>489</v>
      </c>
      <c r="B5" s="983" t="s">
        <v>1426</v>
      </c>
      <c r="C5" s="984"/>
      <c r="D5" s="982"/>
      <c r="E5" s="982"/>
      <c r="F5" s="962"/>
      <c r="G5" s="962"/>
    </row>
    <row r="6" spans="1:8" ht="8.15" customHeight="1"/>
    <row r="7" spans="1:8" s="172" customFormat="1" ht="25.15" customHeight="1">
      <c r="A7" s="969" t="s">
        <v>339</v>
      </c>
      <c r="B7" s="1002" t="s">
        <v>1421</v>
      </c>
      <c r="C7" s="1002" t="s">
        <v>722</v>
      </c>
      <c r="D7" s="1039" t="s">
        <v>717</v>
      </c>
      <c r="E7" s="1039" t="s">
        <v>585</v>
      </c>
      <c r="F7" s="1039" t="s">
        <v>772</v>
      </c>
      <c r="G7" s="1039" t="s">
        <v>773</v>
      </c>
      <c r="H7" s="1039" t="s">
        <v>774</v>
      </c>
    </row>
    <row r="8" spans="1:8" s="172" customFormat="1" ht="25.15" customHeight="1">
      <c r="A8" s="1040"/>
      <c r="B8" s="994"/>
      <c r="C8" s="994"/>
      <c r="D8" s="997"/>
      <c r="E8" s="997"/>
      <c r="F8" s="997"/>
      <c r="G8" s="997"/>
      <c r="H8" s="997"/>
    </row>
    <row r="9" spans="1:8">
      <c r="A9" s="280" t="s">
        <v>775</v>
      </c>
      <c r="B9" s="610">
        <v>0</v>
      </c>
      <c r="C9" s="610">
        <v>0</v>
      </c>
      <c r="D9" s="610">
        <v>0</v>
      </c>
      <c r="E9" s="771">
        <v>0</v>
      </c>
      <c r="F9" s="610">
        <v>0</v>
      </c>
      <c r="G9" s="610">
        <v>0</v>
      </c>
      <c r="H9" s="610">
        <v>0</v>
      </c>
    </row>
    <row r="10" spans="1:8" ht="27.65" customHeight="1">
      <c r="A10" s="280" t="s">
        <v>776</v>
      </c>
      <c r="B10" s="610">
        <v>0</v>
      </c>
      <c r="C10" s="610">
        <v>0</v>
      </c>
      <c r="D10" s="610">
        <v>0</v>
      </c>
      <c r="E10" s="771">
        <v>0</v>
      </c>
      <c r="F10" s="617">
        <v>0</v>
      </c>
      <c r="G10" s="617">
        <v>0</v>
      </c>
      <c r="H10" s="617">
        <v>0</v>
      </c>
    </row>
    <row r="11" spans="1:8">
      <c r="A11" s="280" t="s">
        <v>777</v>
      </c>
      <c r="B11" s="610">
        <v>0</v>
      </c>
      <c r="C11" s="610">
        <v>0</v>
      </c>
      <c r="D11" s="610">
        <v>0</v>
      </c>
      <c r="E11" s="771">
        <v>0</v>
      </c>
      <c r="F11" s="617">
        <v>0</v>
      </c>
      <c r="G11" s="617">
        <v>0</v>
      </c>
      <c r="H11" s="617">
        <v>0</v>
      </c>
    </row>
    <row r="12" spans="1:8" ht="27.65" customHeight="1">
      <c r="A12" s="280" t="s">
        <v>778</v>
      </c>
      <c r="B12" s="617">
        <v>299203847821.70001</v>
      </c>
      <c r="C12" s="617">
        <v>359098752469.90002</v>
      </c>
      <c r="D12" s="617">
        <v>59894904648.230003</v>
      </c>
      <c r="E12" s="771">
        <v>-16.68</v>
      </c>
      <c r="F12" s="617">
        <v>299203847822</v>
      </c>
      <c r="G12" s="617">
        <v>0</v>
      </c>
      <c r="H12" s="617">
        <v>0</v>
      </c>
    </row>
    <row r="13" spans="1:8">
      <c r="A13" s="280" t="s">
        <v>779</v>
      </c>
      <c r="B13" s="617">
        <v>0</v>
      </c>
      <c r="C13" s="617">
        <v>0</v>
      </c>
      <c r="D13" s="617">
        <v>0</v>
      </c>
      <c r="E13" s="771">
        <v>0</v>
      </c>
      <c r="F13" s="617">
        <v>0</v>
      </c>
      <c r="G13" s="617">
        <v>0</v>
      </c>
      <c r="H13" s="617">
        <v>0</v>
      </c>
    </row>
    <row r="14" spans="1:8">
      <c r="A14" s="280" t="s">
        <v>594</v>
      </c>
      <c r="B14" s="617">
        <v>0</v>
      </c>
      <c r="C14" s="617">
        <v>0</v>
      </c>
      <c r="D14" s="617">
        <v>0</v>
      </c>
      <c r="E14" s="771">
        <v>0</v>
      </c>
      <c r="F14" s="617">
        <v>0</v>
      </c>
      <c r="G14" s="617">
        <v>0</v>
      </c>
      <c r="H14" s="617">
        <v>0</v>
      </c>
    </row>
    <row r="15" spans="1:8" ht="27.65" customHeight="1">
      <c r="A15" s="280" t="s">
        <v>780</v>
      </c>
      <c r="B15" s="617">
        <v>0</v>
      </c>
      <c r="C15" s="617">
        <v>0</v>
      </c>
      <c r="D15" s="617">
        <v>0</v>
      </c>
      <c r="E15" s="771">
        <v>0</v>
      </c>
      <c r="F15" s="617">
        <v>0</v>
      </c>
      <c r="G15" s="617">
        <v>0</v>
      </c>
      <c r="H15" s="617">
        <v>0</v>
      </c>
    </row>
    <row r="16" spans="1:8">
      <c r="A16" s="280" t="s">
        <v>781</v>
      </c>
      <c r="B16" s="617">
        <v>0</v>
      </c>
      <c r="C16" s="617">
        <v>0</v>
      </c>
      <c r="D16" s="617">
        <v>0</v>
      </c>
      <c r="E16" s="771">
        <v>0</v>
      </c>
      <c r="F16" s="617">
        <v>0</v>
      </c>
      <c r="G16" s="617">
        <v>0</v>
      </c>
      <c r="H16" s="617">
        <v>0</v>
      </c>
    </row>
    <row r="17" spans="1:8">
      <c r="A17" s="280" t="s">
        <v>782</v>
      </c>
      <c r="B17" s="617">
        <v>0</v>
      </c>
      <c r="C17" s="617">
        <v>0</v>
      </c>
      <c r="D17" s="617">
        <v>0</v>
      </c>
      <c r="E17" s="771">
        <v>0</v>
      </c>
      <c r="F17" s="617">
        <v>0</v>
      </c>
      <c r="G17" s="617">
        <v>0</v>
      </c>
      <c r="H17" s="617">
        <v>0</v>
      </c>
    </row>
    <row r="18" spans="1:8" ht="27.65" customHeight="1">
      <c r="A18" s="280" t="s">
        <v>783</v>
      </c>
      <c r="B18" s="617">
        <v>0</v>
      </c>
      <c r="C18" s="617">
        <v>0</v>
      </c>
      <c r="D18" s="617">
        <v>0</v>
      </c>
      <c r="E18" s="771">
        <v>0</v>
      </c>
      <c r="F18" s="617">
        <v>0</v>
      </c>
      <c r="G18" s="617">
        <v>0</v>
      </c>
      <c r="H18" s="617">
        <v>0</v>
      </c>
    </row>
    <row r="19" spans="1:8">
      <c r="A19" s="294" t="s">
        <v>784</v>
      </c>
      <c r="B19" s="715">
        <v>299203847821.70001</v>
      </c>
      <c r="C19" s="715">
        <v>359098752469.90002</v>
      </c>
      <c r="D19" s="715">
        <v>59894904648.230003</v>
      </c>
      <c r="E19" s="780">
        <v>-16.68</v>
      </c>
      <c r="F19" s="715">
        <v>299203847822</v>
      </c>
      <c r="G19" s="715">
        <v>0</v>
      </c>
      <c r="H19" s="715">
        <v>0</v>
      </c>
    </row>
    <row r="20" spans="1:8">
      <c r="A20" s="280" t="s">
        <v>785</v>
      </c>
      <c r="B20" s="617">
        <v>0</v>
      </c>
      <c r="C20" s="617">
        <v>0</v>
      </c>
      <c r="D20" s="617">
        <v>0</v>
      </c>
      <c r="E20" s="771">
        <v>0</v>
      </c>
      <c r="F20" s="617">
        <v>0</v>
      </c>
      <c r="G20" s="617">
        <v>0</v>
      </c>
      <c r="H20" s="617">
        <v>0</v>
      </c>
    </row>
    <row r="21" spans="1:8">
      <c r="A21" s="280" t="s">
        <v>786</v>
      </c>
      <c r="B21" s="617">
        <v>0</v>
      </c>
      <c r="C21" s="617">
        <v>0</v>
      </c>
      <c r="D21" s="617">
        <v>0</v>
      </c>
      <c r="E21" s="771">
        <v>0</v>
      </c>
      <c r="F21" s="617">
        <v>0</v>
      </c>
      <c r="G21" s="617">
        <v>0</v>
      </c>
      <c r="H21" s="617">
        <v>0</v>
      </c>
    </row>
    <row r="22" spans="1:8">
      <c r="A22" s="280" t="s">
        <v>787</v>
      </c>
      <c r="B22" s="617">
        <v>0</v>
      </c>
      <c r="C22" s="617">
        <v>0</v>
      </c>
      <c r="D22" s="617">
        <v>0</v>
      </c>
      <c r="E22" s="771">
        <v>0</v>
      </c>
      <c r="F22" s="617">
        <v>0</v>
      </c>
      <c r="G22" s="617">
        <v>0</v>
      </c>
      <c r="H22" s="617">
        <v>0</v>
      </c>
    </row>
    <row r="23" spans="1:8">
      <c r="A23" s="280" t="s">
        <v>594</v>
      </c>
      <c r="B23" s="617">
        <v>0</v>
      </c>
      <c r="C23" s="617">
        <v>0</v>
      </c>
      <c r="D23" s="617">
        <v>0</v>
      </c>
      <c r="E23" s="771">
        <v>0</v>
      </c>
      <c r="F23" s="617">
        <v>0</v>
      </c>
      <c r="G23" s="617">
        <v>0</v>
      </c>
      <c r="H23" s="617">
        <v>0</v>
      </c>
    </row>
    <row r="24" spans="1:8">
      <c r="A24" s="280" t="s">
        <v>788</v>
      </c>
      <c r="B24" s="617">
        <v>0</v>
      </c>
      <c r="C24" s="617">
        <v>0</v>
      </c>
      <c r="D24" s="617">
        <v>0</v>
      </c>
      <c r="E24" s="771">
        <v>0</v>
      </c>
      <c r="F24" s="617">
        <v>0</v>
      </c>
      <c r="G24" s="617">
        <v>0</v>
      </c>
      <c r="H24" s="617">
        <v>0</v>
      </c>
    </row>
    <row r="25" spans="1:8">
      <c r="A25" s="294" t="s">
        <v>789</v>
      </c>
      <c r="B25" s="715">
        <v>0</v>
      </c>
      <c r="C25" s="715">
        <v>0</v>
      </c>
      <c r="D25" s="715">
        <v>0</v>
      </c>
      <c r="E25" s="780">
        <v>0</v>
      </c>
      <c r="F25" s="612">
        <v>0</v>
      </c>
      <c r="G25" s="612">
        <v>0</v>
      </c>
      <c r="H25" s="612">
        <v>0</v>
      </c>
    </row>
    <row r="26" spans="1:8">
      <c r="A26" s="280" t="s">
        <v>790</v>
      </c>
      <c r="B26" s="617">
        <v>196126760</v>
      </c>
      <c r="C26" s="617">
        <v>167132800</v>
      </c>
      <c r="D26" s="617">
        <v>28993960</v>
      </c>
      <c r="E26" s="771">
        <v>17.34</v>
      </c>
      <c r="F26" s="527"/>
      <c r="G26" s="527"/>
      <c r="H26" s="527"/>
    </row>
    <row r="27" spans="1:8">
      <c r="A27" s="280" t="s">
        <v>791</v>
      </c>
      <c r="B27" s="617">
        <v>0</v>
      </c>
      <c r="C27" s="617">
        <v>0</v>
      </c>
      <c r="D27" s="617">
        <v>0</v>
      </c>
      <c r="E27" s="771">
        <v>0</v>
      </c>
      <c r="F27" s="527"/>
      <c r="G27" s="527"/>
      <c r="H27" s="527"/>
    </row>
    <row r="28" spans="1:8" ht="27.65" customHeight="1">
      <c r="A28" s="280" t="s">
        <v>792</v>
      </c>
      <c r="B28" s="617">
        <v>0</v>
      </c>
      <c r="C28" s="617">
        <v>0</v>
      </c>
      <c r="D28" s="617">
        <v>0</v>
      </c>
      <c r="E28" s="771">
        <v>0</v>
      </c>
      <c r="F28" s="527"/>
      <c r="G28" s="527"/>
      <c r="H28" s="527"/>
    </row>
    <row r="29" spans="1:8">
      <c r="A29" s="280" t="s">
        <v>793</v>
      </c>
      <c r="B29" s="617">
        <v>51617906762.980003</v>
      </c>
      <c r="C29" s="617">
        <v>45237079497.790001</v>
      </c>
      <c r="D29" s="617">
        <v>6380827265.1899996</v>
      </c>
      <c r="E29" s="771">
        <v>14.1</v>
      </c>
      <c r="F29" s="527"/>
      <c r="G29" s="527"/>
      <c r="H29" s="527"/>
    </row>
    <row r="30" spans="1:8">
      <c r="A30" s="280" t="s">
        <v>794</v>
      </c>
      <c r="B30" s="617">
        <v>0</v>
      </c>
      <c r="C30" s="617">
        <v>0</v>
      </c>
      <c r="D30" s="617">
        <v>0</v>
      </c>
      <c r="E30" s="771">
        <v>0</v>
      </c>
      <c r="F30" s="527"/>
      <c r="G30" s="527"/>
      <c r="H30" s="527"/>
    </row>
    <row r="31" spans="1:8" ht="27.65" customHeight="1">
      <c r="A31" s="280" t="s">
        <v>795</v>
      </c>
      <c r="B31" s="617">
        <v>785358999.73000002</v>
      </c>
      <c r="C31" s="617">
        <v>841938999.73000002</v>
      </c>
      <c r="D31" s="617">
        <v>56580000</v>
      </c>
      <c r="E31" s="771">
        <v>-6.73</v>
      </c>
      <c r="F31" s="527"/>
      <c r="G31" s="527"/>
      <c r="H31" s="527"/>
    </row>
    <row r="32" spans="1:8">
      <c r="A32" s="280" t="s">
        <v>796</v>
      </c>
      <c r="B32" s="617">
        <v>0</v>
      </c>
      <c r="C32" s="617">
        <v>0</v>
      </c>
      <c r="D32" s="617">
        <v>0</v>
      </c>
      <c r="E32" s="771">
        <v>0</v>
      </c>
      <c r="F32" s="527"/>
      <c r="G32" s="527"/>
      <c r="H32" s="527"/>
    </row>
    <row r="33" spans="1:8">
      <c r="A33" s="280" t="s">
        <v>797</v>
      </c>
      <c r="B33" s="617">
        <v>0</v>
      </c>
      <c r="C33" s="617">
        <v>0</v>
      </c>
      <c r="D33" s="617">
        <v>0</v>
      </c>
      <c r="E33" s="771">
        <v>0</v>
      </c>
      <c r="F33" s="527"/>
      <c r="G33" s="527"/>
      <c r="H33" s="527"/>
    </row>
    <row r="34" spans="1:8">
      <c r="A34" s="280" t="s">
        <v>798</v>
      </c>
      <c r="B34" s="617">
        <v>0</v>
      </c>
      <c r="C34" s="617">
        <v>0</v>
      </c>
      <c r="D34" s="617">
        <v>0</v>
      </c>
      <c r="E34" s="771">
        <v>0</v>
      </c>
      <c r="F34" s="527"/>
      <c r="G34" s="527"/>
      <c r="H34" s="527"/>
    </row>
    <row r="35" spans="1:8">
      <c r="A35" s="280" t="s">
        <v>799</v>
      </c>
      <c r="B35" s="617">
        <v>0</v>
      </c>
      <c r="C35" s="617">
        <v>0</v>
      </c>
      <c r="D35" s="617">
        <v>0</v>
      </c>
      <c r="E35" s="771">
        <v>0</v>
      </c>
      <c r="F35" s="527"/>
      <c r="G35" s="527"/>
      <c r="H35" s="527"/>
    </row>
    <row r="36" spans="1:8" ht="27.65" customHeight="1">
      <c r="A36" s="280" t="s">
        <v>800</v>
      </c>
      <c r="B36" s="617">
        <v>3166745630</v>
      </c>
      <c r="C36" s="617">
        <v>4021605134</v>
      </c>
      <c r="D36" s="617">
        <v>854859504</v>
      </c>
      <c r="E36" s="771">
        <v>-21.26</v>
      </c>
      <c r="F36" s="527"/>
      <c r="G36" s="527"/>
      <c r="H36" s="527"/>
    </row>
    <row r="37" spans="1:8">
      <c r="A37" s="280" t="s">
        <v>801</v>
      </c>
      <c r="B37" s="617">
        <v>0</v>
      </c>
      <c r="C37" s="617">
        <v>0</v>
      </c>
      <c r="D37" s="617">
        <v>0</v>
      </c>
      <c r="E37" s="771">
        <v>0</v>
      </c>
      <c r="F37" s="527"/>
      <c r="G37" s="527"/>
      <c r="H37" s="527"/>
    </row>
    <row r="38" spans="1:8">
      <c r="A38" s="280" t="s">
        <v>802</v>
      </c>
      <c r="B38" s="617">
        <v>0</v>
      </c>
      <c r="C38" s="617">
        <v>0</v>
      </c>
      <c r="D38" s="617">
        <v>0</v>
      </c>
      <c r="E38" s="771">
        <v>0</v>
      </c>
      <c r="F38" s="527"/>
      <c r="G38" s="527"/>
      <c r="H38" s="527"/>
    </row>
    <row r="39" spans="1:8" ht="27.65" customHeight="1">
      <c r="A39" s="294" t="s">
        <v>803</v>
      </c>
      <c r="B39" s="715">
        <v>55766138152.709999</v>
      </c>
      <c r="C39" s="715">
        <v>50267756431.519997</v>
      </c>
      <c r="D39" s="715">
        <v>5498381721.1899996</v>
      </c>
      <c r="E39" s="780">
        <v>10.93</v>
      </c>
      <c r="F39" s="527"/>
      <c r="G39" s="527"/>
      <c r="H39" s="527"/>
    </row>
    <row r="40" spans="1:8">
      <c r="A40" s="296" t="s">
        <v>528</v>
      </c>
      <c r="E40" s="785"/>
    </row>
    <row r="41" spans="1:8" ht="46" customHeight="1">
      <c r="A41" s="986" t="s">
        <v>1544</v>
      </c>
      <c r="B41" s="986"/>
      <c r="C41" s="986"/>
      <c r="D41" s="986"/>
      <c r="E41" s="986"/>
      <c r="F41" s="986"/>
      <c r="G41" s="986"/>
      <c r="H41" s="986"/>
    </row>
  </sheetData>
  <sheetProtection sheet="false"/>
  <mergeCells count="16">
    <mergeCell ref="A41:H41"/>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9 F9:H25" xr:uid="{00000000-0002-0000-2000-000000000000}">
      <formula1>0</formula1>
    </dataValidation>
  </dataValidations>
  <pageMargins left="0.74803149606299202" right="0.74803149606299202" top="0.98425196850393704" bottom="0.98425196850393704" header="0.511811023622047" footer="0.511811023622047"/>
  <pageSetup paperSize="9" scale="65" orientation="landscape"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H40"/>
  <sheetViews>
    <sheetView topLeftCell="A5" workbookViewId="0">
      <selection activeCell="A17" sqref="A17"/>
    </sheetView>
  </sheetViews>
  <sheetFormatPr baseColWidth="10" defaultColWidth="12" defaultRowHeight="13"/>
  <cols>
    <col min="1" max="1" customWidth="true" style="157" width="39.5" collapsed="true"/>
    <col min="2" max="6" customWidth="true" style="157" width="13.69921875" collapsed="true"/>
    <col min="7" max="7" customWidth="true" style="196" width="13.69921875" collapsed="true"/>
    <col min="8" max="8" style="196" width="12.0" collapsed="true"/>
    <col min="9" max="16384" style="157" width="12.0" collapsed="true"/>
  </cols>
  <sheetData>
    <row r="1" spans="1:8" ht="33.75" customHeight="1">
      <c r="A1" s="1102" t="s">
        <v>804</v>
      </c>
      <c r="B1" s="1102"/>
      <c r="C1" s="1102"/>
      <c r="D1" s="1102"/>
      <c r="E1" s="1102"/>
      <c r="F1" s="1102"/>
      <c r="G1" s="195"/>
      <c r="H1" s="195"/>
    </row>
    <row r="2" spans="1:8" ht="8.15" customHeight="1"/>
    <row r="3" spans="1:8" ht="12.75" customHeight="1">
      <c r="A3" s="960" t="s">
        <v>486</v>
      </c>
      <c r="B3" s="960"/>
      <c r="C3" s="960"/>
      <c r="D3" s="157" t="s">
        <v>487</v>
      </c>
      <c r="E3" s="980">
        <v>44926</v>
      </c>
      <c r="F3" s="998"/>
      <c r="G3" s="157"/>
      <c r="H3" s="157"/>
    </row>
    <row r="4" spans="1:8" ht="15" customHeight="1">
      <c r="A4" s="976" t="s">
        <v>1423</v>
      </c>
      <c r="B4" s="977"/>
      <c r="C4" s="977"/>
      <c r="D4" s="964" t="s">
        <v>488</v>
      </c>
      <c r="E4" s="999">
        <v>12</v>
      </c>
      <c r="F4" s="1000"/>
      <c r="G4" s="157"/>
      <c r="H4" s="157"/>
    </row>
    <row r="5" spans="1:8" ht="15" customHeight="1">
      <c r="A5" s="157" t="s">
        <v>489</v>
      </c>
      <c r="B5" s="983" t="s">
        <v>1426</v>
      </c>
      <c r="C5" s="984"/>
      <c r="D5" s="964"/>
      <c r="E5" s="1001"/>
      <c r="F5" s="1001"/>
      <c r="G5" s="157"/>
      <c r="H5" s="157"/>
    </row>
    <row r="6" spans="1:8" ht="8.15" customHeight="1"/>
    <row r="7" spans="1:8" s="172" customFormat="1" ht="25.15" customHeight="1">
      <c r="A7" s="197" t="s">
        <v>805</v>
      </c>
      <c r="B7" s="184"/>
      <c r="C7" s="184"/>
      <c r="D7" s="184"/>
      <c r="E7" s="198"/>
      <c r="F7" s="199"/>
      <c r="G7" s="200"/>
      <c r="H7" s="196"/>
    </row>
    <row r="8" spans="1:8" s="172" customFormat="1">
      <c r="A8" s="201" t="s">
        <v>339</v>
      </c>
      <c r="B8" s="1006" t="s">
        <v>721</v>
      </c>
      <c r="C8" s="1008"/>
      <c r="D8" s="1006" t="s">
        <v>722</v>
      </c>
      <c r="E8" s="1008"/>
      <c r="F8" s="199"/>
      <c r="G8" s="200"/>
      <c r="H8" s="196"/>
    </row>
    <row r="9" spans="1:8">
      <c r="A9" s="280" t="s">
        <v>806</v>
      </c>
      <c r="B9" s="1056">
        <v>3.2</v>
      </c>
      <c r="C9" s="1049"/>
      <c r="D9" s="1056">
        <v>3.2</v>
      </c>
      <c r="E9" s="1049"/>
      <c r="F9" s="202"/>
      <c r="G9" s="203"/>
    </row>
    <row r="10" spans="1:8">
      <c r="A10" s="280" t="s">
        <v>807</v>
      </c>
      <c r="B10" s="1056">
        <v>6</v>
      </c>
      <c r="C10" s="1049"/>
      <c r="D10" s="1056">
        <v>4</v>
      </c>
      <c r="E10" s="1049"/>
      <c r="F10" s="202"/>
      <c r="G10" s="203"/>
    </row>
    <row r="11" spans="1:8">
      <c r="A11" s="280" t="s">
        <v>808</v>
      </c>
      <c r="B11" s="1056">
        <v>3</v>
      </c>
      <c r="C11" s="1049"/>
      <c r="D11" s="1056">
        <v>2.4</v>
      </c>
      <c r="E11" s="1049"/>
      <c r="F11" s="202"/>
      <c r="G11" s="203"/>
    </row>
    <row r="12" spans="1:8" ht="38.15" customHeight="1">
      <c r="A12" s="280" t="s">
        <v>809</v>
      </c>
      <c r="B12" s="1056">
        <v>0</v>
      </c>
      <c r="C12" s="1049"/>
      <c r="D12" s="1056">
        <v>0</v>
      </c>
      <c r="E12" s="1049"/>
      <c r="F12" s="202"/>
      <c r="G12" s="203"/>
    </row>
    <row r="13" spans="1:8" ht="27.65" customHeight="1">
      <c r="A13" s="280" t="s">
        <v>810</v>
      </c>
      <c r="B13" s="1056">
        <v>0</v>
      </c>
      <c r="C13" s="1049"/>
      <c r="D13" s="1056">
        <v>0</v>
      </c>
      <c r="E13" s="1049"/>
      <c r="F13" s="202"/>
      <c r="G13" s="203"/>
    </row>
    <row r="14" spans="1:8" ht="26">
      <c r="A14" s="280" t="s">
        <v>811</v>
      </c>
      <c r="B14" s="1056">
        <v>0</v>
      </c>
      <c r="C14" s="1049"/>
      <c r="D14" s="1056">
        <v>0</v>
      </c>
      <c r="E14" s="1049"/>
      <c r="F14" s="202"/>
      <c r="G14" s="203"/>
    </row>
    <row r="15" spans="1:8">
      <c r="A15" s="296" t="s">
        <v>528</v>
      </c>
    </row>
    <row r="16" spans="1:8" ht="18" customHeight="1">
      <c r="A16" s="1108" t="s">
        <v>1545</v>
      </c>
      <c r="B16" s="1108"/>
      <c r="C16" s="1108"/>
      <c r="D16" s="1108"/>
      <c r="E16" s="1108"/>
    </row>
    <row r="17" spans="1:8">
      <c r="A17" s="652"/>
    </row>
    <row r="18" spans="1:8">
      <c r="A18" s="168"/>
    </row>
    <row r="20" spans="1:8" s="172" customFormat="1" ht="33.75" customHeight="1">
      <c r="A20" s="1103" t="s">
        <v>812</v>
      </c>
      <c r="B20" s="1104"/>
      <c r="C20" s="1104"/>
      <c r="D20" s="1104"/>
      <c r="E20" s="1105"/>
      <c r="F20" s="199"/>
      <c r="G20" s="200"/>
      <c r="H20" s="196"/>
    </row>
    <row r="21" spans="1:8" s="172" customFormat="1">
      <c r="A21" s="201" t="s">
        <v>339</v>
      </c>
      <c r="B21" s="1006" t="s">
        <v>721</v>
      </c>
      <c r="C21" s="1008"/>
      <c r="D21" s="1006" t="s">
        <v>722</v>
      </c>
      <c r="E21" s="1008"/>
      <c r="F21" s="199"/>
      <c r="G21" s="200"/>
      <c r="H21" s="196"/>
    </row>
    <row r="22" spans="1:8" ht="27.65" customHeight="1">
      <c r="A22" s="294" t="s">
        <v>813</v>
      </c>
      <c r="B22" s="1106">
        <v>841939000</v>
      </c>
      <c r="C22" s="1107"/>
      <c r="D22" s="1106">
        <v>613043000</v>
      </c>
      <c r="E22" s="1107"/>
      <c r="F22" s="204"/>
      <c r="G22" s="205"/>
    </row>
    <row r="23" spans="1:8" ht="26">
      <c r="A23" s="280" t="s">
        <v>814</v>
      </c>
      <c r="B23" s="1087"/>
      <c r="C23" s="1086"/>
      <c r="D23" s="1087"/>
      <c r="E23" s="1086"/>
      <c r="F23" s="202"/>
      <c r="G23" s="203"/>
    </row>
    <row r="24" spans="1:8">
      <c r="A24" s="280" t="s">
        <v>815</v>
      </c>
      <c r="B24" s="1085">
        <v>33374000</v>
      </c>
      <c r="C24" s="1086"/>
      <c r="D24" s="1085">
        <v>24336000</v>
      </c>
      <c r="E24" s="1086"/>
      <c r="F24" s="202"/>
      <c r="G24" s="203"/>
    </row>
    <row r="25" spans="1:8">
      <c r="A25" s="280" t="s">
        <v>816</v>
      </c>
      <c r="B25" s="1085">
        <v>161580000</v>
      </c>
      <c r="C25" s="1086"/>
      <c r="D25" s="1085">
        <v>115445000</v>
      </c>
      <c r="E25" s="1086"/>
      <c r="F25" s="202"/>
      <c r="G25" s="203"/>
    </row>
    <row r="26" spans="1:8">
      <c r="A26" s="280" t="s">
        <v>817</v>
      </c>
      <c r="B26" s="1109">
        <v>0</v>
      </c>
      <c r="C26" s="1086"/>
      <c r="D26" s="1109">
        <v>0</v>
      </c>
      <c r="E26" s="1086"/>
      <c r="F26" s="202"/>
      <c r="G26" s="203"/>
    </row>
    <row r="27" spans="1:8">
      <c r="A27" s="280" t="s">
        <v>818</v>
      </c>
      <c r="B27" s="1085">
        <v>89240000</v>
      </c>
      <c r="C27" s="1086"/>
      <c r="D27" s="1085">
        <v>0</v>
      </c>
      <c r="E27" s="1086"/>
      <c r="F27" s="202"/>
      <c r="G27" s="203"/>
    </row>
    <row r="28" spans="1:8" ht="27.65" customHeight="1">
      <c r="A28" s="294" t="s">
        <v>813</v>
      </c>
      <c r="B28" s="1112">
        <v>785359000</v>
      </c>
      <c r="C28" s="1113"/>
      <c r="D28" s="1112">
        <v>841939000</v>
      </c>
      <c r="E28" s="1113"/>
      <c r="F28" s="204"/>
      <c r="G28" s="205"/>
    </row>
    <row r="29" spans="1:8">
      <c r="A29" s="296" t="s">
        <v>528</v>
      </c>
    </row>
    <row r="30" spans="1:8">
      <c r="A30" s="168"/>
    </row>
    <row r="31" spans="1:8">
      <c r="A31" s="608"/>
    </row>
    <row r="33" spans="1:8" s="172" customFormat="1" ht="15.65" customHeight="1">
      <c r="A33" s="1103" t="s">
        <v>819</v>
      </c>
      <c r="B33" s="1104"/>
      <c r="C33" s="1104"/>
      <c r="D33" s="1104"/>
      <c r="E33" s="1104"/>
      <c r="F33" s="1105"/>
      <c r="G33" s="206"/>
      <c r="H33" s="200"/>
    </row>
    <row r="34" spans="1:8" s="172" customFormat="1">
      <c r="A34" s="274" t="s">
        <v>339</v>
      </c>
      <c r="B34" s="165"/>
      <c r="C34" s="1006" t="s">
        <v>1517</v>
      </c>
      <c r="D34" s="1008"/>
      <c r="E34" s="1006" t="s">
        <v>1518</v>
      </c>
      <c r="F34" s="1008"/>
      <c r="G34" s="206"/>
      <c r="H34" s="200"/>
    </row>
    <row r="35" spans="1:8">
      <c r="A35" s="207"/>
      <c r="B35" s="208"/>
      <c r="C35" s="275" t="s">
        <v>820</v>
      </c>
      <c r="D35" s="190" t="s">
        <v>821</v>
      </c>
      <c r="E35" s="275" t="s">
        <v>820</v>
      </c>
      <c r="F35" s="190" t="s">
        <v>821</v>
      </c>
      <c r="G35" s="204"/>
      <c r="H35" s="205"/>
    </row>
    <row r="36" spans="1:8">
      <c r="A36" s="1110" t="s">
        <v>822</v>
      </c>
      <c r="B36" s="1111"/>
      <c r="C36" s="617">
        <v>734874000</v>
      </c>
      <c r="D36" s="617">
        <v>839576000</v>
      </c>
      <c r="E36" s="617">
        <v>786814000</v>
      </c>
      <c r="F36" s="617">
        <v>901221000</v>
      </c>
      <c r="G36" s="202"/>
      <c r="H36" s="203"/>
    </row>
    <row r="37" spans="1:8">
      <c r="A37" s="1110" t="s">
        <v>823</v>
      </c>
      <c r="B37" s="1111"/>
      <c r="C37" s="617">
        <v>840490000</v>
      </c>
      <c r="D37" s="617">
        <v>733605000</v>
      </c>
      <c r="E37" s="617">
        <v>901396000</v>
      </c>
      <c r="F37" s="617">
        <v>786144000</v>
      </c>
      <c r="G37" s="202"/>
      <c r="H37" s="203"/>
    </row>
    <row r="38" spans="1:8">
      <c r="A38" s="1110" t="s">
        <v>824</v>
      </c>
      <c r="B38" s="1111"/>
      <c r="C38" s="610"/>
      <c r="D38" s="610"/>
      <c r="E38" s="610"/>
      <c r="F38" s="503"/>
      <c r="G38" s="202"/>
      <c r="H38" s="203"/>
    </row>
    <row r="39" spans="1:8">
      <c r="A39" s="296" t="s">
        <v>528</v>
      </c>
      <c r="B39" s="297"/>
      <c r="F39" s="608"/>
    </row>
    <row r="40" spans="1:8" ht="99" customHeight="1">
      <c r="A40" s="1027" t="s">
        <v>1525</v>
      </c>
      <c r="B40" s="1027"/>
      <c r="C40" s="1027"/>
      <c r="D40" s="1027"/>
      <c r="E40" s="1027"/>
      <c r="F40" s="1027"/>
    </row>
  </sheetData>
  <sheetProtection sheet="false"/>
  <mergeCells count="46">
    <mergeCell ref="A40:F40"/>
    <mergeCell ref="A37:B37"/>
    <mergeCell ref="A38:B38"/>
    <mergeCell ref="B27:C27"/>
    <mergeCell ref="D27:E27"/>
    <mergeCell ref="A33:F33"/>
    <mergeCell ref="C34:D34"/>
    <mergeCell ref="E34:F34"/>
    <mergeCell ref="A36:B36"/>
    <mergeCell ref="D28:E28"/>
    <mergeCell ref="B28:C28"/>
    <mergeCell ref="B24:C24"/>
    <mergeCell ref="D24:E24"/>
    <mergeCell ref="B25:C25"/>
    <mergeCell ref="D25:E25"/>
    <mergeCell ref="B26:C26"/>
    <mergeCell ref="D26:E26"/>
    <mergeCell ref="B23:C23"/>
    <mergeCell ref="D23:E23"/>
    <mergeCell ref="B11:C11"/>
    <mergeCell ref="D11:E11"/>
    <mergeCell ref="B12:C12"/>
    <mergeCell ref="D12:E12"/>
    <mergeCell ref="B13:C13"/>
    <mergeCell ref="D13:E13"/>
    <mergeCell ref="B14:C14"/>
    <mergeCell ref="D14:E14"/>
    <mergeCell ref="A20:E20"/>
    <mergeCell ref="B21:C21"/>
    <mergeCell ref="D21:E21"/>
    <mergeCell ref="D22:E22"/>
    <mergeCell ref="B22:C22"/>
    <mergeCell ref="A16:E16"/>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4" xr:uid="{00000000-0002-0000-21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E23:E27 B22:B28 D22:D28 C23:C27" xr:uid="{00000000-0002-0000-2100-000001000000}">
      <formula1>0</formula1>
    </dataValidation>
  </dataValidation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G28"/>
  <sheetViews>
    <sheetView workbookViewId="0">
      <selection activeCell="H39" sqref="H39"/>
    </sheetView>
  </sheetViews>
  <sheetFormatPr baseColWidth="10" defaultColWidth="12" defaultRowHeight="13"/>
  <cols>
    <col min="1" max="1" customWidth="true" style="157" width="39.5" collapsed="true"/>
    <col min="2" max="2" customWidth="true" style="157" width="26.19921875" collapsed="true"/>
    <col min="3" max="3" customWidth="true" style="157" width="24.796875" collapsed="true"/>
    <col min="4" max="4" customWidth="true" style="157" width="17.296875" collapsed="true"/>
    <col min="5" max="5" customWidth="true" style="157" width="19.69921875" collapsed="true"/>
    <col min="6" max="6" customWidth="true" style="196" width="13.69921875" collapsed="true"/>
    <col min="7" max="7" style="196" width="12.0" collapsed="true"/>
    <col min="8" max="16384" style="157" width="12.0" collapsed="true"/>
  </cols>
  <sheetData>
    <row r="1" spans="1:7" ht="33.75" customHeight="1">
      <c r="A1" s="1102" t="s">
        <v>825</v>
      </c>
      <c r="B1" s="1102"/>
      <c r="C1" s="1102"/>
      <c r="D1" s="1102"/>
      <c r="E1" s="1102"/>
      <c r="F1" s="195"/>
      <c r="G1" s="195"/>
    </row>
    <row r="2" spans="1:7" ht="8.15" customHeight="1"/>
    <row r="3" spans="1:7" ht="12.75" customHeight="1">
      <c r="A3" s="960" t="s">
        <v>486</v>
      </c>
      <c r="B3" s="960"/>
      <c r="C3" s="157" t="s">
        <v>826</v>
      </c>
      <c r="D3" s="622">
        <v>44926</v>
      </c>
      <c r="E3" s="338"/>
      <c r="F3" s="157"/>
      <c r="G3" s="157"/>
    </row>
    <row r="4" spans="1:7" ht="15" customHeight="1">
      <c r="A4" s="976" t="s">
        <v>1423</v>
      </c>
      <c r="B4" s="977"/>
      <c r="C4" s="964" t="s">
        <v>827</v>
      </c>
      <c r="D4" s="334"/>
      <c r="E4" s="1000"/>
      <c r="F4" s="157"/>
      <c r="G4" s="157"/>
    </row>
    <row r="5" spans="1:7" ht="15" customHeight="1">
      <c r="A5" s="157" t="s">
        <v>489</v>
      </c>
      <c r="B5" s="621" t="s">
        <v>1426</v>
      </c>
      <c r="C5" s="964"/>
      <c r="D5" s="655">
        <v>12</v>
      </c>
      <c r="E5" s="1001"/>
      <c r="F5" s="157"/>
      <c r="G5" s="157"/>
    </row>
    <row r="6" spans="1:7" ht="8.15" customHeight="1"/>
    <row r="8" spans="1:7" s="172" customFormat="1" ht="33.75" customHeight="1">
      <c r="A8" s="1103" t="s">
        <v>828</v>
      </c>
      <c r="B8" s="1104"/>
      <c r="C8" s="1105"/>
      <c r="D8" s="449"/>
      <c r="E8" s="450"/>
      <c r="F8" s="200"/>
      <c r="G8" s="196"/>
    </row>
    <row r="9" spans="1:7" s="172" customFormat="1">
      <c r="A9" s="201" t="s">
        <v>339</v>
      </c>
      <c r="B9" s="414" t="s">
        <v>721</v>
      </c>
      <c r="C9" s="166" t="s">
        <v>722</v>
      </c>
      <c r="D9" s="451"/>
      <c r="E9" s="450"/>
      <c r="F9" s="200"/>
      <c r="G9" s="196"/>
    </row>
    <row r="10" spans="1:7" ht="27.65" customHeight="1">
      <c r="A10" s="280" t="s">
        <v>829</v>
      </c>
      <c r="B10" s="647"/>
      <c r="C10" s="610"/>
      <c r="D10" s="452"/>
      <c r="E10" s="203"/>
      <c r="F10" s="203"/>
    </row>
    <row r="11" spans="1:7" ht="27.65" customHeight="1">
      <c r="A11" s="280" t="s">
        <v>830</v>
      </c>
      <c r="B11" s="647"/>
      <c r="C11" s="610"/>
      <c r="D11" s="452"/>
      <c r="E11" s="203"/>
      <c r="F11" s="203"/>
    </row>
    <row r="12" spans="1:7" ht="25.15" customHeight="1">
      <c r="A12" s="294" t="s">
        <v>831</v>
      </c>
      <c r="B12" s="656"/>
      <c r="C12" s="612"/>
      <c r="D12" s="452"/>
      <c r="E12" s="205"/>
      <c r="F12" s="205"/>
    </row>
    <row r="13" spans="1:7">
      <c r="A13" s="296" t="s">
        <v>528</v>
      </c>
    </row>
    <row r="14" spans="1:7">
      <c r="A14" s="168" t="s">
        <v>832</v>
      </c>
    </row>
    <row r="15" spans="1:7">
      <c r="A15" s="608"/>
    </row>
    <row r="17" spans="1:7" s="172" customFormat="1" ht="15.65" customHeight="1">
      <c r="A17" s="1103" t="s">
        <v>833</v>
      </c>
      <c r="B17" s="1104"/>
      <c r="C17" s="1104"/>
      <c r="D17" s="1104"/>
      <c r="E17" s="1105"/>
      <c r="F17" s="206"/>
      <c r="G17" s="200"/>
    </row>
    <row r="18" spans="1:7" s="172" customFormat="1">
      <c r="A18" s="274" t="s">
        <v>339</v>
      </c>
      <c r="B18" s="1006" t="s">
        <v>721</v>
      </c>
      <c r="C18" s="1008"/>
      <c r="D18" s="339"/>
      <c r="E18" s="339"/>
      <c r="F18" s="206"/>
      <c r="G18" s="200"/>
    </row>
    <row r="19" spans="1:7" ht="26">
      <c r="A19" s="207"/>
      <c r="B19" s="209" t="s">
        <v>834</v>
      </c>
      <c r="C19" s="209" t="s">
        <v>835</v>
      </c>
      <c r="D19" s="209" t="s">
        <v>834</v>
      </c>
      <c r="E19" s="209" t="s">
        <v>835</v>
      </c>
      <c r="F19" s="204"/>
      <c r="G19" s="205"/>
    </row>
    <row r="20" spans="1:7">
      <c r="A20" s="342" t="s">
        <v>682</v>
      </c>
      <c r="B20" s="610">
        <v>0</v>
      </c>
      <c r="C20" s="610">
        <v>0</v>
      </c>
      <c r="D20" s="610">
        <v>0</v>
      </c>
      <c r="E20" s="610">
        <v>0</v>
      </c>
      <c r="F20" s="202"/>
      <c r="G20" s="203"/>
    </row>
    <row r="21" spans="1:7">
      <c r="A21" s="342" t="s">
        <v>683</v>
      </c>
      <c r="B21" s="610">
        <v>0</v>
      </c>
      <c r="C21" s="610">
        <v>0</v>
      </c>
      <c r="D21" s="610">
        <v>0</v>
      </c>
      <c r="E21" s="610">
        <v>0</v>
      </c>
      <c r="F21" s="202"/>
      <c r="G21" s="203"/>
    </row>
    <row r="22" spans="1:7">
      <c r="A22" s="342" t="s">
        <v>495</v>
      </c>
      <c r="B22" s="610">
        <v>0</v>
      </c>
      <c r="C22" s="610">
        <v>0</v>
      </c>
      <c r="D22" s="610">
        <v>0</v>
      </c>
      <c r="E22" s="610">
        <v>0</v>
      </c>
      <c r="F22" s="202"/>
      <c r="G22" s="203"/>
    </row>
    <row r="23" spans="1:7" ht="25.15" customHeight="1">
      <c r="A23" s="300" t="s">
        <v>113</v>
      </c>
      <c r="B23" s="657">
        <v>0</v>
      </c>
      <c r="C23" s="657">
        <v>0</v>
      </c>
      <c r="D23" s="657">
        <v>0</v>
      </c>
      <c r="E23" s="657">
        <v>0</v>
      </c>
      <c r="F23" s="203"/>
      <c r="G23" s="203"/>
    </row>
    <row r="24" spans="1:7">
      <c r="A24" s="167" t="s">
        <v>528</v>
      </c>
    </row>
    <row r="28" spans="1:7">
      <c r="A28" s="608"/>
    </row>
  </sheetData>
  <sheetProtection sheet="false"/>
  <mergeCells count="8">
    <mergeCell ref="A8:C8"/>
    <mergeCell ref="A17:E17"/>
    <mergeCell ref="B18:C18"/>
    <mergeCell ref="A1:E1"/>
    <mergeCell ref="A3:B3"/>
    <mergeCell ref="A4:B4"/>
    <mergeCell ref="C4:C5"/>
    <mergeCell ref="E4:E5"/>
  </mergeCells>
  <pageMargins left="0.74803149606299202" right="0.74803149606299202" top="0.98425196850393704" bottom="0.98425196850393704" header="0.511811023622047" footer="0.511811023622047"/>
  <pageSetup paperSize="9" orientation="landscape"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F23"/>
  <sheetViews>
    <sheetView workbookViewId="0">
      <selection activeCell="H39" sqref="H39"/>
    </sheetView>
  </sheetViews>
  <sheetFormatPr baseColWidth="10" defaultColWidth="12" defaultRowHeight="13"/>
  <cols>
    <col min="1" max="1" customWidth="true" style="157" width="39.5" collapsed="true"/>
    <col min="2" max="2" customWidth="true" style="157" width="13.69921875" collapsed="true"/>
    <col min="3" max="3" customWidth="true" style="157" width="17.19921875" collapsed="true"/>
    <col min="4" max="4" customWidth="true" style="157" width="27.796875" collapsed="true"/>
    <col min="5" max="5" customWidth="true" style="196" width="13.69921875" collapsed="true"/>
    <col min="6" max="6" style="196" width="12.0" collapsed="true"/>
    <col min="7" max="16384" style="157" width="12.0" collapsed="true"/>
  </cols>
  <sheetData>
    <row r="1" spans="1:6" ht="18.75" customHeight="1">
      <c r="A1" s="1102" t="s">
        <v>836</v>
      </c>
      <c r="B1" s="1102"/>
      <c r="C1" s="1102"/>
      <c r="D1" s="1102"/>
      <c r="E1" s="195"/>
      <c r="F1" s="195"/>
    </row>
    <row r="2" spans="1:6" ht="8.15" customHeight="1"/>
    <row r="3" spans="1:6" ht="12.75" customHeight="1">
      <c r="A3" s="960" t="s">
        <v>486</v>
      </c>
      <c r="B3" s="960"/>
      <c r="C3" s="171" t="s">
        <v>487</v>
      </c>
      <c r="D3" s="623">
        <v>44926</v>
      </c>
      <c r="E3" s="157"/>
      <c r="F3" s="157"/>
    </row>
    <row r="4" spans="1:6" ht="15" customHeight="1">
      <c r="A4" s="976" t="s">
        <v>1423</v>
      </c>
      <c r="B4" s="977"/>
      <c r="C4" s="982" t="s">
        <v>488</v>
      </c>
      <c r="D4" s="999">
        <v>12</v>
      </c>
      <c r="E4" s="157"/>
      <c r="F4" s="157"/>
    </row>
    <row r="5" spans="1:6" ht="15" customHeight="1">
      <c r="A5" s="157" t="s">
        <v>489</v>
      </c>
      <c r="B5" s="621" t="s">
        <v>1426</v>
      </c>
      <c r="C5" s="982"/>
      <c r="D5" s="1001"/>
      <c r="E5" s="157"/>
      <c r="F5" s="157"/>
    </row>
    <row r="6" spans="1:6" ht="8.15" customHeight="1"/>
    <row r="8" spans="1:6" s="172" customFormat="1" ht="25.15" customHeight="1">
      <c r="A8" s="1114" t="s">
        <v>339</v>
      </c>
      <c r="B8" s="1115"/>
      <c r="C8" s="414" t="s">
        <v>721</v>
      </c>
      <c r="D8" s="166" t="s">
        <v>722</v>
      </c>
      <c r="E8" s="200"/>
      <c r="F8" s="196"/>
    </row>
    <row r="9" spans="1:6" ht="25.15" customHeight="1">
      <c r="A9" s="1116" t="s">
        <v>837</v>
      </c>
      <c r="B9" s="1117"/>
      <c r="C9" s="499"/>
      <c r="D9" s="161"/>
      <c r="E9" s="205"/>
    </row>
    <row r="10" spans="1:6">
      <c r="A10" s="1118" t="s">
        <v>838</v>
      </c>
      <c r="B10" s="1119"/>
      <c r="C10" s="497"/>
      <c r="D10" s="160"/>
      <c r="E10" s="203"/>
    </row>
    <row r="11" spans="1:6">
      <c r="A11" s="1120" t="s">
        <v>839</v>
      </c>
      <c r="B11" s="1121"/>
      <c r="C11" s="497"/>
      <c r="D11" s="160"/>
      <c r="E11" s="203"/>
    </row>
    <row r="12" spans="1:6">
      <c r="A12" s="1120" t="s">
        <v>839</v>
      </c>
      <c r="B12" s="1121"/>
      <c r="C12" s="497"/>
      <c r="D12" s="160"/>
      <c r="E12" s="203"/>
    </row>
    <row r="13" spans="1:6">
      <c r="A13" s="1120" t="s">
        <v>839</v>
      </c>
      <c r="B13" s="1121"/>
      <c r="C13" s="497"/>
      <c r="D13" s="160"/>
      <c r="E13" s="203"/>
    </row>
    <row r="14" spans="1:6">
      <c r="A14" s="1120" t="s">
        <v>839</v>
      </c>
      <c r="B14" s="1121"/>
      <c r="C14" s="497"/>
      <c r="D14" s="160"/>
      <c r="E14" s="203"/>
    </row>
    <row r="15" spans="1:6" ht="25.15" customHeight="1">
      <c r="A15" s="1116" t="s">
        <v>840</v>
      </c>
      <c r="B15" s="1117"/>
      <c r="C15" s="499"/>
      <c r="D15" s="161"/>
      <c r="E15" s="205"/>
    </row>
    <row r="16" spans="1:6">
      <c r="A16" s="1118" t="s">
        <v>838</v>
      </c>
      <c r="B16" s="1119"/>
      <c r="C16" s="497"/>
      <c r="D16" s="160"/>
      <c r="E16" s="203"/>
    </row>
    <row r="17" spans="1:5">
      <c r="A17" s="1120" t="s">
        <v>839</v>
      </c>
      <c r="B17" s="1121"/>
      <c r="C17" s="497"/>
      <c r="D17" s="160"/>
      <c r="E17" s="203"/>
    </row>
    <row r="18" spans="1:5">
      <c r="A18" s="1120" t="s">
        <v>839</v>
      </c>
      <c r="B18" s="1121"/>
      <c r="C18" s="497"/>
      <c r="D18" s="160"/>
      <c r="E18" s="203"/>
    </row>
    <row r="19" spans="1:5">
      <c r="A19" s="1120" t="s">
        <v>839</v>
      </c>
      <c r="B19" s="1121"/>
      <c r="C19" s="497"/>
      <c r="D19" s="160"/>
      <c r="E19" s="203"/>
    </row>
    <row r="20" spans="1:5">
      <c r="A20" s="1120" t="s">
        <v>839</v>
      </c>
      <c r="B20" s="1121"/>
      <c r="C20" s="497"/>
      <c r="D20" s="160"/>
      <c r="E20" s="203"/>
    </row>
    <row r="21" spans="1:5">
      <c r="A21" s="167" t="s">
        <v>528</v>
      </c>
    </row>
    <row r="22" spans="1:5">
      <c r="A22" s="652"/>
    </row>
    <row r="23" spans="1:5">
      <c r="A23" s="168"/>
    </row>
  </sheetData>
  <sheetProtection sheet="false"/>
  <mergeCells count="18">
    <mergeCell ref="A20:B20"/>
    <mergeCell ref="A18:B18"/>
    <mergeCell ref="A19:B19"/>
    <mergeCell ref="A13:B13"/>
    <mergeCell ref="A14:B14"/>
    <mergeCell ref="A15:B15"/>
    <mergeCell ref="A16:B16"/>
    <mergeCell ref="A17:B17"/>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GH25"/>
  <sheetViews>
    <sheetView topLeftCell="A4" workbookViewId="0">
      <selection activeCell="H39" sqref="H39"/>
    </sheetView>
  </sheetViews>
  <sheetFormatPr baseColWidth="10" defaultColWidth="12" defaultRowHeight="13"/>
  <cols>
    <col min="1" max="1" customWidth="true" style="157" width="51.0" collapsed="true"/>
    <col min="2" max="2" customWidth="true" style="157" width="15.296875" collapsed="true"/>
    <col min="3" max="3" bestFit="true" customWidth="true" style="157" width="19.19921875" collapsed="true"/>
    <col min="4" max="4" customWidth="true" style="157" width="18.5" collapsed="true"/>
    <col min="5" max="5" customWidth="true" style="157" width="9.5" collapsed="true"/>
    <col min="6" max="8" customWidth="true" style="157" width="12.5" collapsed="true"/>
    <col min="9" max="10" style="157" width="12.0" collapsed="true"/>
    <col min="11" max="11" bestFit="true" customWidth="true" style="157" width="15.69921875" collapsed="true"/>
    <col min="12" max="16384" style="157" width="12.0" collapsed="true"/>
  </cols>
  <sheetData>
    <row r="1" spans="1:11" ht="18" customHeight="1">
      <c r="A1" s="959" t="s">
        <v>841</v>
      </c>
      <c r="B1" s="959"/>
      <c r="C1" s="959"/>
      <c r="D1" s="959"/>
      <c r="E1" s="959"/>
      <c r="F1" s="959"/>
      <c r="G1" s="959"/>
      <c r="H1" s="959"/>
    </row>
    <row r="2" spans="1:11" ht="8.15" customHeight="1"/>
    <row r="3" spans="1:11" ht="12.75" customHeight="1">
      <c r="A3" s="960" t="s">
        <v>486</v>
      </c>
      <c r="B3" s="960"/>
      <c r="C3" s="960"/>
      <c r="D3" s="402"/>
      <c r="F3" s="171" t="s">
        <v>487</v>
      </c>
      <c r="G3" s="980">
        <v>44926</v>
      </c>
      <c r="H3" s="981"/>
    </row>
    <row r="4" spans="1:11" ht="15" customHeight="1">
      <c r="A4" s="976" t="s">
        <v>1423</v>
      </c>
      <c r="B4" s="977"/>
      <c r="C4" s="977"/>
      <c r="D4" s="403"/>
      <c r="F4" s="982" t="s">
        <v>488</v>
      </c>
      <c r="G4" s="965">
        <v>12</v>
      </c>
      <c r="H4" s="966"/>
    </row>
    <row r="5" spans="1:11" ht="15" customHeight="1">
      <c r="A5" s="157" t="s">
        <v>489</v>
      </c>
      <c r="B5" s="983" t="s">
        <v>1426</v>
      </c>
      <c r="C5" s="984"/>
      <c r="D5" s="403"/>
      <c r="F5" s="982"/>
      <c r="G5" s="962"/>
      <c r="H5" s="962"/>
    </row>
    <row r="6" spans="1:11" ht="8.15" customHeight="1"/>
    <row r="7" spans="1:11" s="172" customFormat="1" ht="25.15" customHeight="1">
      <c r="A7" s="969" t="s">
        <v>339</v>
      </c>
      <c r="B7" s="1002" t="s">
        <v>721</v>
      </c>
      <c r="C7" s="1002" t="s">
        <v>722</v>
      </c>
      <c r="D7" s="1002" t="s">
        <v>717</v>
      </c>
      <c r="E7" s="1002" t="s">
        <v>585</v>
      </c>
      <c r="F7" s="1039" t="s">
        <v>772</v>
      </c>
      <c r="G7" s="1039" t="s">
        <v>773</v>
      </c>
      <c r="H7" s="1002" t="s">
        <v>774</v>
      </c>
    </row>
    <row r="8" spans="1:11" s="172" customFormat="1" ht="25.15" customHeight="1">
      <c r="A8" s="1040"/>
      <c r="B8" s="994"/>
      <c r="C8" s="994"/>
      <c r="D8" s="994"/>
      <c r="E8" s="994"/>
      <c r="F8" s="997"/>
      <c r="G8" s="997"/>
      <c r="H8" s="994"/>
    </row>
    <row r="9" spans="1:11">
      <c r="A9" s="280" t="s">
        <v>842</v>
      </c>
      <c r="B9" s="617">
        <v>2035502744</v>
      </c>
      <c r="C9" s="617">
        <v>2426094974.73</v>
      </c>
      <c r="D9" s="617">
        <v>420957708.38999999</v>
      </c>
      <c r="E9" s="771">
        <v>-17.36</v>
      </c>
      <c r="F9" s="610">
        <v>0</v>
      </c>
      <c r="G9" s="610">
        <v>0</v>
      </c>
      <c r="H9" s="610">
        <v>0</v>
      </c>
    </row>
    <row r="10" spans="1:11">
      <c r="A10" s="280" t="s">
        <v>1373</v>
      </c>
      <c r="B10" s="617">
        <v>0</v>
      </c>
      <c r="C10" s="617">
        <v>0</v>
      </c>
      <c r="D10" s="617">
        <v>0</v>
      </c>
      <c r="E10" s="771">
        <v>0</v>
      </c>
      <c r="F10" s="610">
        <v>0</v>
      </c>
      <c r="G10" s="610">
        <v>0</v>
      </c>
      <c r="H10" s="610">
        <v>0</v>
      </c>
    </row>
    <row r="11" spans="1:11">
      <c r="A11" s="453" t="s">
        <v>1374</v>
      </c>
      <c r="B11" s="617">
        <v>0</v>
      </c>
      <c r="C11" s="617">
        <v>0</v>
      </c>
      <c r="D11" s="617">
        <v>0</v>
      </c>
      <c r="E11" s="771">
        <v>0</v>
      </c>
      <c r="F11" s="610">
        <v>0</v>
      </c>
      <c r="G11" s="610">
        <v>0</v>
      </c>
      <c r="H11" s="610">
        <v>0</v>
      </c>
      <c r="K11" s="744"/>
    </row>
    <row r="12" spans="1:11">
      <c r="A12" s="280" t="s">
        <v>1375</v>
      </c>
      <c r="B12" s="617">
        <v>0</v>
      </c>
      <c r="C12" s="617">
        <v>0</v>
      </c>
      <c r="D12" s="617">
        <v>0</v>
      </c>
      <c r="E12" s="771">
        <v>0</v>
      </c>
      <c r="F12" s="610">
        <v>0</v>
      </c>
      <c r="G12" s="610">
        <v>0</v>
      </c>
      <c r="H12" s="610">
        <v>0</v>
      </c>
    </row>
    <row r="13" spans="1:11">
      <c r="A13" s="280" t="s">
        <v>843</v>
      </c>
      <c r="B13" s="617">
        <v>3599217542.3000002</v>
      </c>
      <c r="C13" s="617">
        <v>3470445482.79</v>
      </c>
      <c r="D13" s="617">
        <v>128772059.51000001</v>
      </c>
      <c r="E13" s="771">
        <v>3.71</v>
      </c>
      <c r="F13" s="610">
        <v>0</v>
      </c>
      <c r="G13" s="610">
        <v>0</v>
      </c>
      <c r="H13" s="610">
        <v>0</v>
      </c>
    </row>
    <row r="14" spans="1:11">
      <c r="A14" s="280" t="s">
        <v>844</v>
      </c>
      <c r="B14" s="617">
        <v>0</v>
      </c>
      <c r="C14" s="617">
        <v>0</v>
      </c>
      <c r="D14" s="617">
        <v>0</v>
      </c>
      <c r="E14" s="771">
        <v>0</v>
      </c>
      <c r="F14" s="610">
        <v>0</v>
      </c>
      <c r="G14" s="610">
        <v>0</v>
      </c>
      <c r="H14" s="610">
        <v>0</v>
      </c>
    </row>
    <row r="15" spans="1:11">
      <c r="A15" s="280" t="s">
        <v>1376</v>
      </c>
      <c r="B15" s="711"/>
      <c r="C15" s="711"/>
      <c r="D15" s="711"/>
      <c r="E15" s="781"/>
      <c r="F15" s="503"/>
      <c r="G15" s="503"/>
      <c r="H15" s="503"/>
    </row>
    <row r="16" spans="1:11">
      <c r="A16" s="280" t="s">
        <v>846</v>
      </c>
      <c r="B16" s="617">
        <v>0</v>
      </c>
      <c r="C16" s="617">
        <v>0</v>
      </c>
      <c r="D16" s="617">
        <v>0</v>
      </c>
      <c r="E16" s="771">
        <v>0</v>
      </c>
      <c r="F16" s="610">
        <v>0</v>
      </c>
      <c r="G16" s="610">
        <v>0</v>
      </c>
      <c r="H16" s="610">
        <v>0</v>
      </c>
    </row>
    <row r="17" spans="1:190">
      <c r="A17" s="280" t="s">
        <v>845</v>
      </c>
      <c r="B17" s="617">
        <v>10376184111.4</v>
      </c>
      <c r="C17" s="617">
        <v>6952598264.8199997</v>
      </c>
      <c r="D17" s="617">
        <v>3423585846.5799999</v>
      </c>
      <c r="E17" s="771">
        <v>49.24</v>
      </c>
      <c r="F17" s="610">
        <v>0</v>
      </c>
      <c r="G17" s="610">
        <v>0</v>
      </c>
      <c r="H17" s="503"/>
      <c r="GH17" s="608">
        <v>0</v>
      </c>
    </row>
    <row r="18" spans="1:190">
      <c r="A18" s="294" t="s">
        <v>847</v>
      </c>
      <c r="B18" s="702">
        <v>16010904398</v>
      </c>
      <c r="C18" s="702">
        <v>12849138722.34</v>
      </c>
      <c r="D18" s="702">
        <v>3131400197.6999998</v>
      </c>
      <c r="E18" s="774">
        <v>24.37</v>
      </c>
      <c r="F18" s="616">
        <v>0</v>
      </c>
      <c r="G18" s="616">
        <v>0</v>
      </c>
      <c r="H18" s="616">
        <v>0</v>
      </c>
      <c r="K18" s="744"/>
    </row>
    <row r="19" spans="1:190">
      <c r="A19" s="280" t="s">
        <v>848</v>
      </c>
      <c r="B19" s="617">
        <v>710570216</v>
      </c>
      <c r="C19" s="617">
        <v>757687192.50999999</v>
      </c>
      <c r="D19" s="617">
        <v>51375218.68</v>
      </c>
      <c r="E19" s="771">
        <v>-6.79</v>
      </c>
      <c r="F19" s="610">
        <v>0</v>
      </c>
      <c r="G19" s="610">
        <v>0</v>
      </c>
      <c r="H19" s="610">
        <v>0</v>
      </c>
    </row>
    <row r="20" spans="1:190">
      <c r="A20" s="280" t="s">
        <v>849</v>
      </c>
      <c r="B20" s="617">
        <v>0</v>
      </c>
      <c r="C20" s="617">
        <v>0</v>
      </c>
      <c r="D20" s="617">
        <v>0</v>
      </c>
      <c r="E20" s="771">
        <v>0</v>
      </c>
      <c r="F20" s="610">
        <v>0</v>
      </c>
      <c r="G20" s="610">
        <v>0</v>
      </c>
      <c r="H20" s="610">
        <v>0</v>
      </c>
      <c r="K20" s="744"/>
    </row>
    <row r="21" spans="1:190">
      <c r="A21" s="281" t="s">
        <v>850</v>
      </c>
      <c r="B21" s="617">
        <v>0</v>
      </c>
      <c r="C21" s="617">
        <v>0</v>
      </c>
      <c r="D21" s="617">
        <v>0</v>
      </c>
      <c r="E21" s="771">
        <v>0</v>
      </c>
      <c r="F21" s="610">
        <v>0</v>
      </c>
      <c r="G21" s="610">
        <v>0</v>
      </c>
      <c r="H21" s="610">
        <v>0</v>
      </c>
    </row>
    <row r="22" spans="1:190" ht="20.149999999999999" customHeight="1">
      <c r="A22" s="295" t="s">
        <v>851</v>
      </c>
      <c r="B22" s="703">
        <v>710570216</v>
      </c>
      <c r="C22" s="703">
        <v>757687192.50999999</v>
      </c>
      <c r="D22" s="703">
        <v>51375218.68</v>
      </c>
      <c r="E22" s="775">
        <v>-6.79</v>
      </c>
      <c r="F22" s="631">
        <v>0</v>
      </c>
      <c r="G22" s="631">
        <v>0</v>
      </c>
      <c r="H22" s="631">
        <v>0</v>
      </c>
    </row>
    <row r="23" spans="1:190">
      <c r="A23" s="296" t="s">
        <v>528</v>
      </c>
    </row>
    <row r="24" spans="1:190">
      <c r="A24" s="189"/>
    </row>
    <row r="25" spans="1:190">
      <c r="A25" s="608"/>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2" xr:uid="{00000000-0002-0000-24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F9:H22" xr:uid="{00000000-0002-0000-2400-000001000000}">
      <formula1>0</formula1>
    </dataValidation>
  </dataValidations>
  <pageMargins left="0.74803149606299202" right="0.74803149606299202" top="0.98425196850393704" bottom="0.98425196850393704" header="0.511811023622047" footer="0.511811023622047"/>
  <pageSetup paperSize="9" scale="96" orientation="landscape"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28"/>
  <sheetViews>
    <sheetView topLeftCell="A19" workbookViewId="0">
      <selection activeCell="H39" sqref="H39"/>
    </sheetView>
  </sheetViews>
  <sheetFormatPr baseColWidth="10" defaultColWidth="12" defaultRowHeight="13"/>
  <cols>
    <col min="1" max="1" customWidth="true" style="157" width="36.5" collapsed="true"/>
    <col min="2" max="3" bestFit="true" customWidth="true" style="157" width="19.19921875" collapsed="true"/>
    <col min="4" max="4" bestFit="true" customWidth="true" style="157" width="26.69921875" collapsed="true"/>
    <col min="5" max="5" customWidth="true" style="157" width="9.5" collapsed="true"/>
    <col min="6" max="6" customWidth="true" style="157" width="15.796875" collapsed="true"/>
    <col min="7" max="8" customWidth="true" style="157" width="12.5" collapsed="true"/>
    <col min="9" max="16384" style="157" width="12.0" collapsed="true"/>
  </cols>
  <sheetData>
    <row r="1" spans="1:8" ht="18" customHeight="1">
      <c r="A1" s="959" t="s">
        <v>852</v>
      </c>
      <c r="B1" s="959"/>
      <c r="C1" s="959"/>
      <c r="D1" s="959"/>
      <c r="E1" s="959"/>
      <c r="F1" s="959"/>
      <c r="G1" s="959"/>
      <c r="H1" s="959"/>
    </row>
    <row r="2" spans="1:8" ht="8.15" customHeight="1"/>
    <row r="3" spans="1:8" ht="12.75" customHeight="1">
      <c r="A3" s="960" t="s">
        <v>486</v>
      </c>
      <c r="B3" s="960"/>
      <c r="C3" s="960"/>
      <c r="D3" s="402"/>
      <c r="F3" s="171" t="s">
        <v>487</v>
      </c>
      <c r="G3" s="980">
        <v>44926</v>
      </c>
      <c r="H3" s="981"/>
    </row>
    <row r="4" spans="1:8" ht="15" customHeight="1">
      <c r="A4" s="976" t="s">
        <v>1423</v>
      </c>
      <c r="B4" s="977"/>
      <c r="C4" s="977"/>
      <c r="D4" s="403"/>
      <c r="F4" s="982" t="s">
        <v>488</v>
      </c>
      <c r="G4" s="965">
        <v>12</v>
      </c>
      <c r="H4" s="966"/>
    </row>
    <row r="5" spans="1:8" ht="15" customHeight="1">
      <c r="A5" s="157" t="s">
        <v>489</v>
      </c>
      <c r="B5" s="983" t="s">
        <v>1426</v>
      </c>
      <c r="C5" s="984"/>
      <c r="D5" s="403"/>
      <c r="F5" s="982"/>
      <c r="G5" s="962"/>
      <c r="H5" s="962"/>
    </row>
    <row r="6" spans="1:8" ht="8.15" customHeight="1"/>
    <row r="7" spans="1:8" s="172" customFormat="1" ht="25.15" customHeight="1">
      <c r="A7" s="969" t="s">
        <v>339</v>
      </c>
      <c r="B7" s="1002" t="s">
        <v>721</v>
      </c>
      <c r="C7" s="1002" t="s">
        <v>722</v>
      </c>
      <c r="D7" s="1002" t="s">
        <v>717</v>
      </c>
      <c r="E7" s="1002" t="s">
        <v>585</v>
      </c>
      <c r="F7" s="1039" t="s">
        <v>772</v>
      </c>
      <c r="G7" s="1039" t="s">
        <v>773</v>
      </c>
      <c r="H7" s="1002" t="s">
        <v>774</v>
      </c>
    </row>
    <row r="8" spans="1:8" s="172" customFormat="1" ht="25.15" customHeight="1">
      <c r="A8" s="1040"/>
      <c r="B8" s="994"/>
      <c r="C8" s="994"/>
      <c r="D8" s="994"/>
      <c r="E8" s="994"/>
      <c r="F8" s="997"/>
      <c r="G8" s="997"/>
      <c r="H8" s="994"/>
    </row>
    <row r="9" spans="1:8">
      <c r="A9" s="280" t="s">
        <v>1377</v>
      </c>
      <c r="B9" s="617">
        <v>1062519707.8200001</v>
      </c>
      <c r="C9" s="617">
        <v>1003457104.8200001</v>
      </c>
      <c r="D9" s="617">
        <v>59062603</v>
      </c>
      <c r="E9" s="771">
        <v>5.88</v>
      </c>
      <c r="F9" s="625">
        <v>0</v>
      </c>
      <c r="G9" s="610">
        <v>0</v>
      </c>
      <c r="H9" s="610">
        <v>0</v>
      </c>
    </row>
    <row r="10" spans="1:8">
      <c r="A10" s="280" t="s">
        <v>1378</v>
      </c>
      <c r="B10" s="617">
        <v>0</v>
      </c>
      <c r="C10" s="617">
        <v>0</v>
      </c>
      <c r="D10" s="617">
        <v>0</v>
      </c>
      <c r="E10" s="771">
        <v>0</v>
      </c>
      <c r="F10" s="625">
        <v>0</v>
      </c>
      <c r="G10" s="610">
        <v>0</v>
      </c>
      <c r="H10" s="610">
        <v>0</v>
      </c>
    </row>
    <row r="11" spans="1:8">
      <c r="A11" s="280" t="s">
        <v>853</v>
      </c>
      <c r="B11" s="617">
        <v>0</v>
      </c>
      <c r="C11" s="617">
        <v>0</v>
      </c>
      <c r="D11" s="617">
        <v>0</v>
      </c>
      <c r="E11" s="771">
        <v>0</v>
      </c>
      <c r="F11" s="625">
        <v>0</v>
      </c>
      <c r="G11" s="610">
        <v>0</v>
      </c>
      <c r="H11" s="610">
        <v>0</v>
      </c>
    </row>
    <row r="12" spans="1:8">
      <c r="A12" s="280" t="s">
        <v>854</v>
      </c>
      <c r="B12" s="617">
        <v>0</v>
      </c>
      <c r="C12" s="617">
        <v>0</v>
      </c>
      <c r="D12" s="617">
        <v>0</v>
      </c>
      <c r="E12" s="771">
        <v>0</v>
      </c>
      <c r="F12" s="625">
        <v>0</v>
      </c>
      <c r="G12" s="610">
        <v>0</v>
      </c>
      <c r="H12" s="610">
        <v>0</v>
      </c>
    </row>
    <row r="13" spans="1:8">
      <c r="A13" s="280" t="s">
        <v>855</v>
      </c>
      <c r="B13" s="617">
        <v>70779709.670000002</v>
      </c>
      <c r="C13" s="617">
        <v>49314802.969999999</v>
      </c>
      <c r="D13" s="617">
        <v>21464906.699999999</v>
      </c>
      <c r="E13" s="771">
        <v>43.52</v>
      </c>
      <c r="F13" s="625">
        <v>0</v>
      </c>
      <c r="G13" s="610">
        <v>0</v>
      </c>
      <c r="H13" s="610">
        <v>0</v>
      </c>
    </row>
    <row r="14" spans="1:8">
      <c r="A14" s="280" t="s">
        <v>1379</v>
      </c>
      <c r="B14" s="617">
        <v>0</v>
      </c>
      <c r="C14" s="617">
        <v>0</v>
      </c>
      <c r="D14" s="617">
        <v>0</v>
      </c>
      <c r="E14" s="771">
        <v>0</v>
      </c>
      <c r="F14" s="625">
        <v>0</v>
      </c>
      <c r="G14" s="610">
        <v>0</v>
      </c>
      <c r="H14" s="610">
        <v>0</v>
      </c>
    </row>
    <row r="15" spans="1:8">
      <c r="A15" s="280" t="s">
        <v>1380</v>
      </c>
      <c r="B15" s="617">
        <v>0</v>
      </c>
      <c r="C15" s="617">
        <v>0</v>
      </c>
      <c r="D15" s="617">
        <v>0</v>
      </c>
      <c r="E15" s="771">
        <v>0</v>
      </c>
      <c r="F15" s="625">
        <v>0</v>
      </c>
      <c r="G15" s="610">
        <v>0</v>
      </c>
      <c r="H15" s="610">
        <v>0</v>
      </c>
    </row>
    <row r="16" spans="1:8">
      <c r="A16" s="280" t="s">
        <v>1381</v>
      </c>
      <c r="B16" s="617">
        <v>0</v>
      </c>
      <c r="C16" s="617">
        <v>0</v>
      </c>
      <c r="D16" s="617">
        <v>0</v>
      </c>
      <c r="E16" s="771">
        <v>0</v>
      </c>
      <c r="F16" s="625">
        <v>0</v>
      </c>
      <c r="G16" s="610">
        <v>0</v>
      </c>
      <c r="H16" s="610">
        <v>0</v>
      </c>
    </row>
    <row r="17" spans="1:8">
      <c r="A17" s="280" t="s">
        <v>856</v>
      </c>
      <c r="B17" s="617">
        <v>0</v>
      </c>
      <c r="C17" s="617">
        <v>0</v>
      </c>
      <c r="D17" s="617">
        <v>0</v>
      </c>
      <c r="E17" s="771">
        <v>0</v>
      </c>
      <c r="F17" s="625">
        <v>0</v>
      </c>
      <c r="G17" s="610">
        <v>0</v>
      </c>
      <c r="H17" s="610">
        <v>0</v>
      </c>
    </row>
    <row r="18" spans="1:8">
      <c r="A18" s="294" t="s">
        <v>847</v>
      </c>
      <c r="B18" s="702">
        <v>1133299417.49</v>
      </c>
      <c r="C18" s="702">
        <v>1052771907.79</v>
      </c>
      <c r="D18" s="702">
        <v>80527509.700000003</v>
      </c>
      <c r="E18" s="774">
        <v>7.64</v>
      </c>
      <c r="F18" s="624">
        <v>0</v>
      </c>
      <c r="G18" s="616">
        <v>0</v>
      </c>
      <c r="H18" s="616">
        <v>0</v>
      </c>
    </row>
    <row r="19" spans="1:8">
      <c r="A19" s="280" t="s">
        <v>857</v>
      </c>
      <c r="B19" s="617">
        <v>0</v>
      </c>
      <c r="C19" s="617">
        <v>0</v>
      </c>
      <c r="D19" s="617">
        <v>0</v>
      </c>
      <c r="E19" s="771">
        <v>0</v>
      </c>
      <c r="F19" s="625">
        <v>0</v>
      </c>
      <c r="G19" s="610">
        <v>0</v>
      </c>
      <c r="H19" s="610">
        <v>0</v>
      </c>
    </row>
    <row r="20" spans="1:8">
      <c r="A20" s="280" t="s">
        <v>858</v>
      </c>
      <c r="B20" s="617">
        <v>0</v>
      </c>
      <c r="C20" s="617">
        <v>0</v>
      </c>
      <c r="D20" s="617">
        <v>0</v>
      </c>
      <c r="E20" s="771">
        <v>0</v>
      </c>
      <c r="F20" s="610">
        <v>0</v>
      </c>
      <c r="G20" s="610">
        <v>0</v>
      </c>
      <c r="H20" s="610">
        <v>0</v>
      </c>
    </row>
    <row r="21" spans="1:8">
      <c r="A21" s="280" t="s">
        <v>859</v>
      </c>
      <c r="B21" s="617">
        <v>138794.82999999999</v>
      </c>
      <c r="C21" s="617">
        <v>31755765.280000001</v>
      </c>
      <c r="D21" s="617">
        <v>31616970.449999999</v>
      </c>
      <c r="E21" s="771">
        <v>-99.57</v>
      </c>
      <c r="F21" s="610">
        <v>0</v>
      </c>
      <c r="G21" s="610">
        <v>0</v>
      </c>
      <c r="H21" s="610">
        <v>0</v>
      </c>
    </row>
    <row r="22" spans="1:8">
      <c r="A22" s="280" t="s">
        <v>860</v>
      </c>
      <c r="B22" s="617">
        <v>904086681.92999995</v>
      </c>
      <c r="C22" s="617">
        <v>1226475804</v>
      </c>
      <c r="D22" s="617">
        <v>322389122.06999999</v>
      </c>
      <c r="E22" s="771">
        <v>-26.29</v>
      </c>
      <c r="F22" s="610">
        <v>0</v>
      </c>
      <c r="G22" s="503"/>
      <c r="H22" s="634">
        <v>0</v>
      </c>
    </row>
    <row r="23" spans="1:8">
      <c r="A23" s="281" t="s">
        <v>861</v>
      </c>
      <c r="B23" s="617">
        <v>16637027992.389999</v>
      </c>
      <c r="C23" s="617">
        <v>9909332542.7600002</v>
      </c>
      <c r="D23" s="617">
        <v>6727695449.6300001</v>
      </c>
      <c r="E23" s="771">
        <v>67.89</v>
      </c>
      <c r="F23" s="610">
        <v>0</v>
      </c>
      <c r="G23" s="610">
        <v>0</v>
      </c>
      <c r="H23" s="610">
        <v>0</v>
      </c>
    </row>
    <row r="24" spans="1:8">
      <c r="A24" s="294" t="s">
        <v>847</v>
      </c>
      <c r="B24" s="702">
        <v>17541253469.150002</v>
      </c>
      <c r="C24" s="702">
        <v>11167564112.040001</v>
      </c>
      <c r="D24" s="702">
        <v>6373689357.1099997</v>
      </c>
      <c r="E24" s="774">
        <v>57.07</v>
      </c>
      <c r="F24" s="624">
        <v>0</v>
      </c>
      <c r="G24" s="616">
        <v>0</v>
      </c>
      <c r="H24" s="616">
        <v>0</v>
      </c>
    </row>
    <row r="25" spans="1:8" ht="20.149999999999999" customHeight="1">
      <c r="A25" s="295" t="s">
        <v>851</v>
      </c>
      <c r="B25" s="703">
        <v>18674552886.639999</v>
      </c>
      <c r="C25" s="703">
        <v>12220336019.83</v>
      </c>
      <c r="D25" s="703">
        <v>6454216866.8100004</v>
      </c>
      <c r="E25" s="775">
        <v>52.81</v>
      </c>
      <c r="F25" s="626">
        <v>0</v>
      </c>
      <c r="G25" s="631">
        <v>0</v>
      </c>
      <c r="H25" s="631">
        <v>0</v>
      </c>
    </row>
    <row r="26" spans="1:8">
      <c r="A26" s="296" t="s">
        <v>528</v>
      </c>
    </row>
    <row r="27" spans="1:8" ht="20.5" customHeight="1">
      <c r="A27" s="1122" t="s">
        <v>1526</v>
      </c>
      <c r="B27" s="1123"/>
      <c r="C27" s="1123"/>
      <c r="D27" s="1123"/>
      <c r="E27" s="1123"/>
      <c r="F27" s="1123"/>
      <c r="G27" s="1123"/>
      <c r="H27" s="1123"/>
    </row>
    <row r="28" spans="1:8">
      <c r="A28" s="189"/>
    </row>
  </sheetData>
  <sheetProtection sheet="false"/>
  <mergeCells count="16">
    <mergeCell ref="A27:H27"/>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xr:uid="{00000000-0002-0000-25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xr:uid="{00000000-0002-0000-2500-000001000000}">
      <formula1>0</formula1>
    </dataValidation>
  </dataValidations>
  <pageMargins left="0.74803149606299202" right="0.74803149606299202" top="0.98425196850393704" bottom="0.98425196850393704" header="0.511811023622047" footer="0.511811023622047"/>
  <pageSetup paperSize="9" scale="95" orientation="landscape"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H39"/>
  <sheetViews>
    <sheetView topLeftCell="A31" workbookViewId="0">
      <selection activeCell="H39" sqref="H39"/>
    </sheetView>
  </sheetViews>
  <sheetFormatPr baseColWidth="10" defaultColWidth="12" defaultRowHeight="13"/>
  <cols>
    <col min="1" max="1" customWidth="true" style="157" width="36.5" collapsed="true"/>
    <col min="2" max="3" customWidth="true" style="157" width="18.69921875" collapsed="true"/>
    <col min="4" max="4" customWidth="true" style="157" width="15.5" collapsed="true"/>
    <col min="5" max="5" customWidth="true" style="157" width="9.5" collapsed="true"/>
    <col min="6" max="8" customWidth="true" style="157" width="12.5" collapsed="true"/>
    <col min="9" max="16384" style="157" width="12.0" collapsed="true"/>
  </cols>
  <sheetData>
    <row r="1" spans="1:8" ht="18" customHeight="1">
      <c r="A1" s="959" t="s">
        <v>862</v>
      </c>
      <c r="B1" s="959"/>
      <c r="C1" s="959"/>
      <c r="D1" s="959"/>
      <c r="E1" s="959"/>
      <c r="F1" s="959"/>
      <c r="G1" s="959"/>
      <c r="H1" s="959"/>
    </row>
    <row r="2" spans="1:8" ht="8.15" customHeight="1"/>
    <row r="3" spans="1:8" ht="12.75" customHeight="1">
      <c r="A3" s="960" t="s">
        <v>486</v>
      </c>
      <c r="B3" s="960"/>
      <c r="C3" s="960"/>
      <c r="D3" s="402"/>
      <c r="F3" s="171" t="s">
        <v>487</v>
      </c>
      <c r="G3" s="980">
        <v>44926</v>
      </c>
      <c r="H3" s="981"/>
    </row>
    <row r="4" spans="1:8" ht="15" customHeight="1">
      <c r="A4" s="976" t="s">
        <v>1423</v>
      </c>
      <c r="B4" s="977"/>
      <c r="C4" s="977"/>
      <c r="D4" s="403"/>
      <c r="F4" s="982" t="s">
        <v>488</v>
      </c>
      <c r="G4" s="965">
        <v>12</v>
      </c>
      <c r="H4" s="966"/>
    </row>
    <row r="5" spans="1:8" ht="15" customHeight="1">
      <c r="A5" s="157" t="s">
        <v>489</v>
      </c>
      <c r="B5" s="983" t="s">
        <v>1426</v>
      </c>
      <c r="C5" s="984"/>
      <c r="D5" s="403"/>
      <c r="F5" s="982"/>
      <c r="G5" s="962"/>
      <c r="H5" s="962"/>
    </row>
    <row r="6" spans="1:8" ht="8.15" customHeight="1"/>
    <row r="7" spans="1:8" s="172" customFormat="1" ht="25.15" customHeight="1">
      <c r="A7" s="969" t="s">
        <v>339</v>
      </c>
      <c r="B7" s="1002" t="s">
        <v>721</v>
      </c>
      <c r="C7" s="1002" t="s">
        <v>722</v>
      </c>
      <c r="D7" s="1002" t="s">
        <v>717</v>
      </c>
      <c r="E7" s="1002" t="s">
        <v>585</v>
      </c>
      <c r="F7" s="1039" t="s">
        <v>772</v>
      </c>
      <c r="G7" s="1039" t="s">
        <v>773</v>
      </c>
      <c r="H7" s="1002" t="s">
        <v>774</v>
      </c>
    </row>
    <row r="8" spans="1:8" s="172" customFormat="1" ht="25.15" customHeight="1">
      <c r="A8" s="1040"/>
      <c r="B8" s="994"/>
      <c r="C8" s="994"/>
      <c r="D8" s="994"/>
      <c r="E8" s="994"/>
      <c r="F8" s="997"/>
      <c r="G8" s="997"/>
      <c r="H8" s="994"/>
    </row>
    <row r="9" spans="1:8">
      <c r="A9" s="280" t="s">
        <v>646</v>
      </c>
      <c r="B9" s="617">
        <v>0</v>
      </c>
      <c r="C9" s="617">
        <v>0</v>
      </c>
      <c r="D9" s="610">
        <v>0</v>
      </c>
      <c r="E9" s="771">
        <v>0</v>
      </c>
      <c r="F9" s="610">
        <v>0</v>
      </c>
      <c r="G9" s="610">
        <v>0</v>
      </c>
      <c r="H9" s="503"/>
    </row>
    <row r="10" spans="1:8">
      <c r="A10" s="280" t="s">
        <v>863</v>
      </c>
      <c r="B10" s="617">
        <v>0</v>
      </c>
      <c r="C10" s="617">
        <v>0</v>
      </c>
      <c r="D10" s="610">
        <v>0</v>
      </c>
      <c r="E10" s="771">
        <v>0</v>
      </c>
      <c r="F10" s="610">
        <v>0</v>
      </c>
      <c r="G10" s="610">
        <v>0</v>
      </c>
      <c r="H10" s="503"/>
    </row>
    <row r="11" spans="1:8">
      <c r="A11" s="280" t="s">
        <v>864</v>
      </c>
      <c r="B11" s="617">
        <v>0</v>
      </c>
      <c r="C11" s="617">
        <v>0</v>
      </c>
      <c r="D11" s="625">
        <v>0</v>
      </c>
      <c r="E11" s="771">
        <v>0</v>
      </c>
      <c r="F11" s="610">
        <v>0</v>
      </c>
      <c r="G11" s="610">
        <v>0</v>
      </c>
      <c r="H11" s="503"/>
    </row>
    <row r="12" spans="1:8">
      <c r="A12" s="280" t="s">
        <v>865</v>
      </c>
      <c r="B12" s="617">
        <v>0</v>
      </c>
      <c r="C12" s="617">
        <v>0</v>
      </c>
      <c r="D12" s="610">
        <v>0</v>
      </c>
      <c r="E12" s="771">
        <v>0</v>
      </c>
      <c r="F12" s="610">
        <v>0</v>
      </c>
      <c r="G12" s="610">
        <v>0</v>
      </c>
      <c r="H12" s="503"/>
    </row>
    <row r="13" spans="1:8">
      <c r="A13" s="280" t="s">
        <v>866</v>
      </c>
      <c r="B13" s="617">
        <v>0</v>
      </c>
      <c r="C13" s="617">
        <v>0</v>
      </c>
      <c r="D13" s="610">
        <v>0</v>
      </c>
      <c r="E13" s="771">
        <v>0</v>
      </c>
      <c r="F13" s="610">
        <v>0</v>
      </c>
      <c r="G13" s="610">
        <v>0</v>
      </c>
      <c r="H13" s="503"/>
    </row>
    <row r="14" spans="1:8">
      <c r="A14" s="280" t="s">
        <v>867</v>
      </c>
      <c r="B14" s="617">
        <v>0</v>
      </c>
      <c r="C14" s="617">
        <v>0</v>
      </c>
      <c r="D14" s="610">
        <v>0</v>
      </c>
      <c r="E14" s="771">
        <v>0</v>
      </c>
      <c r="F14" s="610">
        <v>0</v>
      </c>
      <c r="G14" s="610">
        <v>0</v>
      </c>
      <c r="H14" s="503"/>
    </row>
    <row r="15" spans="1:8">
      <c r="A15" s="294" t="s">
        <v>868</v>
      </c>
      <c r="B15" s="702">
        <v>0</v>
      </c>
      <c r="C15" s="702">
        <v>0</v>
      </c>
      <c r="D15" s="624">
        <v>0</v>
      </c>
      <c r="E15" s="774">
        <v>0</v>
      </c>
      <c r="F15" s="616">
        <v>0</v>
      </c>
      <c r="G15" s="616">
        <v>0</v>
      </c>
      <c r="H15" s="505"/>
    </row>
    <row r="16" spans="1:8">
      <c r="A16" s="280" t="s">
        <v>869</v>
      </c>
      <c r="B16" s="617">
        <v>0</v>
      </c>
      <c r="C16" s="617">
        <v>0</v>
      </c>
      <c r="D16" s="610">
        <v>0</v>
      </c>
      <c r="E16" s="771">
        <v>0</v>
      </c>
      <c r="F16" s="610">
        <v>0</v>
      </c>
      <c r="G16" s="610">
        <v>0</v>
      </c>
      <c r="H16" s="503"/>
    </row>
    <row r="17" spans="1:8">
      <c r="A17" s="280" t="s">
        <v>870</v>
      </c>
      <c r="B17" s="617">
        <v>0</v>
      </c>
      <c r="C17" s="617">
        <v>0</v>
      </c>
      <c r="D17" s="610">
        <v>0</v>
      </c>
      <c r="E17" s="771">
        <v>0</v>
      </c>
      <c r="F17" s="610">
        <v>0</v>
      </c>
      <c r="G17" s="610">
        <v>0</v>
      </c>
      <c r="H17" s="503"/>
    </row>
    <row r="18" spans="1:8">
      <c r="A18" s="280" t="s">
        <v>871</v>
      </c>
      <c r="B18" s="617">
        <v>0</v>
      </c>
      <c r="C18" s="617">
        <v>0</v>
      </c>
      <c r="D18" s="610">
        <v>0</v>
      </c>
      <c r="E18" s="771">
        <v>0</v>
      </c>
      <c r="F18" s="610">
        <v>0</v>
      </c>
      <c r="G18" s="610">
        <v>0</v>
      </c>
      <c r="H18" s="503"/>
    </row>
    <row r="19" spans="1:8">
      <c r="A19" s="280" t="s">
        <v>872</v>
      </c>
      <c r="B19" s="617">
        <v>0</v>
      </c>
      <c r="C19" s="617">
        <v>0</v>
      </c>
      <c r="D19" s="610">
        <v>0</v>
      </c>
      <c r="E19" s="771">
        <v>0</v>
      </c>
      <c r="F19" s="610">
        <v>0</v>
      </c>
      <c r="G19" s="610">
        <v>0</v>
      </c>
      <c r="H19" s="503"/>
    </row>
    <row r="20" spans="1:8" ht="27.65" customHeight="1">
      <c r="A20" s="280" t="s">
        <v>873</v>
      </c>
      <c r="B20" s="617">
        <v>0</v>
      </c>
      <c r="C20" s="617">
        <v>0</v>
      </c>
      <c r="D20" s="610">
        <v>0</v>
      </c>
      <c r="E20" s="771">
        <v>0</v>
      </c>
      <c r="F20" s="610">
        <v>0</v>
      </c>
      <c r="G20" s="610">
        <v>0</v>
      </c>
      <c r="H20" s="503"/>
    </row>
    <row r="21" spans="1:8" ht="27.65" customHeight="1">
      <c r="A21" s="280" t="s">
        <v>1382</v>
      </c>
      <c r="B21" s="617">
        <v>0</v>
      </c>
      <c r="C21" s="617">
        <v>0</v>
      </c>
      <c r="D21" s="610">
        <v>0</v>
      </c>
      <c r="E21" s="771">
        <v>0</v>
      </c>
      <c r="F21" s="610">
        <v>0</v>
      </c>
      <c r="G21" s="610">
        <v>0</v>
      </c>
      <c r="H21" s="503"/>
    </row>
    <row r="22" spans="1:8" ht="27.65" customHeight="1">
      <c r="A22" s="280" t="s">
        <v>649</v>
      </c>
      <c r="B22" s="617">
        <v>0</v>
      </c>
      <c r="C22" s="617">
        <v>0</v>
      </c>
      <c r="D22" s="610">
        <v>0</v>
      </c>
      <c r="E22" s="771">
        <v>0</v>
      </c>
      <c r="F22" s="610">
        <v>0</v>
      </c>
      <c r="G22" s="610">
        <v>0</v>
      </c>
      <c r="H22" s="503"/>
    </row>
    <row r="23" spans="1:8">
      <c r="A23" s="280" t="s">
        <v>1383</v>
      </c>
      <c r="B23" s="617">
        <v>0</v>
      </c>
      <c r="C23" s="617">
        <v>0</v>
      </c>
      <c r="D23" s="610">
        <v>0</v>
      </c>
      <c r="E23" s="771">
        <v>0</v>
      </c>
      <c r="F23" s="610">
        <v>0</v>
      </c>
      <c r="G23" s="610">
        <v>0</v>
      </c>
      <c r="H23" s="503"/>
    </row>
    <row r="24" spans="1:8">
      <c r="A24" s="281" t="s">
        <v>874</v>
      </c>
      <c r="B24" s="617">
        <v>0</v>
      </c>
      <c r="C24" s="617">
        <v>172888940.69999999</v>
      </c>
      <c r="D24" s="610">
        <v>-100</v>
      </c>
      <c r="E24" s="771">
        <v>0</v>
      </c>
      <c r="F24" s="610">
        <v>0</v>
      </c>
      <c r="G24" s="610">
        <v>0</v>
      </c>
      <c r="H24" s="503"/>
    </row>
    <row r="25" spans="1:8">
      <c r="A25" s="294" t="s">
        <v>875</v>
      </c>
      <c r="B25" s="702">
        <v>0</v>
      </c>
      <c r="C25" s="702">
        <v>172888940.69999999</v>
      </c>
      <c r="D25" s="616">
        <v>-100</v>
      </c>
      <c r="E25" s="774">
        <v>0</v>
      </c>
      <c r="F25" s="616">
        <v>0</v>
      </c>
      <c r="G25" s="616">
        <v>0</v>
      </c>
      <c r="H25" s="505"/>
    </row>
    <row r="26" spans="1:8" ht="27.65" customHeight="1">
      <c r="A26" s="280" t="s">
        <v>651</v>
      </c>
      <c r="B26" s="617">
        <v>0</v>
      </c>
      <c r="C26" s="617">
        <v>0</v>
      </c>
      <c r="D26" s="610">
        <v>0</v>
      </c>
      <c r="E26" s="771">
        <v>0</v>
      </c>
      <c r="F26" s="610">
        <v>0</v>
      </c>
      <c r="G26" s="610">
        <v>0</v>
      </c>
      <c r="H26" s="503"/>
    </row>
    <row r="27" spans="1:8">
      <c r="A27" s="280" t="s">
        <v>652</v>
      </c>
      <c r="B27" s="617">
        <v>0</v>
      </c>
      <c r="C27" s="617">
        <v>0</v>
      </c>
      <c r="D27" s="610">
        <v>0</v>
      </c>
      <c r="E27" s="771">
        <v>0</v>
      </c>
      <c r="F27" s="610">
        <v>0</v>
      </c>
      <c r="G27" s="610">
        <v>0</v>
      </c>
      <c r="H27" s="503"/>
    </row>
    <row r="28" spans="1:8" ht="27.65" customHeight="1">
      <c r="A28" s="280" t="s">
        <v>653</v>
      </c>
      <c r="B28" s="617">
        <v>0</v>
      </c>
      <c r="C28" s="617">
        <v>0</v>
      </c>
      <c r="D28" s="610">
        <v>0</v>
      </c>
      <c r="E28" s="771">
        <v>0</v>
      </c>
      <c r="F28" s="610">
        <v>0</v>
      </c>
      <c r="G28" s="610">
        <v>0</v>
      </c>
      <c r="H28" s="503"/>
    </row>
    <row r="29" spans="1:8">
      <c r="A29" s="294" t="s">
        <v>876</v>
      </c>
      <c r="B29" s="702">
        <v>0</v>
      </c>
      <c r="C29" s="702">
        <v>0</v>
      </c>
      <c r="D29" s="616">
        <v>0</v>
      </c>
      <c r="E29" s="774">
        <v>0</v>
      </c>
      <c r="F29" s="616">
        <v>0</v>
      </c>
      <c r="G29" s="616">
        <v>0</v>
      </c>
      <c r="H29" s="505"/>
    </row>
    <row r="30" spans="1:8">
      <c r="A30" s="281"/>
      <c r="B30" s="711"/>
      <c r="C30" s="711"/>
      <c r="D30" s="503"/>
      <c r="E30" s="781"/>
      <c r="F30" s="503"/>
      <c r="G30" s="503"/>
      <c r="H30" s="503"/>
    </row>
    <row r="31" spans="1:8" ht="20.149999999999999" customHeight="1">
      <c r="A31" s="295" t="s">
        <v>877</v>
      </c>
      <c r="B31" s="703">
        <v>0</v>
      </c>
      <c r="C31" s="703">
        <v>172888940.69999999</v>
      </c>
      <c r="D31" s="703">
        <v>-100</v>
      </c>
      <c r="E31" s="775">
        <v>0</v>
      </c>
      <c r="F31" s="631">
        <v>0</v>
      </c>
      <c r="G31" s="631">
        <v>0</v>
      </c>
      <c r="H31" s="511"/>
    </row>
    <row r="32" spans="1:8">
      <c r="A32" s="281"/>
      <c r="B32" s="503"/>
      <c r="C32" s="503"/>
      <c r="D32" s="503"/>
      <c r="E32" s="781"/>
      <c r="F32" s="503"/>
      <c r="G32" s="503"/>
      <c r="H32" s="503"/>
    </row>
    <row r="33" spans="1:8" ht="27.65" customHeight="1">
      <c r="A33" s="280" t="s">
        <v>878</v>
      </c>
      <c r="B33" s="610">
        <v>0</v>
      </c>
      <c r="C33" s="610">
        <v>0</v>
      </c>
      <c r="D33" s="610">
        <v>0</v>
      </c>
      <c r="E33" s="771">
        <v>0</v>
      </c>
      <c r="F33" s="610">
        <v>0</v>
      </c>
      <c r="G33" s="610">
        <v>0</v>
      </c>
      <c r="H33" s="503"/>
    </row>
    <row r="34" spans="1:8">
      <c r="A34" s="167" t="s">
        <v>528</v>
      </c>
      <c r="E34" s="785"/>
    </row>
    <row r="35" spans="1:8">
      <c r="E35" s="785"/>
    </row>
    <row r="36" spans="1:8">
      <c r="E36" s="785"/>
    </row>
    <row r="37" spans="1:8">
      <c r="A37" s="608"/>
      <c r="E37" s="785"/>
    </row>
    <row r="38" spans="1:8">
      <c r="E38" s="785"/>
    </row>
    <row r="39" spans="1:8">
      <c r="E39" s="785"/>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3 F9:H31" xr:uid="{00000000-0002-0000-2600-000000000000}">
      <formula1>0</formula1>
    </dataValidation>
  </dataValidations>
  <pageMargins left="0.74803149606299202" right="0.74803149606299202" top="0.98425196850393704" bottom="0.98425196850393704" header="0.511811023622047" footer="0.511811023622047"/>
  <pageSetup paperSize="9" scale="75" orientation="landscape"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D21"/>
  <sheetViews>
    <sheetView topLeftCell="A10" workbookViewId="0">
      <selection activeCell="A15" sqref="A15"/>
    </sheetView>
  </sheetViews>
  <sheetFormatPr baseColWidth="10" defaultColWidth="12" defaultRowHeight="13"/>
  <cols>
    <col min="1" max="1" customWidth="true" style="157" width="39.5" collapsed="true"/>
    <col min="2" max="2" customWidth="true" style="157" width="19.19921875" collapsed="true"/>
    <col min="3" max="3" customWidth="true" style="157" width="23.19921875" collapsed="true"/>
    <col min="4" max="4" customWidth="true" style="157" width="28.796875" collapsed="true"/>
    <col min="5" max="16384" style="157" width="12.0" collapsed="true"/>
  </cols>
  <sheetData>
    <row r="1" spans="1:4" ht="18" customHeight="1">
      <c r="A1" s="959" t="s">
        <v>879</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41" t="s">
        <v>722</v>
      </c>
      <c r="D7" s="1053" t="s">
        <v>614</v>
      </c>
    </row>
    <row r="8" spans="1:4" s="172" customFormat="1" ht="25.15" customHeight="1">
      <c r="A8" s="1040"/>
      <c r="B8" s="1044"/>
      <c r="C8" s="1044"/>
      <c r="D8" s="1055"/>
    </row>
    <row r="9" spans="1:4" ht="25.15" customHeight="1">
      <c r="A9" s="280" t="s">
        <v>880</v>
      </c>
      <c r="B9" s="636">
        <v>0</v>
      </c>
      <c r="C9" s="636">
        <v>0</v>
      </c>
      <c r="D9" s="776">
        <v>0</v>
      </c>
    </row>
    <row r="10" spans="1:4" ht="25.15" customHeight="1">
      <c r="A10" s="280" t="s">
        <v>881</v>
      </c>
      <c r="B10" s="636">
        <v>0</v>
      </c>
      <c r="C10" s="636">
        <v>0</v>
      </c>
      <c r="D10" s="776">
        <v>0</v>
      </c>
    </row>
    <row r="11" spans="1:4" ht="25.15" customHeight="1">
      <c r="A11" s="294" t="s">
        <v>882</v>
      </c>
      <c r="B11" s="651">
        <v>0</v>
      </c>
      <c r="C11" s="651">
        <v>0</v>
      </c>
      <c r="D11" s="777">
        <v>0</v>
      </c>
    </row>
    <row r="12" spans="1:4" ht="25.15" customHeight="1">
      <c r="A12" s="280" t="s">
        <v>698</v>
      </c>
      <c r="B12" s="639">
        <v>0</v>
      </c>
      <c r="C12" s="639">
        <v>0</v>
      </c>
      <c r="D12" s="776">
        <v>0</v>
      </c>
    </row>
    <row r="13" spans="1:4" ht="25.15" customHeight="1">
      <c r="A13" s="280" t="s">
        <v>883</v>
      </c>
      <c r="B13" s="639">
        <v>0</v>
      </c>
      <c r="C13" s="639">
        <v>0</v>
      </c>
      <c r="D13" s="776">
        <v>0</v>
      </c>
    </row>
    <row r="14" spans="1:4" ht="25.15" customHeight="1">
      <c r="A14" s="280" t="s">
        <v>701</v>
      </c>
      <c r="B14" s="639">
        <v>134991736</v>
      </c>
      <c r="C14" s="639">
        <v>609895011</v>
      </c>
      <c r="D14" s="776">
        <v>-77.87</v>
      </c>
    </row>
    <row r="15" spans="1:4" ht="25.15" customHeight="1">
      <c r="A15" s="280" t="s">
        <v>884</v>
      </c>
      <c r="B15" s="639">
        <v>0</v>
      </c>
      <c r="C15" s="639">
        <v>0</v>
      </c>
      <c r="D15" s="776">
        <v>0</v>
      </c>
    </row>
    <row r="16" spans="1:4" ht="25.15" customHeight="1">
      <c r="A16" s="280" t="s">
        <v>885</v>
      </c>
      <c r="B16" s="639">
        <v>0</v>
      </c>
      <c r="C16" s="639">
        <v>0</v>
      </c>
      <c r="D16" s="776">
        <v>0</v>
      </c>
    </row>
    <row r="17" spans="1:4" ht="25.15" customHeight="1">
      <c r="A17" s="294" t="s">
        <v>886</v>
      </c>
      <c r="B17" s="716">
        <v>134991736</v>
      </c>
      <c r="C17" s="716">
        <v>609895011</v>
      </c>
      <c r="D17" s="777">
        <v>-77.87</v>
      </c>
    </row>
    <row r="18" spans="1:4" ht="25.15" customHeight="1">
      <c r="A18" s="280"/>
      <c r="B18" s="717"/>
      <c r="C18" s="717"/>
      <c r="D18" s="778"/>
    </row>
    <row r="19" spans="1:4" ht="25.15" customHeight="1">
      <c r="A19" s="295" t="s">
        <v>113</v>
      </c>
      <c r="B19" s="718">
        <v>134991736</v>
      </c>
      <c r="C19" s="718">
        <v>609895011</v>
      </c>
      <c r="D19" s="779">
        <v>-77.87</v>
      </c>
    </row>
    <row r="20" spans="1:4">
      <c r="A20" s="296" t="s">
        <v>528</v>
      </c>
    </row>
    <row r="21" spans="1:4">
      <c r="A21" s="608"/>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orientation="landscape"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42"/>
  <sheetViews>
    <sheetView topLeftCell="A4" workbookViewId="0">
      <selection activeCell="A43" sqref="A43"/>
    </sheetView>
  </sheetViews>
  <sheetFormatPr baseColWidth="10" defaultColWidth="12" defaultRowHeight="13"/>
  <cols>
    <col min="1" max="1" customWidth="true" style="157" width="52.796875" collapsed="true"/>
    <col min="2" max="2" customWidth="true" style="157" width="23.0" collapsed="true"/>
    <col min="3" max="3" customWidth="true" style="157" width="22.5" collapsed="true"/>
    <col min="4" max="4" customWidth="true" style="157" width="19.796875" collapsed="true"/>
    <col min="5" max="16384" style="157" width="12.0" collapsed="true"/>
  </cols>
  <sheetData>
    <row r="1" spans="1:4" ht="18" customHeight="1">
      <c r="A1" s="959" t="s">
        <v>887</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61" t="s">
        <v>722</v>
      </c>
      <c r="D7" s="1062" t="s">
        <v>614</v>
      </c>
    </row>
    <row r="8" spans="1:4" s="172" customFormat="1" ht="25.15" customHeight="1">
      <c r="A8" s="1040"/>
      <c r="B8" s="1044"/>
      <c r="C8" s="1061"/>
      <c r="D8" s="1062"/>
    </row>
    <row r="9" spans="1:4">
      <c r="A9" s="280" t="s">
        <v>1384</v>
      </c>
      <c r="B9" s="639">
        <v>0</v>
      </c>
      <c r="C9" s="617">
        <v>0</v>
      </c>
      <c r="D9" s="610">
        <v>0</v>
      </c>
    </row>
    <row r="10" spans="1:4">
      <c r="A10" s="280" t="s">
        <v>1385</v>
      </c>
      <c r="B10" s="639">
        <v>0</v>
      </c>
      <c r="C10" s="617">
        <v>0</v>
      </c>
      <c r="D10" s="610">
        <v>0</v>
      </c>
    </row>
    <row r="11" spans="1:4">
      <c r="A11" s="280" t="s">
        <v>888</v>
      </c>
      <c r="B11" s="639">
        <v>0</v>
      </c>
      <c r="C11" s="617">
        <v>0</v>
      </c>
      <c r="D11" s="610">
        <v>0</v>
      </c>
    </row>
    <row r="12" spans="1:4">
      <c r="A12" s="280" t="s">
        <v>889</v>
      </c>
      <c r="B12" s="639">
        <v>0</v>
      </c>
      <c r="C12" s="617">
        <v>0</v>
      </c>
      <c r="D12" s="610">
        <v>0</v>
      </c>
    </row>
    <row r="13" spans="1:4">
      <c r="A13" s="280" t="s">
        <v>890</v>
      </c>
      <c r="B13" s="639">
        <v>0</v>
      </c>
      <c r="C13" s="617">
        <v>0</v>
      </c>
      <c r="D13" s="610">
        <v>0</v>
      </c>
    </row>
    <row r="14" spans="1:4">
      <c r="A14" s="280" t="s">
        <v>1386</v>
      </c>
      <c r="B14" s="639">
        <v>0</v>
      </c>
      <c r="C14" s="617">
        <v>0</v>
      </c>
      <c r="D14" s="610">
        <v>0</v>
      </c>
    </row>
    <row r="15" spans="1:4" ht="25.15" customHeight="1">
      <c r="A15" s="294" t="s">
        <v>891</v>
      </c>
      <c r="B15" s="716">
        <v>0</v>
      </c>
      <c r="C15" s="715">
        <v>0</v>
      </c>
      <c r="D15" s="612">
        <v>0</v>
      </c>
    </row>
    <row r="16" spans="1:4">
      <c r="A16" s="280" t="s">
        <v>1384</v>
      </c>
      <c r="B16" s="639">
        <v>0</v>
      </c>
      <c r="C16" s="617">
        <v>0</v>
      </c>
      <c r="D16" s="658">
        <v>0</v>
      </c>
    </row>
    <row r="17" spans="1:4">
      <c r="A17" s="280" t="s">
        <v>1385</v>
      </c>
      <c r="B17" s="639">
        <v>0</v>
      </c>
      <c r="C17" s="617">
        <v>0</v>
      </c>
      <c r="D17" s="610">
        <v>0</v>
      </c>
    </row>
    <row r="18" spans="1:4">
      <c r="A18" s="280" t="s">
        <v>888</v>
      </c>
      <c r="B18" s="639">
        <v>208511840359.79999</v>
      </c>
      <c r="C18" s="617">
        <v>147604340692.20001</v>
      </c>
      <c r="D18" s="771">
        <v>41.26</v>
      </c>
    </row>
    <row r="19" spans="1:4">
      <c r="A19" s="280" t="s">
        <v>889</v>
      </c>
      <c r="B19" s="639">
        <v>0</v>
      </c>
      <c r="C19" s="617">
        <v>0</v>
      </c>
      <c r="D19" s="610">
        <v>0</v>
      </c>
    </row>
    <row r="20" spans="1:4">
      <c r="A20" s="280" t="s">
        <v>890</v>
      </c>
      <c r="B20" s="639">
        <v>0</v>
      </c>
      <c r="C20" s="617">
        <v>0</v>
      </c>
      <c r="D20" s="610">
        <v>0</v>
      </c>
    </row>
    <row r="21" spans="1:4">
      <c r="A21" s="280" t="s">
        <v>1386</v>
      </c>
      <c r="B21" s="639">
        <v>208511840359.79999</v>
      </c>
      <c r="C21" s="617">
        <v>147604340692.20001</v>
      </c>
      <c r="D21" s="771">
        <v>41.26</v>
      </c>
    </row>
    <row r="22" spans="1:4">
      <c r="A22" s="294" t="s">
        <v>892</v>
      </c>
      <c r="B22" s="716">
        <v>208511840359.79999</v>
      </c>
      <c r="C22" s="715">
        <v>147604340692.20001</v>
      </c>
      <c r="D22" s="659">
        <v>0.41260000000000002</v>
      </c>
    </row>
    <row r="23" spans="1:4" ht="25.15" customHeight="1">
      <c r="A23" s="280" t="s">
        <v>1384</v>
      </c>
      <c r="B23" s="639">
        <v>0</v>
      </c>
      <c r="C23" s="617">
        <v>0</v>
      </c>
      <c r="D23" s="610">
        <v>0</v>
      </c>
    </row>
    <row r="24" spans="1:4">
      <c r="A24" s="281" t="s">
        <v>1385</v>
      </c>
      <c r="B24" s="639">
        <v>0</v>
      </c>
      <c r="C24" s="617">
        <v>0</v>
      </c>
      <c r="D24" s="610">
        <v>0</v>
      </c>
    </row>
    <row r="25" spans="1:4">
      <c r="A25" s="280" t="s">
        <v>888</v>
      </c>
      <c r="B25" s="639">
        <v>0</v>
      </c>
      <c r="C25" s="617">
        <v>0</v>
      </c>
      <c r="D25" s="610">
        <v>0</v>
      </c>
    </row>
    <row r="26" spans="1:4">
      <c r="A26" s="280" t="s">
        <v>889</v>
      </c>
      <c r="B26" s="639">
        <v>0</v>
      </c>
      <c r="C26" s="617">
        <v>0</v>
      </c>
      <c r="D26" s="610">
        <v>0</v>
      </c>
    </row>
    <row r="27" spans="1:4">
      <c r="A27" s="280" t="s">
        <v>890</v>
      </c>
      <c r="B27" s="639">
        <v>0</v>
      </c>
      <c r="C27" s="617">
        <v>0</v>
      </c>
      <c r="D27" s="610">
        <v>0</v>
      </c>
    </row>
    <row r="28" spans="1:4">
      <c r="A28" s="280" t="s">
        <v>1386</v>
      </c>
      <c r="B28" s="639">
        <v>0</v>
      </c>
      <c r="C28" s="617">
        <v>0</v>
      </c>
      <c r="D28" s="610">
        <v>0</v>
      </c>
    </row>
    <row r="29" spans="1:4">
      <c r="A29" s="294" t="s">
        <v>893</v>
      </c>
      <c r="B29" s="716">
        <v>0</v>
      </c>
      <c r="C29" s="715">
        <v>0</v>
      </c>
      <c r="D29" s="612">
        <v>0</v>
      </c>
    </row>
    <row r="30" spans="1:4">
      <c r="A30" s="280"/>
      <c r="B30" s="717"/>
      <c r="C30" s="711"/>
      <c r="D30" s="503"/>
    </row>
    <row r="31" spans="1:4">
      <c r="A31" s="298" t="s">
        <v>894</v>
      </c>
      <c r="B31" s="639">
        <v>55340464</v>
      </c>
      <c r="C31" s="617">
        <v>653233219.10000002</v>
      </c>
      <c r="D31" s="771">
        <v>-91.53</v>
      </c>
    </row>
    <row r="32" spans="1:4">
      <c r="A32" s="280"/>
      <c r="B32" s="717"/>
      <c r="C32" s="711"/>
      <c r="D32" s="503"/>
    </row>
    <row r="33" spans="1:4">
      <c r="A33" s="282" t="s">
        <v>895</v>
      </c>
      <c r="B33" s="716">
        <v>208567180823.79999</v>
      </c>
      <c r="C33" s="715">
        <v>148257573911.29999</v>
      </c>
      <c r="D33" s="659">
        <v>0.40670000000000001</v>
      </c>
    </row>
    <row r="34" spans="1:4">
      <c r="A34" s="280"/>
      <c r="B34" s="717"/>
      <c r="C34" s="711"/>
      <c r="D34" s="503"/>
    </row>
    <row r="35" spans="1:4">
      <c r="A35" s="280" t="s">
        <v>363</v>
      </c>
      <c r="B35" s="639">
        <v>0</v>
      </c>
      <c r="C35" s="617">
        <v>0</v>
      </c>
      <c r="D35" s="610">
        <v>0</v>
      </c>
    </row>
    <row r="36" spans="1:4">
      <c r="A36" s="280" t="s">
        <v>365</v>
      </c>
      <c r="B36" s="639">
        <v>0</v>
      </c>
      <c r="C36" s="617">
        <v>0</v>
      </c>
      <c r="D36" s="610">
        <v>0</v>
      </c>
    </row>
    <row r="37" spans="1:4">
      <c r="A37" s="280" t="s">
        <v>367</v>
      </c>
      <c r="B37" s="639">
        <v>2914174580.5100002</v>
      </c>
      <c r="C37" s="617">
        <v>1019684573.64</v>
      </c>
      <c r="D37" s="771">
        <v>185.79</v>
      </c>
    </row>
    <row r="38" spans="1:4" ht="25.15" customHeight="1">
      <c r="A38" s="282" t="s">
        <v>896</v>
      </c>
      <c r="B38" s="716">
        <v>2914174580.5100002</v>
      </c>
      <c r="C38" s="715">
        <v>1019684573.64</v>
      </c>
      <c r="D38" s="780">
        <v>185.79</v>
      </c>
    </row>
    <row r="39" spans="1:4">
      <c r="A39" s="280"/>
      <c r="B39" s="717"/>
      <c r="C39" s="711"/>
      <c r="D39" s="503"/>
    </row>
    <row r="40" spans="1:4">
      <c r="A40" s="295" t="s">
        <v>113</v>
      </c>
      <c r="B40" s="716">
        <v>211481355404.29999</v>
      </c>
      <c r="C40" s="715">
        <v>149277258484.89999</v>
      </c>
      <c r="D40" s="659">
        <v>0.41670000000000001</v>
      </c>
    </row>
    <row r="41" spans="1:4">
      <c r="A41" s="296" t="s">
        <v>528</v>
      </c>
    </row>
    <row r="42" spans="1:4" ht="127" customHeight="1">
      <c r="A42" s="1027" t="s">
        <v>1546</v>
      </c>
      <c r="B42" s="1027"/>
      <c r="C42" s="1027"/>
      <c r="D42" s="1027"/>
    </row>
  </sheetData>
  <sheetProtection sheet="false"/>
  <mergeCells count="9">
    <mergeCell ref="A42:D42"/>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40" xr:uid="{00000000-0002-0000-2800-000000000000}">
      <formula1>0</formula1>
    </dataValidation>
  </dataValidations>
  <pageMargins left="0.74803149606299202" right="0.74803149606299202" top="0.98425196850393704" bottom="0.98425196850393704" header="0.511811023622047" footer="0.511811023622047"/>
  <pageSetup paperSize="9" scale="81"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D40"/>
  <sheetViews>
    <sheetView topLeftCell="A29" workbookViewId="0">
      <selection activeCell="A40" sqref="A40"/>
    </sheetView>
  </sheetViews>
  <sheetFormatPr baseColWidth="10" defaultColWidth="12" defaultRowHeight="13"/>
  <cols>
    <col min="1" max="1" customWidth="true" style="157" width="39.5" collapsed="true"/>
    <col min="2" max="2" customWidth="true" style="157" width="19.5" collapsed="true"/>
    <col min="3" max="3" customWidth="true" style="157" width="22.0" collapsed="true"/>
    <col min="4" max="4" customWidth="true" style="157" width="20.796875" collapsed="true"/>
    <col min="5" max="16384" style="157" width="12.0" collapsed="true"/>
  </cols>
  <sheetData>
    <row r="1" spans="1:4" ht="18" customHeight="1">
      <c r="A1" s="959" t="s">
        <v>897</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61" t="s">
        <v>722</v>
      </c>
      <c r="D7" s="1062" t="s">
        <v>614</v>
      </c>
    </row>
    <row r="8" spans="1:4" s="172" customFormat="1" ht="25.15" customHeight="1">
      <c r="A8" s="1040"/>
      <c r="B8" s="1044"/>
      <c r="C8" s="1061"/>
      <c r="D8" s="1062"/>
    </row>
    <row r="9" spans="1:4">
      <c r="A9" s="280" t="s">
        <v>1384</v>
      </c>
      <c r="B9" s="636">
        <v>0</v>
      </c>
      <c r="C9" s="610">
        <v>0</v>
      </c>
      <c r="D9" s="610">
        <v>0</v>
      </c>
    </row>
    <row r="10" spans="1:4" ht="27" customHeight="1">
      <c r="A10" s="280" t="s">
        <v>1385</v>
      </c>
      <c r="B10" s="752">
        <v>0</v>
      </c>
      <c r="C10" s="617">
        <v>0</v>
      </c>
      <c r="D10" s="610">
        <v>0</v>
      </c>
    </row>
    <row r="11" spans="1:4">
      <c r="A11" s="280" t="s">
        <v>888</v>
      </c>
      <c r="B11" s="752">
        <v>0</v>
      </c>
      <c r="C11" s="617">
        <v>0</v>
      </c>
      <c r="D11" s="610">
        <v>0</v>
      </c>
    </row>
    <row r="12" spans="1:4">
      <c r="A12" s="280" t="s">
        <v>889</v>
      </c>
      <c r="B12" s="752">
        <v>0</v>
      </c>
      <c r="C12" s="617">
        <v>0</v>
      </c>
      <c r="D12" s="610">
        <v>0</v>
      </c>
    </row>
    <row r="13" spans="1:4">
      <c r="A13" s="280" t="s">
        <v>1387</v>
      </c>
      <c r="B13" s="752">
        <v>0</v>
      </c>
      <c r="C13" s="617">
        <v>0</v>
      </c>
      <c r="D13" s="610">
        <v>0</v>
      </c>
    </row>
    <row r="14" spans="1:4">
      <c r="A14" s="280" t="s">
        <v>1386</v>
      </c>
      <c r="B14" s="752">
        <v>0</v>
      </c>
      <c r="C14" s="617">
        <v>0</v>
      </c>
      <c r="D14" s="610">
        <v>0</v>
      </c>
    </row>
    <row r="15" spans="1:4" ht="25.15" customHeight="1">
      <c r="A15" s="294" t="s">
        <v>898</v>
      </c>
      <c r="B15" s="716">
        <v>0</v>
      </c>
      <c r="C15" s="715">
        <v>0</v>
      </c>
      <c r="D15" s="612">
        <v>0</v>
      </c>
    </row>
    <row r="16" spans="1:4">
      <c r="A16" s="280" t="s">
        <v>1384</v>
      </c>
      <c r="B16" s="752">
        <v>0</v>
      </c>
      <c r="C16" s="617">
        <v>0</v>
      </c>
      <c r="D16" s="658">
        <v>0</v>
      </c>
    </row>
    <row r="17" spans="1:4" ht="26">
      <c r="A17" s="280" t="s">
        <v>1385</v>
      </c>
      <c r="B17" s="752">
        <v>0</v>
      </c>
      <c r="C17" s="617">
        <v>0</v>
      </c>
      <c r="D17" s="610">
        <v>0</v>
      </c>
    </row>
    <row r="18" spans="1:4">
      <c r="A18" s="280" t="s">
        <v>888</v>
      </c>
      <c r="B18" s="752">
        <v>0</v>
      </c>
      <c r="C18" s="617">
        <v>0</v>
      </c>
      <c r="D18" s="610">
        <v>0</v>
      </c>
    </row>
    <row r="19" spans="1:4">
      <c r="A19" s="280" t="s">
        <v>889</v>
      </c>
      <c r="B19" s="752">
        <v>0</v>
      </c>
      <c r="C19" s="617">
        <v>0</v>
      </c>
      <c r="D19" s="610">
        <v>0</v>
      </c>
    </row>
    <row r="20" spans="1:4">
      <c r="A20" s="280" t="s">
        <v>1387</v>
      </c>
      <c r="B20" s="752">
        <v>0</v>
      </c>
      <c r="C20" s="617">
        <v>0</v>
      </c>
      <c r="D20" s="610">
        <v>0</v>
      </c>
    </row>
    <row r="21" spans="1:4">
      <c r="A21" s="280" t="s">
        <v>1386</v>
      </c>
      <c r="B21" s="752">
        <v>0</v>
      </c>
      <c r="C21" s="617">
        <v>0</v>
      </c>
      <c r="D21" s="610">
        <v>0</v>
      </c>
    </row>
    <row r="22" spans="1:4" ht="27.65" customHeight="1">
      <c r="A22" s="294" t="s">
        <v>899</v>
      </c>
      <c r="B22" s="716">
        <v>0</v>
      </c>
      <c r="C22" s="715">
        <v>0</v>
      </c>
      <c r="D22" s="659">
        <v>0</v>
      </c>
    </row>
    <row r="23" spans="1:4">
      <c r="A23" s="280" t="s">
        <v>900</v>
      </c>
      <c r="B23" s="752">
        <v>15056815067.92</v>
      </c>
      <c r="C23" s="617">
        <v>10346003369.67</v>
      </c>
      <c r="D23" s="658">
        <f>B23/C23-1</f>
        <v>0.45532671215438225</v>
      </c>
    </row>
    <row r="24" spans="1:4">
      <c r="A24" s="280" t="s">
        <v>901</v>
      </c>
      <c r="B24" s="752">
        <v>602371222.09000003</v>
      </c>
      <c r="C24" s="617">
        <v>460604415.22000003</v>
      </c>
      <c r="D24" s="658">
        <f t="shared" ref="D24:D37" si="0">B24/C24-1</f>
        <v>0.30778429859880396</v>
      </c>
    </row>
    <row r="25" spans="1:4">
      <c r="A25" s="280" t="s">
        <v>902</v>
      </c>
      <c r="B25" s="752">
        <v>109012.5</v>
      </c>
      <c r="C25" s="617">
        <v>0</v>
      </c>
      <c r="D25" s="658"/>
    </row>
    <row r="26" spans="1:4">
      <c r="A26" s="280" t="s">
        <v>903</v>
      </c>
      <c r="B26" s="752">
        <v>2778113177.0999999</v>
      </c>
      <c r="C26" s="617">
        <v>4608989110.9899998</v>
      </c>
      <c r="D26" s="658">
        <f t="shared" si="0"/>
        <v>-0.39724023854261881</v>
      </c>
    </row>
    <row r="27" spans="1:4">
      <c r="A27" s="280" t="s">
        <v>904</v>
      </c>
      <c r="B27" s="752">
        <v>33274565.02</v>
      </c>
      <c r="C27" s="617">
        <v>82358523.659999996</v>
      </c>
      <c r="D27" s="658">
        <f t="shared" si="0"/>
        <v>-0.59597909795752158</v>
      </c>
    </row>
    <row r="28" spans="1:4">
      <c r="A28" s="280" t="s">
        <v>905</v>
      </c>
      <c r="B28" s="752">
        <v>0</v>
      </c>
      <c r="C28" s="617">
        <v>0</v>
      </c>
      <c r="D28" s="658"/>
    </row>
    <row r="29" spans="1:4">
      <c r="A29" s="280" t="s">
        <v>906</v>
      </c>
      <c r="B29" s="752">
        <v>111152927.77</v>
      </c>
      <c r="C29" s="617">
        <v>69310717.230000004</v>
      </c>
      <c r="D29" s="658">
        <f t="shared" si="0"/>
        <v>0.6036903412952892</v>
      </c>
    </row>
    <row r="30" spans="1:4">
      <c r="A30" s="280" t="s">
        <v>907</v>
      </c>
      <c r="B30" s="752">
        <v>0</v>
      </c>
      <c r="C30" s="617">
        <v>0</v>
      </c>
      <c r="D30" s="658"/>
    </row>
    <row r="31" spans="1:4">
      <c r="A31" s="280" t="s">
        <v>908</v>
      </c>
      <c r="B31" s="752">
        <v>16964750.940000001</v>
      </c>
      <c r="C31" s="617">
        <v>50301411.82</v>
      </c>
      <c r="D31" s="658">
        <f t="shared" si="0"/>
        <v>-0.66273807580774968</v>
      </c>
    </row>
    <row r="32" spans="1:4">
      <c r="A32" s="280" t="s">
        <v>909</v>
      </c>
      <c r="B32" s="752">
        <v>2591229866.4099998</v>
      </c>
      <c r="C32" s="617">
        <v>2192077276.3600001</v>
      </c>
      <c r="D32" s="658">
        <f t="shared" si="0"/>
        <v>0.18208874037178235</v>
      </c>
    </row>
    <row r="33" spans="1:4" ht="26">
      <c r="A33" s="280" t="s">
        <v>910</v>
      </c>
      <c r="B33" s="752">
        <v>2620671232.4699998</v>
      </c>
      <c r="C33" s="617">
        <v>1978816824.8</v>
      </c>
      <c r="D33" s="658">
        <f t="shared" si="0"/>
        <v>0.32436271999803346</v>
      </c>
    </row>
    <row r="34" spans="1:4">
      <c r="A34" s="280" t="s">
        <v>911</v>
      </c>
      <c r="B34" s="752">
        <v>107437439.39</v>
      </c>
      <c r="C34" s="617">
        <v>95011393.980000004</v>
      </c>
      <c r="D34" s="658">
        <f t="shared" si="0"/>
        <v>0.13078479211257221</v>
      </c>
    </row>
    <row r="35" spans="1:4">
      <c r="A35" s="280" t="s">
        <v>1387</v>
      </c>
      <c r="B35" s="752">
        <v>142868141</v>
      </c>
      <c r="C35" s="617">
        <v>116472878</v>
      </c>
      <c r="D35" s="658">
        <f t="shared" si="0"/>
        <v>0.22662154016663005</v>
      </c>
    </row>
    <row r="36" spans="1:4">
      <c r="A36" s="280" t="s">
        <v>912</v>
      </c>
      <c r="B36" s="752">
        <v>0</v>
      </c>
      <c r="C36" s="617">
        <v>0</v>
      </c>
      <c r="D36" s="658"/>
    </row>
    <row r="37" spans="1:4" ht="25.15" customHeight="1">
      <c r="A37" s="295" t="s">
        <v>913</v>
      </c>
      <c r="B37" s="718">
        <v>24061007402.610001</v>
      </c>
      <c r="C37" s="719">
        <v>19999945921.73</v>
      </c>
      <c r="D37" s="806">
        <f t="shared" si="0"/>
        <v>0.20305362308343278</v>
      </c>
    </row>
    <row r="38" spans="1:4">
      <c r="A38" s="296" t="s">
        <v>528</v>
      </c>
      <c r="B38" s="314"/>
    </row>
    <row r="39" spans="1:4" ht="97.5" customHeight="1">
      <c r="A39" s="1027" t="s">
        <v>1547</v>
      </c>
      <c r="B39" s="1027"/>
      <c r="C39" s="1027"/>
      <c r="D39" s="1027"/>
    </row>
    <row r="40" spans="1:4">
      <c r="A40" s="167"/>
    </row>
  </sheetData>
  <sheetProtection sheet="false"/>
  <mergeCells count="9">
    <mergeCell ref="A39:D3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7" xr:uid="{00000000-0002-0000-2900-000000000000}">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D19"/>
  <sheetViews>
    <sheetView topLeftCell="A7" workbookViewId="0">
      <selection activeCell="D10" sqref="D10"/>
    </sheetView>
  </sheetViews>
  <sheetFormatPr baseColWidth="10" defaultColWidth="12" defaultRowHeight="13"/>
  <cols>
    <col min="1" max="1" customWidth="true" style="157" width="39.5" collapsed="true"/>
    <col min="2" max="2" customWidth="true" style="157" width="21.19921875" collapsed="true"/>
    <col min="3" max="3" customWidth="true" style="157" width="28.69921875" collapsed="true"/>
    <col min="4" max="4" customWidth="true" style="157" width="24.796875" collapsed="true"/>
    <col min="5" max="16384" style="157" width="12.0" collapsed="true"/>
  </cols>
  <sheetData>
    <row r="1" spans="1:4" ht="18" customHeight="1">
      <c r="A1" s="959" t="s">
        <v>914</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41" t="s">
        <v>722</v>
      </c>
      <c r="D7" s="1053" t="s">
        <v>614</v>
      </c>
    </row>
    <row r="8" spans="1:4" s="172" customFormat="1" ht="25.15" customHeight="1">
      <c r="A8" s="1040"/>
      <c r="B8" s="1044"/>
      <c r="C8" s="1044"/>
      <c r="D8" s="1055"/>
    </row>
    <row r="9" spans="1:4">
      <c r="A9" s="280" t="s">
        <v>915</v>
      </c>
      <c r="B9" s="639">
        <v>3385986717.8099999</v>
      </c>
      <c r="C9" s="617">
        <v>7698619956.8100004</v>
      </c>
      <c r="D9" s="807">
        <f>B9/C9-1</f>
        <v>-0.56018263834223392</v>
      </c>
    </row>
    <row r="10" spans="1:4">
      <c r="A10" s="280" t="s">
        <v>916</v>
      </c>
      <c r="B10" s="639">
        <v>0</v>
      </c>
      <c r="C10" s="617">
        <v>0</v>
      </c>
      <c r="D10" s="807"/>
    </row>
    <row r="11" spans="1:4">
      <c r="A11" s="280" t="s">
        <v>917</v>
      </c>
      <c r="B11" s="639">
        <v>588493416.19000006</v>
      </c>
      <c r="C11" s="617">
        <v>549441813.28999996</v>
      </c>
      <c r="D11" s="807">
        <f t="shared" ref="D11:D13" si="0">B11/C11-1</f>
        <v>7.1075047357905374E-2</v>
      </c>
    </row>
    <row r="12" spans="1:4">
      <c r="A12" s="280" t="s">
        <v>918</v>
      </c>
      <c r="B12" s="639">
        <v>5788922</v>
      </c>
      <c r="C12" s="617">
        <v>3725243</v>
      </c>
      <c r="D12" s="807">
        <f t="shared" si="0"/>
        <v>0.55397164695027956</v>
      </c>
    </row>
    <row r="13" spans="1:4">
      <c r="A13" s="280" t="s">
        <v>1388</v>
      </c>
      <c r="B13" s="639">
        <v>91429466.189999998</v>
      </c>
      <c r="C13" s="617">
        <v>86986164.340000004</v>
      </c>
      <c r="D13" s="807">
        <f t="shared" si="0"/>
        <v>5.1080558428034717E-2</v>
      </c>
    </row>
    <row r="14" spans="1:4" ht="17.25" customHeight="1">
      <c r="A14" s="280" t="s">
        <v>1389</v>
      </c>
      <c r="B14" s="639">
        <v>0</v>
      </c>
      <c r="C14" s="617">
        <v>0</v>
      </c>
      <c r="D14" s="807"/>
    </row>
    <row r="15" spans="1:4">
      <c r="A15" s="280" t="s">
        <v>1390</v>
      </c>
      <c r="B15" s="639">
        <v>0</v>
      </c>
      <c r="C15" s="617">
        <v>0</v>
      </c>
      <c r="D15" s="807"/>
    </row>
    <row r="16" spans="1:4">
      <c r="A16" s="280" t="s">
        <v>1391</v>
      </c>
      <c r="B16" s="639">
        <v>0</v>
      </c>
      <c r="C16" s="617">
        <v>0</v>
      </c>
      <c r="D16" s="807"/>
    </row>
    <row r="17" spans="1:4" ht="25.15" customHeight="1">
      <c r="A17" s="295" t="s">
        <v>919</v>
      </c>
      <c r="B17" s="718">
        <v>4071698522.1900001</v>
      </c>
      <c r="C17" s="719">
        <v>8338773177.4399996</v>
      </c>
      <c r="D17" s="660">
        <v>-51.18</v>
      </c>
    </row>
    <row r="18" spans="1:4">
      <c r="A18" s="296" t="s">
        <v>528</v>
      </c>
    </row>
    <row r="19" spans="1:4" ht="98.5" customHeight="1">
      <c r="A19" s="1027" t="s">
        <v>1493</v>
      </c>
      <c r="B19" s="1027"/>
      <c r="C19" s="1027"/>
      <c r="D19" s="1027"/>
    </row>
  </sheetData>
  <sheetProtection sheet="false"/>
  <mergeCells count="9">
    <mergeCell ref="A19:D1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xr:uid="{00000000-0002-0000-2A00-000000000000}">
      <formula1>0</formula1>
    </dataValidation>
  </dataValidations>
  <pageMargins left="0.74803149606299202" right="0.74803149606299202" top="0.98425196850393704" bottom="0.98425196850393704" header="0.511811023622047" footer="0.511811023622047"/>
  <pageSetup paperSize="9" orientation="landscape"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D28"/>
  <sheetViews>
    <sheetView topLeftCell="A24" workbookViewId="0">
      <selection activeCell="H39" sqref="H39"/>
    </sheetView>
  </sheetViews>
  <sheetFormatPr baseColWidth="10" defaultColWidth="12" defaultRowHeight="13"/>
  <cols>
    <col min="1" max="1" customWidth="true" style="157" width="39.5" collapsed="true"/>
    <col min="2" max="2" bestFit="true" customWidth="true" style="157" width="19.19921875" collapsed="true"/>
    <col min="3" max="3" customWidth="true" style="157" width="20.296875" collapsed="true"/>
    <col min="4" max="4" customWidth="true" style="157" width="22.5" collapsed="true"/>
    <col min="5" max="16384" style="157" width="12.0" collapsed="true"/>
  </cols>
  <sheetData>
    <row r="1" spans="1:4" ht="18" customHeight="1">
      <c r="A1" s="959" t="s">
        <v>920</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61" t="s">
        <v>722</v>
      </c>
      <c r="D7" s="1062" t="s">
        <v>614</v>
      </c>
    </row>
    <row r="8" spans="1:4" s="172" customFormat="1" ht="25.15" customHeight="1">
      <c r="A8" s="1040"/>
      <c r="B8" s="1044"/>
      <c r="C8" s="1061"/>
      <c r="D8" s="1062"/>
    </row>
    <row r="9" spans="1:4" ht="20.149999999999999" customHeight="1">
      <c r="A9" s="280" t="s">
        <v>921</v>
      </c>
      <c r="B9" s="752">
        <v>1598136096.3599999</v>
      </c>
      <c r="C9" s="617">
        <v>1482466518.0999999</v>
      </c>
      <c r="D9" s="771">
        <v>7.8</v>
      </c>
    </row>
    <row r="10" spans="1:4" ht="20.149999999999999" customHeight="1">
      <c r="A10" s="280" t="s">
        <v>922</v>
      </c>
      <c r="B10" s="752">
        <v>3926994268.4499998</v>
      </c>
      <c r="C10" s="617">
        <v>5251488298.9700003</v>
      </c>
      <c r="D10" s="771">
        <v>-25.23</v>
      </c>
    </row>
    <row r="11" spans="1:4" ht="20.149999999999999" customHeight="1">
      <c r="A11" s="280" t="s">
        <v>923</v>
      </c>
      <c r="B11" s="752">
        <v>0</v>
      </c>
      <c r="C11" s="617">
        <v>0</v>
      </c>
      <c r="D11" s="771">
        <v>0</v>
      </c>
    </row>
    <row r="12" spans="1:4" ht="20.149999999999999" customHeight="1">
      <c r="A12" s="280" t="s">
        <v>924</v>
      </c>
      <c r="B12" s="752">
        <v>385267962.75999999</v>
      </c>
      <c r="C12" s="617">
        <v>286894599.73000002</v>
      </c>
      <c r="D12" s="771">
        <v>34.28</v>
      </c>
    </row>
    <row r="13" spans="1:4" ht="20.149999999999999" customHeight="1">
      <c r="A13" s="280" t="s">
        <v>925</v>
      </c>
      <c r="B13" s="752">
        <v>2339086237.4400001</v>
      </c>
      <c r="C13" s="617">
        <v>1522466601.1199999</v>
      </c>
      <c r="D13" s="771">
        <v>53.63</v>
      </c>
    </row>
    <row r="14" spans="1:4" ht="20.149999999999999" customHeight="1">
      <c r="A14" s="280" t="s">
        <v>926</v>
      </c>
      <c r="B14" s="752">
        <v>0</v>
      </c>
      <c r="C14" s="617">
        <v>0</v>
      </c>
      <c r="D14" s="771">
        <v>0</v>
      </c>
    </row>
    <row r="15" spans="1:4">
      <c r="A15" s="280" t="s">
        <v>927</v>
      </c>
      <c r="B15" s="752">
        <v>117560078.22</v>
      </c>
      <c r="C15" s="617">
        <v>140994704.68000001</v>
      </c>
      <c r="D15" s="771">
        <v>-16.63</v>
      </c>
    </row>
    <row r="16" spans="1:4" ht="20.149999999999999" customHeight="1">
      <c r="A16" s="280" t="s">
        <v>928</v>
      </c>
      <c r="B16" s="752">
        <v>693979295.80999994</v>
      </c>
      <c r="C16" s="617">
        <v>516249363.5</v>
      </c>
      <c r="D16" s="771">
        <v>34.42</v>
      </c>
    </row>
    <row r="17" spans="1:4" ht="20.149999999999999" customHeight="1">
      <c r="A17" s="280" t="s">
        <v>929</v>
      </c>
      <c r="B17" s="752">
        <v>85339225.230000004</v>
      </c>
      <c r="C17" s="617">
        <v>92621278.090000004</v>
      </c>
      <c r="D17" s="771">
        <v>-7.87</v>
      </c>
    </row>
    <row r="18" spans="1:4" ht="26">
      <c r="A18" s="280" t="s">
        <v>930</v>
      </c>
      <c r="B18" s="752">
        <v>9505807172.7299995</v>
      </c>
      <c r="C18" s="617">
        <v>9251797843.9899998</v>
      </c>
      <c r="D18" s="771">
        <v>2.74</v>
      </c>
    </row>
    <row r="19" spans="1:4" ht="20.149999999999999" customHeight="1">
      <c r="A19" s="280" t="s">
        <v>931</v>
      </c>
      <c r="B19" s="752">
        <v>72907133.060000002</v>
      </c>
      <c r="C19" s="617">
        <v>110956245.70999999</v>
      </c>
      <c r="D19" s="771">
        <v>-34.299999999999997</v>
      </c>
    </row>
    <row r="20" spans="1:4" ht="27.65" customHeight="1">
      <c r="A20" s="280" t="s">
        <v>932</v>
      </c>
      <c r="B20" s="752">
        <v>16483697491.6</v>
      </c>
      <c r="C20" s="617">
        <v>5972966116.46</v>
      </c>
      <c r="D20" s="771">
        <v>175.97</v>
      </c>
    </row>
    <row r="21" spans="1:4" ht="20.149999999999999" customHeight="1">
      <c r="A21" s="280" t="s">
        <v>933</v>
      </c>
      <c r="B21" s="752">
        <v>12182102.529999999</v>
      </c>
      <c r="C21" s="617">
        <v>10782552.039999999</v>
      </c>
      <c r="D21" s="773">
        <v>-100</v>
      </c>
    </row>
    <row r="22" spans="1:4" ht="30" customHeight="1">
      <c r="A22" s="280" t="s">
        <v>1392</v>
      </c>
      <c r="B22" s="752">
        <v>359278984.23000002</v>
      </c>
      <c r="C22" s="617">
        <v>497307697.19</v>
      </c>
      <c r="D22" s="771">
        <v>-27.76</v>
      </c>
    </row>
    <row r="23" spans="1:4" ht="30.4" customHeight="1">
      <c r="A23" s="280" t="s">
        <v>1393</v>
      </c>
      <c r="B23" s="752">
        <v>0</v>
      </c>
      <c r="C23" s="617">
        <v>0.15</v>
      </c>
      <c r="D23" s="786"/>
    </row>
    <row r="24" spans="1:4" ht="20.149999999999999" customHeight="1">
      <c r="A24" s="280" t="s">
        <v>934</v>
      </c>
      <c r="B24" s="752">
        <v>587369575.35000002</v>
      </c>
      <c r="C24" s="617">
        <v>215170237.02000001</v>
      </c>
      <c r="D24" s="771">
        <v>172.97</v>
      </c>
    </row>
    <row r="25" spans="1:4" ht="25.15" customHeight="1">
      <c r="A25" s="295" t="s">
        <v>935</v>
      </c>
      <c r="B25" s="718">
        <v>36167605623.769997</v>
      </c>
      <c r="C25" s="719">
        <v>25352162056.75</v>
      </c>
      <c r="D25" s="782">
        <v>42.66</v>
      </c>
    </row>
    <row r="26" spans="1:4">
      <c r="A26" s="296" t="s">
        <v>528</v>
      </c>
    </row>
    <row r="27" spans="1:4" ht="141" customHeight="1">
      <c r="A27" s="1027" t="s">
        <v>1494</v>
      </c>
      <c r="B27" s="1027"/>
      <c r="C27" s="1027"/>
      <c r="D27" s="1027"/>
    </row>
    <row r="28" spans="1:4">
      <c r="A28" s="167"/>
    </row>
  </sheetData>
  <sheetProtection sheet="false"/>
  <mergeCells count="9">
    <mergeCell ref="A27:D2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xr:uid="{00000000-0002-0000-2B00-000000000000}">
      <formula1>0</formula1>
    </dataValidation>
  </dataValidations>
  <pageMargins left="0.74803149606299213" right="0.74803149606299213" top="0.98425196850393704" bottom="0.98425196850393704" header="0.51181102362204722" footer="0.51181102362204722"/>
  <pageSetup paperSize="9" scale="95"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D18"/>
  <sheetViews>
    <sheetView workbookViewId="0">
      <selection activeCell="H39" sqref="H39"/>
    </sheetView>
  </sheetViews>
  <sheetFormatPr baseColWidth="10" defaultColWidth="12" defaultRowHeight="13"/>
  <cols>
    <col min="1" max="1" customWidth="true" style="157" width="39.5" collapsed="true"/>
    <col min="2" max="2" customWidth="true" style="157" width="19.69921875" collapsed="true"/>
    <col min="3" max="3" customWidth="true" style="157" width="20.5" collapsed="true"/>
    <col min="4" max="4" customWidth="true" style="157" width="23.19921875" collapsed="true"/>
    <col min="5" max="16384" style="157" width="12.0" collapsed="true"/>
  </cols>
  <sheetData>
    <row r="1" spans="1:4" ht="18" customHeight="1">
      <c r="A1" s="959" t="s">
        <v>936</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61" t="s">
        <v>722</v>
      </c>
      <c r="D7" s="1062" t="s">
        <v>614</v>
      </c>
    </row>
    <row r="8" spans="1:4" s="172" customFormat="1" ht="25.15" customHeight="1">
      <c r="A8" s="1040"/>
      <c r="B8" s="1044"/>
      <c r="C8" s="1061"/>
      <c r="D8" s="1062"/>
    </row>
    <row r="9" spans="1:4" ht="20.149999999999999" customHeight="1">
      <c r="A9" s="280" t="s">
        <v>937</v>
      </c>
      <c r="B9" s="639">
        <v>0</v>
      </c>
      <c r="C9" s="617">
        <v>1157827253</v>
      </c>
      <c r="D9" s="771">
        <v>-100</v>
      </c>
    </row>
    <row r="10" spans="1:4" ht="20.149999999999999" customHeight="1">
      <c r="A10" s="280" t="s">
        <v>938</v>
      </c>
      <c r="B10" s="639">
        <v>247200359</v>
      </c>
      <c r="C10" s="617">
        <v>311398890</v>
      </c>
      <c r="D10" s="771">
        <v>-20.62</v>
      </c>
    </row>
    <row r="11" spans="1:4" ht="20.149999999999999" customHeight="1">
      <c r="A11" s="280" t="s">
        <v>939</v>
      </c>
      <c r="B11" s="639">
        <v>0</v>
      </c>
      <c r="C11" s="617">
        <v>0</v>
      </c>
      <c r="D11" s="771">
        <v>0</v>
      </c>
    </row>
    <row r="12" spans="1:4" ht="20.149999999999999" customHeight="1">
      <c r="A12" s="280" t="s">
        <v>940</v>
      </c>
      <c r="B12" s="639">
        <v>98500</v>
      </c>
      <c r="C12" s="617">
        <v>1117696639</v>
      </c>
      <c r="D12" s="771">
        <v>-100</v>
      </c>
    </row>
    <row r="13" spans="1:4" ht="20.149999999999999" customHeight="1">
      <c r="A13" s="280" t="s">
        <v>941</v>
      </c>
      <c r="B13" s="639">
        <v>9291659</v>
      </c>
      <c r="C13" s="617">
        <v>10331439</v>
      </c>
      <c r="D13" s="771">
        <v>-10.07</v>
      </c>
    </row>
    <row r="14" spans="1:4" ht="20.149999999999999" customHeight="1">
      <c r="A14" s="280"/>
      <c r="B14" s="717"/>
      <c r="C14" s="711"/>
      <c r="D14" s="781"/>
    </row>
    <row r="15" spans="1:4" ht="25.15" customHeight="1">
      <c r="A15" s="295" t="s">
        <v>942</v>
      </c>
      <c r="B15" s="718">
        <v>256590518</v>
      </c>
      <c r="C15" s="719">
        <v>2597254221</v>
      </c>
      <c r="D15" s="782">
        <v>-90.13</v>
      </c>
    </row>
    <row r="16" spans="1:4">
      <c r="A16" s="296" t="s">
        <v>528</v>
      </c>
    </row>
    <row r="17" spans="1:4" ht="30" customHeight="1">
      <c r="A17" s="986" t="s">
        <v>1495</v>
      </c>
      <c r="B17" s="986"/>
      <c r="C17" s="986"/>
      <c r="D17" s="986"/>
    </row>
    <row r="18" spans="1:4">
      <c r="A18" s="167"/>
    </row>
  </sheetData>
  <sheetProtection sheet="false"/>
  <mergeCells count="9">
    <mergeCell ref="A17:D1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xr:uid="{00000000-0002-0000-2C00-000000000000}">
      <formula1>0</formula1>
    </dataValidation>
  </dataValidations>
  <pageMargins left="0.74803149606299213" right="0.74803149606299213" top="0.98425196850393704" bottom="0.98425196850393704" header="0.51181102362204722" footer="0.51181102362204722"/>
  <pageSetup paperSize="9" scale="93" orientation="portrait" r:id="rId1"/>
  <headerFooter>
    <oddFooter>&amp;L&amp;"Helvetica,Regular"&amp;12&amp;K000000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F20"/>
  <sheetViews>
    <sheetView topLeftCell="A7" workbookViewId="0">
      <selection activeCell="C9" sqref="C9:C16"/>
    </sheetView>
  </sheetViews>
  <sheetFormatPr baseColWidth="10" defaultColWidth="12" defaultRowHeight="13"/>
  <cols>
    <col min="1" max="1" customWidth="true" style="157" width="62.0" collapsed="true"/>
    <col min="2" max="2" customWidth="true" style="157" width="16.796875" collapsed="true"/>
    <col min="3" max="3" customWidth="true" style="157" width="17.296875" collapsed="true"/>
    <col min="4" max="4" customWidth="true" style="157" width="18.796875" collapsed="true"/>
    <col min="5" max="5" style="157" width="12.0" collapsed="true"/>
    <col min="6" max="6" bestFit="true" customWidth="true" style="157" width="12.296875" collapsed="true"/>
    <col min="7" max="16384" style="157" width="12.0" collapsed="true"/>
  </cols>
  <sheetData>
    <row r="1" spans="1:6" ht="18" customHeight="1">
      <c r="A1" s="959" t="s">
        <v>943</v>
      </c>
      <c r="B1" s="959"/>
      <c r="C1" s="959"/>
      <c r="D1" s="959"/>
    </row>
    <row r="2" spans="1:6" ht="8.15" customHeight="1"/>
    <row r="3" spans="1:6" ht="12.75" customHeight="1">
      <c r="A3" s="960" t="s">
        <v>486</v>
      </c>
      <c r="B3" s="960"/>
      <c r="C3" s="157" t="s">
        <v>487</v>
      </c>
      <c r="D3" s="623">
        <v>44926</v>
      </c>
    </row>
    <row r="4" spans="1:6" ht="15" customHeight="1">
      <c r="A4" s="976" t="s">
        <v>1423</v>
      </c>
      <c r="B4" s="977"/>
      <c r="C4" s="157" t="s">
        <v>488</v>
      </c>
      <c r="D4" s="965">
        <v>12</v>
      </c>
    </row>
    <row r="5" spans="1:6" ht="15" customHeight="1">
      <c r="A5" s="157" t="s">
        <v>489</v>
      </c>
      <c r="B5" s="621" t="s">
        <v>1426</v>
      </c>
      <c r="D5" s="962"/>
    </row>
    <row r="6" spans="1:6" ht="8.15" customHeight="1"/>
    <row r="7" spans="1:6" s="172" customFormat="1" ht="25.15" customHeight="1">
      <c r="A7" s="969" t="s">
        <v>339</v>
      </c>
      <c r="B7" s="1041" t="s">
        <v>721</v>
      </c>
      <c r="C7" s="1061" t="s">
        <v>722</v>
      </c>
      <c r="D7" s="1062" t="s">
        <v>614</v>
      </c>
    </row>
    <row r="8" spans="1:6" s="172" customFormat="1" ht="25.15" customHeight="1">
      <c r="A8" s="1040"/>
      <c r="B8" s="1044"/>
      <c r="C8" s="1061"/>
      <c r="D8" s="1062"/>
    </row>
    <row r="9" spans="1:6" ht="20.149999999999999" customHeight="1">
      <c r="A9" s="280" t="s">
        <v>944</v>
      </c>
      <c r="B9" s="639">
        <v>38937832.32</v>
      </c>
      <c r="C9" s="617">
        <v>436793667.82999998</v>
      </c>
      <c r="D9" s="771">
        <v>-91.09</v>
      </c>
    </row>
    <row r="10" spans="1:6" ht="20.149999999999999" customHeight="1">
      <c r="A10" s="280" t="s">
        <v>945</v>
      </c>
      <c r="B10" s="639">
        <v>1389000</v>
      </c>
      <c r="C10" s="617">
        <v>0</v>
      </c>
      <c r="D10" s="771">
        <v>0</v>
      </c>
    </row>
    <row r="11" spans="1:6">
      <c r="A11" s="280" t="s">
        <v>946</v>
      </c>
      <c r="B11" s="639">
        <v>0</v>
      </c>
      <c r="C11" s="617">
        <v>0</v>
      </c>
      <c r="D11" s="771">
        <v>0</v>
      </c>
    </row>
    <row r="12" spans="1:6">
      <c r="A12" s="280" t="s">
        <v>947</v>
      </c>
      <c r="B12" s="639">
        <v>843765716.38</v>
      </c>
      <c r="C12" s="617">
        <v>0</v>
      </c>
      <c r="D12" s="771">
        <v>0</v>
      </c>
    </row>
    <row r="13" spans="1:6">
      <c r="A13" s="280" t="s">
        <v>948</v>
      </c>
      <c r="B13" s="639">
        <v>7086340959.6199999</v>
      </c>
      <c r="C13" s="617">
        <v>3296644055.1500001</v>
      </c>
      <c r="D13" s="771">
        <v>114.95</v>
      </c>
    </row>
    <row r="14" spans="1:6">
      <c r="A14" s="280" t="s">
        <v>949</v>
      </c>
      <c r="B14" s="639">
        <v>110443629.56</v>
      </c>
      <c r="C14" s="617">
        <v>38639371.700000003</v>
      </c>
      <c r="D14" s="771">
        <v>185.83</v>
      </c>
    </row>
    <row r="15" spans="1:6">
      <c r="A15" s="280" t="s">
        <v>950</v>
      </c>
      <c r="B15" s="744">
        <v>3749170866.8099999</v>
      </c>
      <c r="C15" s="617">
        <v>0</v>
      </c>
      <c r="D15" s="771">
        <v>0</v>
      </c>
      <c r="F15" s="744"/>
    </row>
    <row r="16" spans="1:6" ht="26">
      <c r="A16" s="280" t="s">
        <v>951</v>
      </c>
      <c r="B16" s="639">
        <v>450386660.31</v>
      </c>
      <c r="C16" s="617">
        <v>77822281</v>
      </c>
      <c r="D16" s="771">
        <v>478.73</v>
      </c>
    </row>
    <row r="17" spans="1:4">
      <c r="A17" s="280"/>
      <c r="B17" s="717"/>
      <c r="C17" s="711"/>
      <c r="D17" s="781"/>
    </row>
    <row r="18" spans="1:4" ht="25.15" customHeight="1">
      <c r="A18" s="295" t="s">
        <v>952</v>
      </c>
      <c r="B18" s="719">
        <v>12280434665</v>
      </c>
      <c r="C18" s="719">
        <v>3849899375.6799998</v>
      </c>
      <c r="D18" s="782">
        <v>227.22</v>
      </c>
    </row>
    <row r="19" spans="1:4">
      <c r="A19" s="296" t="s">
        <v>528</v>
      </c>
    </row>
    <row r="20" spans="1:4" ht="140.15" customHeight="1">
      <c r="A20" s="1027" t="s">
        <v>1527</v>
      </c>
      <c r="B20" s="1027"/>
      <c r="C20" s="1027"/>
      <c r="D20" s="1027"/>
    </row>
  </sheetData>
  <sheetProtection sheet="false"/>
  <mergeCells count="9">
    <mergeCell ref="A20:D2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C9:C18 B9:B14 B16:B18" xr:uid="{00000000-0002-0000-2D00-000000000000}">
      <formula1>0</formula1>
    </dataValidation>
  </dataValidation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D18"/>
  <sheetViews>
    <sheetView topLeftCell="A10" workbookViewId="0">
      <selection activeCell="H39" sqref="H39"/>
    </sheetView>
  </sheetViews>
  <sheetFormatPr baseColWidth="10" defaultColWidth="12" defaultRowHeight="13"/>
  <cols>
    <col min="1" max="1" customWidth="true" style="157" width="51.296875" collapsed="true"/>
    <col min="2" max="2" customWidth="true" style="157" width="23.5" collapsed="true"/>
    <col min="3" max="3" customWidth="true" style="157" width="19.19921875" collapsed="true"/>
    <col min="4" max="4" customWidth="true" style="157" width="21.19921875" collapsed="true"/>
    <col min="5" max="16384" style="157" width="12.0" collapsed="true"/>
  </cols>
  <sheetData>
    <row r="1" spans="1:4" ht="18" customHeight="1">
      <c r="A1" s="959" t="s">
        <v>953</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969" t="s">
        <v>339</v>
      </c>
      <c r="B7" s="1041" t="s">
        <v>721</v>
      </c>
      <c r="C7" s="1061" t="s">
        <v>722</v>
      </c>
      <c r="D7" s="1062" t="s">
        <v>614</v>
      </c>
    </row>
    <row r="8" spans="1:4" s="172" customFormat="1" ht="25.15" customHeight="1">
      <c r="A8" s="1040"/>
      <c r="B8" s="1044"/>
      <c r="C8" s="1061"/>
      <c r="D8" s="1062"/>
    </row>
    <row r="9" spans="1:4">
      <c r="A9" s="280" t="s">
        <v>954</v>
      </c>
      <c r="B9" s="639">
        <v>21423457999.68</v>
      </c>
      <c r="C9" s="617">
        <v>18549295564.490002</v>
      </c>
      <c r="D9" s="771">
        <v>15.49</v>
      </c>
    </row>
    <row r="10" spans="1:4">
      <c r="A10" s="280" t="s">
        <v>955</v>
      </c>
      <c r="B10" s="639">
        <v>-532033</v>
      </c>
      <c r="C10" s="617">
        <v>0</v>
      </c>
      <c r="D10" s="771">
        <v>0</v>
      </c>
    </row>
    <row r="11" spans="1:4" ht="20.149999999999999" customHeight="1">
      <c r="A11" s="280" t="s">
        <v>956</v>
      </c>
      <c r="B11" s="639">
        <v>445955407</v>
      </c>
      <c r="C11" s="617">
        <v>367260324</v>
      </c>
      <c r="D11" s="771">
        <v>21.42</v>
      </c>
    </row>
    <row r="12" spans="1:4" ht="27.65" customHeight="1">
      <c r="A12" s="280" t="s">
        <v>957</v>
      </c>
      <c r="B12" s="639">
        <v>0</v>
      </c>
      <c r="C12" s="617">
        <v>0</v>
      </c>
      <c r="D12" s="771">
        <v>0</v>
      </c>
    </row>
    <row r="13" spans="1:4">
      <c r="A13" s="280" t="s">
        <v>958</v>
      </c>
      <c r="B13" s="639">
        <v>1795754054.4100001</v>
      </c>
      <c r="C13" s="617">
        <v>1650498276</v>
      </c>
      <c r="D13" s="771">
        <v>8.8000000000000007</v>
      </c>
    </row>
    <row r="14" spans="1:4" ht="20.149999999999999" customHeight="1">
      <c r="A14" s="280" t="s">
        <v>959</v>
      </c>
      <c r="B14" s="639">
        <v>21957239.530000001</v>
      </c>
      <c r="C14" s="617">
        <v>37635290</v>
      </c>
      <c r="D14" s="771">
        <v>-41.66</v>
      </c>
    </row>
    <row r="15" spans="1:4" ht="20.149999999999999" customHeight="1">
      <c r="A15" s="280"/>
      <c r="B15" s="717"/>
      <c r="C15" s="711"/>
      <c r="D15" s="781"/>
    </row>
    <row r="16" spans="1:4" ht="25.15" customHeight="1">
      <c r="A16" s="295" t="s">
        <v>960</v>
      </c>
      <c r="B16" s="718">
        <v>23686592667.619999</v>
      </c>
      <c r="C16" s="719">
        <v>20604689454.490002</v>
      </c>
      <c r="D16" s="782">
        <v>14.95</v>
      </c>
    </row>
    <row r="17" spans="1:4">
      <c r="A17" s="296" t="s">
        <v>528</v>
      </c>
    </row>
    <row r="18" spans="1:4" ht="46" customHeight="1">
      <c r="A18" s="1027" t="s">
        <v>1496</v>
      </c>
      <c r="B18" s="1027"/>
      <c r="C18" s="1027"/>
      <c r="D18" s="1027"/>
    </row>
  </sheetData>
  <sheetProtection sheet="false"/>
  <mergeCells count="9">
    <mergeCell ref="A18:D1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xr:uid="{00000000-0002-0000-2E00-000000000000}">
      <formula1>0</formula1>
    </dataValidation>
  </dataValidations>
  <pageMargins left="0.74803149606299202" right="0.74803149606299202" top="0.98425196850393704" bottom="0.98425196850393704" header="0.511811023622047" footer="0.511811023622047"/>
  <pageSetup paperSize="9" orientation="landscape"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R31"/>
  <sheetViews>
    <sheetView topLeftCell="A19" workbookViewId="0">
      <selection activeCell="H39" sqref="H39"/>
    </sheetView>
  </sheetViews>
  <sheetFormatPr baseColWidth="10" defaultColWidth="12" defaultRowHeight="13"/>
  <cols>
    <col min="1" max="1" bestFit="true" customWidth="true" style="157" width="5.5" collapsed="true"/>
    <col min="2" max="2" customWidth="true" style="157" width="41.19921875" collapsed="true"/>
    <col min="3" max="8" customWidth="true" style="157" width="7.796875" collapsed="true"/>
    <col min="9" max="9" bestFit="true" customWidth="true" style="157" width="9.19921875" collapsed="true"/>
    <col min="10" max="10" customWidth="true" style="157" width="16.796875" collapsed="true"/>
    <col min="11" max="11" bestFit="true" customWidth="true" style="157" width="17.5" collapsed="true"/>
    <col min="12" max="13" customWidth="true" style="157" width="7.796875" collapsed="true"/>
    <col min="14" max="14" bestFit="true" customWidth="true" style="157" width="17.5" collapsed="true"/>
    <col min="15" max="15" customWidth="true" style="157" width="7.796875" collapsed="true"/>
    <col min="16" max="16" customWidth="true" style="157" width="22.5" collapsed="true"/>
    <col min="17" max="16384" style="157" width="12.0" collapsed="true"/>
  </cols>
  <sheetData>
    <row r="1" spans="1:18" ht="18" customHeight="1">
      <c r="B1" s="959" t="s">
        <v>961</v>
      </c>
      <c r="C1" s="959"/>
      <c r="D1" s="959"/>
      <c r="E1" s="959"/>
      <c r="F1" s="959"/>
      <c r="G1" s="959"/>
      <c r="H1" s="959"/>
      <c r="I1" s="959"/>
      <c r="J1" s="959"/>
      <c r="K1" s="959"/>
      <c r="L1" s="959"/>
      <c r="M1" s="959"/>
      <c r="N1" s="959"/>
      <c r="O1" s="959"/>
      <c r="P1" s="959"/>
    </row>
    <row r="2" spans="1:18" ht="8.15" customHeight="1"/>
    <row r="3" spans="1:18" ht="12.75" customHeight="1">
      <c r="B3" s="157" t="s">
        <v>486</v>
      </c>
      <c r="C3" s="343"/>
      <c r="D3" s="343"/>
      <c r="E3" s="343"/>
      <c r="F3" s="343"/>
      <c r="K3" s="157" t="s">
        <v>487</v>
      </c>
      <c r="N3" s="1126" t="s">
        <v>1489</v>
      </c>
      <c r="O3" s="1127"/>
      <c r="P3" s="1127"/>
    </row>
    <row r="4" spans="1:18" ht="12.75" customHeight="1">
      <c r="B4" s="1126" t="s">
        <v>1423</v>
      </c>
      <c r="C4" s="1127"/>
      <c r="D4" s="1127"/>
      <c r="E4" s="1127"/>
      <c r="F4" s="1127"/>
      <c r="G4" s="1127"/>
      <c r="H4" s="1127"/>
    </row>
    <row r="5" spans="1:18" ht="12.75" customHeight="1">
      <c r="B5" s="157" t="s">
        <v>489</v>
      </c>
      <c r="C5" s="1126" t="s">
        <v>1426</v>
      </c>
      <c r="D5" s="1127"/>
      <c r="E5" s="1127"/>
      <c r="K5" s="157" t="s">
        <v>488</v>
      </c>
      <c r="M5" s="1127"/>
      <c r="N5" s="1126">
        <v>12</v>
      </c>
    </row>
    <row r="6" spans="1:18" ht="8.15" customHeight="1"/>
    <row r="7" spans="1:18" s="210" customFormat="1">
      <c r="B7" s="1128" t="s">
        <v>962</v>
      </c>
      <c r="C7" s="1131" t="s">
        <v>963</v>
      </c>
      <c r="D7" s="1132"/>
      <c r="E7" s="1132"/>
      <c r="F7" s="1132"/>
      <c r="G7" s="1132"/>
      <c r="H7" s="1132"/>
      <c r="I7" s="1133"/>
      <c r="J7" s="1132" t="s">
        <v>964</v>
      </c>
      <c r="K7" s="1132"/>
      <c r="L7" s="1132"/>
      <c r="M7" s="1132"/>
      <c r="N7" s="1132"/>
      <c r="O7" s="1132"/>
      <c r="P7" s="1134"/>
    </row>
    <row r="8" spans="1:18" s="210" customFormat="1" ht="18.75" customHeight="1">
      <c r="B8" s="1129"/>
      <c r="C8" s="1135" t="s">
        <v>965</v>
      </c>
      <c r="D8" s="1136"/>
      <c r="E8" s="1137" t="s">
        <v>966</v>
      </c>
      <c r="F8" s="1138"/>
      <c r="G8" s="1135" t="s">
        <v>967</v>
      </c>
      <c r="H8" s="1136"/>
      <c r="I8" s="211" t="s">
        <v>113</v>
      </c>
      <c r="J8" s="1139" t="s">
        <v>965</v>
      </c>
      <c r="K8" s="1136"/>
      <c r="L8" s="1140" t="s">
        <v>966</v>
      </c>
      <c r="M8" s="1141"/>
      <c r="N8" s="1142" t="s">
        <v>967</v>
      </c>
      <c r="O8" s="1143"/>
      <c r="P8" s="454" t="s">
        <v>113</v>
      </c>
    </row>
    <row r="9" spans="1:18" s="210" customFormat="1">
      <c r="B9" s="1130"/>
      <c r="C9" s="423" t="s">
        <v>968</v>
      </c>
      <c r="D9" s="423" t="s">
        <v>479</v>
      </c>
      <c r="E9" s="423" t="s">
        <v>968</v>
      </c>
      <c r="F9" s="423" t="s">
        <v>479</v>
      </c>
      <c r="G9" s="423" t="s">
        <v>968</v>
      </c>
      <c r="H9" s="423" t="s">
        <v>479</v>
      </c>
      <c r="I9" s="212"/>
      <c r="J9" s="213" t="s">
        <v>968</v>
      </c>
      <c r="K9" s="423" t="s">
        <v>479</v>
      </c>
      <c r="L9" s="214" t="s">
        <v>968</v>
      </c>
      <c r="M9" s="214" t="s">
        <v>479</v>
      </c>
      <c r="N9" s="214" t="s">
        <v>968</v>
      </c>
      <c r="O9" s="214" t="s">
        <v>479</v>
      </c>
      <c r="P9" s="215"/>
      <c r="R9" s="216"/>
    </row>
    <row r="10" spans="1:18" s="210" customFormat="1">
      <c r="A10" s="301" t="s">
        <v>969</v>
      </c>
      <c r="B10" s="302" t="s">
        <v>970</v>
      </c>
      <c r="C10" s="661">
        <v>29</v>
      </c>
      <c r="D10" s="661">
        <v>8</v>
      </c>
      <c r="E10" s="661">
        <v>49</v>
      </c>
      <c r="F10" s="661">
        <v>0</v>
      </c>
      <c r="G10" s="661">
        <v>0</v>
      </c>
      <c r="H10" s="661">
        <v>0</v>
      </c>
      <c r="I10" s="661">
        <v>86</v>
      </c>
      <c r="J10" s="662">
        <v>1278047693</v>
      </c>
      <c r="K10" s="661">
        <v>312756410</v>
      </c>
      <c r="L10" s="663">
        <v>0</v>
      </c>
      <c r="M10" s="663">
        <v>0</v>
      </c>
      <c r="N10" s="663">
        <v>9553678561</v>
      </c>
      <c r="O10" s="663">
        <v>0</v>
      </c>
      <c r="P10" s="663">
        <v>11144482664</v>
      </c>
      <c r="R10" s="216"/>
    </row>
    <row r="11" spans="1:18" s="210" customFormat="1">
      <c r="A11" s="301" t="s">
        <v>971</v>
      </c>
      <c r="B11" s="302" t="s">
        <v>972</v>
      </c>
      <c r="C11" s="661">
        <v>108</v>
      </c>
      <c r="D11" s="661">
        <v>30</v>
      </c>
      <c r="E11" s="661">
        <v>0</v>
      </c>
      <c r="F11" s="661">
        <v>0</v>
      </c>
      <c r="G11" s="661">
        <v>0</v>
      </c>
      <c r="H11" s="661">
        <v>0</v>
      </c>
      <c r="I11" s="661">
        <v>138</v>
      </c>
      <c r="J11" s="662">
        <v>2184142456</v>
      </c>
      <c r="K11" s="661">
        <v>483340514</v>
      </c>
      <c r="L11" s="663">
        <v>0</v>
      </c>
      <c r="M11" s="663">
        <v>0</v>
      </c>
      <c r="N11" s="664">
        <v>0</v>
      </c>
      <c r="O11" s="663">
        <v>0</v>
      </c>
      <c r="P11" s="663">
        <v>2667482970</v>
      </c>
      <c r="R11" s="216"/>
    </row>
    <row r="12" spans="1:18" s="210" customFormat="1" ht="27.65" customHeight="1">
      <c r="A12" s="301" t="s">
        <v>973</v>
      </c>
      <c r="B12" s="302" t="s">
        <v>974</v>
      </c>
      <c r="C12" s="661">
        <v>299</v>
      </c>
      <c r="D12" s="661">
        <v>42</v>
      </c>
      <c r="E12" s="661">
        <v>0</v>
      </c>
      <c r="F12" s="661">
        <v>0</v>
      </c>
      <c r="G12" s="661">
        <v>0</v>
      </c>
      <c r="H12" s="661">
        <v>0</v>
      </c>
      <c r="I12" s="661">
        <v>341</v>
      </c>
      <c r="J12" s="662">
        <v>3634276287</v>
      </c>
      <c r="K12" s="661">
        <v>464335433</v>
      </c>
      <c r="L12" s="663">
        <v>0</v>
      </c>
      <c r="M12" s="663">
        <v>0</v>
      </c>
      <c r="N12" s="663">
        <v>0</v>
      </c>
      <c r="O12" s="663">
        <v>0</v>
      </c>
      <c r="P12" s="663">
        <v>4098611720</v>
      </c>
      <c r="R12" s="216"/>
    </row>
    <row r="13" spans="1:18" s="210" customFormat="1" ht="26">
      <c r="A13" s="301" t="s">
        <v>975</v>
      </c>
      <c r="B13" s="302" t="s">
        <v>976</v>
      </c>
      <c r="C13" s="661">
        <v>281</v>
      </c>
      <c r="D13" s="661">
        <v>25</v>
      </c>
      <c r="E13" s="661">
        <v>0</v>
      </c>
      <c r="F13" s="661">
        <v>0</v>
      </c>
      <c r="G13" s="661">
        <v>0</v>
      </c>
      <c r="H13" s="661">
        <v>0</v>
      </c>
      <c r="I13" s="661">
        <v>306</v>
      </c>
      <c r="J13" s="662">
        <v>2248903027</v>
      </c>
      <c r="K13" s="661">
        <v>117357586</v>
      </c>
      <c r="L13" s="663">
        <v>0</v>
      </c>
      <c r="M13" s="663">
        <v>0</v>
      </c>
      <c r="N13" s="663">
        <v>0</v>
      </c>
      <c r="O13" s="663">
        <v>0</v>
      </c>
      <c r="P13" s="663">
        <v>2366260613</v>
      </c>
      <c r="R13" s="216"/>
    </row>
    <row r="14" spans="1:18" s="210" customFormat="1">
      <c r="A14" s="301" t="s">
        <v>977</v>
      </c>
      <c r="B14" s="303" t="s">
        <v>978</v>
      </c>
      <c r="C14" s="661">
        <v>717</v>
      </c>
      <c r="D14" s="661">
        <v>105</v>
      </c>
      <c r="E14" s="661">
        <v>49</v>
      </c>
      <c r="F14" s="661">
        <v>0</v>
      </c>
      <c r="G14" s="661">
        <v>0</v>
      </c>
      <c r="H14" s="661">
        <v>0</v>
      </c>
      <c r="I14" s="661">
        <v>871</v>
      </c>
      <c r="J14" s="662">
        <v>9345369463</v>
      </c>
      <c r="K14" s="661">
        <v>1377789943</v>
      </c>
      <c r="L14" s="661">
        <v>0</v>
      </c>
      <c r="M14" s="661">
        <v>0</v>
      </c>
      <c r="N14" s="661">
        <v>9553678561</v>
      </c>
      <c r="O14" s="661">
        <v>0</v>
      </c>
      <c r="P14" s="661">
        <v>20276837967</v>
      </c>
      <c r="R14" s="216"/>
    </row>
    <row r="15" spans="1:18" s="210" customFormat="1">
      <c r="A15" s="301"/>
      <c r="B15" s="303"/>
      <c r="C15" s="528"/>
      <c r="D15" s="528"/>
      <c r="E15" s="528"/>
      <c r="F15" s="528"/>
      <c r="G15" s="528"/>
      <c r="H15" s="528"/>
      <c r="I15" s="529"/>
      <c r="J15" s="530"/>
      <c r="K15" s="528"/>
      <c r="L15" s="531"/>
      <c r="M15" s="531"/>
      <c r="N15" s="531"/>
      <c r="O15" s="531"/>
      <c r="P15" s="531"/>
      <c r="R15" s="216"/>
    </row>
    <row r="16" spans="1:18" s="210" customFormat="1">
      <c r="A16" s="301" t="s">
        <v>979</v>
      </c>
      <c r="B16" s="303" t="s">
        <v>980</v>
      </c>
      <c r="C16" s="661">
        <v>0</v>
      </c>
      <c r="D16" s="661">
        <v>0</v>
      </c>
      <c r="E16" s="661">
        <v>0</v>
      </c>
      <c r="F16" s="661">
        <v>0</v>
      </c>
      <c r="G16" s="661">
        <v>0</v>
      </c>
      <c r="H16" s="661">
        <v>0</v>
      </c>
      <c r="I16" s="661">
        <v>0</v>
      </c>
      <c r="J16" s="662">
        <v>0</v>
      </c>
      <c r="K16" s="661">
        <v>0</v>
      </c>
      <c r="L16" s="661">
        <v>0</v>
      </c>
      <c r="M16" s="661">
        <v>0</v>
      </c>
      <c r="N16" s="661">
        <v>0</v>
      </c>
      <c r="O16" s="661">
        <v>0</v>
      </c>
      <c r="P16" s="661">
        <v>0</v>
      </c>
      <c r="R16" s="216"/>
    </row>
    <row r="17" spans="1:18" s="210" customFormat="1">
      <c r="A17" s="301" t="s">
        <v>981</v>
      </c>
      <c r="B17" s="303" t="s">
        <v>982</v>
      </c>
      <c r="C17" s="661">
        <v>0</v>
      </c>
      <c r="D17" s="661">
        <v>0</v>
      </c>
      <c r="E17" s="661">
        <v>0</v>
      </c>
      <c r="F17" s="661">
        <v>0</v>
      </c>
      <c r="G17" s="661">
        <v>0</v>
      </c>
      <c r="H17" s="661">
        <v>0</v>
      </c>
      <c r="I17" s="661">
        <v>0</v>
      </c>
      <c r="J17" s="662">
        <v>0</v>
      </c>
      <c r="K17" s="661">
        <v>0</v>
      </c>
      <c r="L17" s="663">
        <v>0</v>
      </c>
      <c r="M17" s="663">
        <v>0</v>
      </c>
      <c r="N17" s="663">
        <v>0</v>
      </c>
      <c r="O17" s="663">
        <v>0</v>
      </c>
      <c r="P17" s="665">
        <v>0</v>
      </c>
    </row>
    <row r="18" spans="1:18" s="210" customFormat="1">
      <c r="A18" s="304"/>
      <c r="B18" s="305"/>
      <c r="L18" s="217"/>
      <c r="M18" s="217"/>
      <c r="N18" s="217"/>
      <c r="O18" s="217"/>
      <c r="P18" s="217"/>
    </row>
    <row r="19" spans="1:18" s="210" customFormat="1">
      <c r="A19" s="304"/>
      <c r="B19" s="306"/>
      <c r="L19" s="217"/>
      <c r="M19" s="217"/>
      <c r="N19" s="217"/>
      <c r="O19" s="217"/>
      <c r="P19" s="217"/>
      <c r="R19" s="216"/>
    </row>
    <row r="20" spans="1:18" s="210" customFormat="1" ht="19.5" customHeight="1">
      <c r="A20" s="304"/>
      <c r="B20" s="306" t="s">
        <v>983</v>
      </c>
      <c r="I20" s="216"/>
      <c r="J20" s="1124" t="s">
        <v>984</v>
      </c>
      <c r="K20" s="1125"/>
      <c r="L20" s="217"/>
      <c r="M20" s="217"/>
      <c r="N20" s="217"/>
      <c r="O20" s="217"/>
      <c r="P20" s="217"/>
      <c r="Q20" s="216"/>
      <c r="R20" s="216"/>
    </row>
    <row r="21" spans="1:18" s="210" customFormat="1">
      <c r="A21" s="301" t="s">
        <v>985</v>
      </c>
      <c r="B21" s="302" t="s">
        <v>970</v>
      </c>
      <c r="C21" s="661">
        <v>0</v>
      </c>
      <c r="D21" s="661">
        <v>0</v>
      </c>
      <c r="E21" s="661">
        <v>0</v>
      </c>
      <c r="F21" s="661">
        <v>0</v>
      </c>
      <c r="G21" s="661">
        <v>0</v>
      </c>
      <c r="H21" s="661">
        <v>0</v>
      </c>
      <c r="I21" s="661">
        <v>0</v>
      </c>
      <c r="J21" s="661">
        <v>0</v>
      </c>
      <c r="K21" s="661">
        <v>0</v>
      </c>
      <c r="L21" s="217"/>
      <c r="M21" s="217"/>
      <c r="N21" s="217"/>
      <c r="O21" s="217"/>
      <c r="P21" s="217"/>
      <c r="Q21" s="216"/>
      <c r="R21" s="216"/>
    </row>
    <row r="22" spans="1:18" s="210" customFormat="1">
      <c r="A22" s="455" t="s">
        <v>986</v>
      </c>
      <c r="B22" s="456" t="s">
        <v>972</v>
      </c>
      <c r="C22" s="661">
        <v>2</v>
      </c>
      <c r="D22" s="661">
        <v>1</v>
      </c>
      <c r="E22" s="661">
        <v>0</v>
      </c>
      <c r="F22" s="661">
        <v>0</v>
      </c>
      <c r="G22" s="661">
        <v>0</v>
      </c>
      <c r="H22" s="661">
        <v>0</v>
      </c>
      <c r="I22" s="661">
        <v>3</v>
      </c>
      <c r="J22" s="661">
        <v>8856980</v>
      </c>
      <c r="K22" s="661">
        <v>1800000</v>
      </c>
      <c r="L22" s="217"/>
      <c r="M22" s="217"/>
      <c r="N22" s="217"/>
      <c r="O22" s="217"/>
      <c r="P22" s="217"/>
      <c r="R22" s="216"/>
    </row>
    <row r="23" spans="1:18" s="210" customFormat="1" ht="27.65" customHeight="1">
      <c r="A23" s="455" t="s">
        <v>987</v>
      </c>
      <c r="B23" s="456" t="s">
        <v>974</v>
      </c>
      <c r="C23" s="661">
        <v>17</v>
      </c>
      <c r="D23" s="661">
        <v>4</v>
      </c>
      <c r="E23" s="661">
        <v>0</v>
      </c>
      <c r="F23" s="661">
        <v>0</v>
      </c>
      <c r="G23" s="661">
        <v>0</v>
      </c>
      <c r="H23" s="661">
        <v>0</v>
      </c>
      <c r="I23" s="661">
        <v>21</v>
      </c>
      <c r="J23" s="661">
        <v>83040274</v>
      </c>
      <c r="K23" s="661">
        <v>15045507</v>
      </c>
      <c r="L23" s="217"/>
      <c r="M23" s="217"/>
      <c r="N23" s="217"/>
      <c r="O23" s="217"/>
      <c r="P23" s="217"/>
    </row>
    <row r="24" spans="1:18" s="210" customFormat="1" ht="26">
      <c r="A24" s="455" t="s">
        <v>988</v>
      </c>
      <c r="B24" s="456" t="s">
        <v>976</v>
      </c>
      <c r="C24" s="661">
        <v>159</v>
      </c>
      <c r="D24" s="661">
        <v>19</v>
      </c>
      <c r="E24" s="661">
        <v>0</v>
      </c>
      <c r="F24" s="661">
        <v>0</v>
      </c>
      <c r="G24" s="661">
        <v>0</v>
      </c>
      <c r="H24" s="661">
        <v>0</v>
      </c>
      <c r="I24" s="661">
        <v>178</v>
      </c>
      <c r="J24" s="661">
        <v>557316256</v>
      </c>
      <c r="K24" s="661">
        <v>69672102</v>
      </c>
      <c r="L24" s="217"/>
      <c r="M24" s="217"/>
      <c r="N24" s="217"/>
      <c r="O24" s="217"/>
      <c r="P24" s="217"/>
    </row>
    <row r="25" spans="1:18" s="210" customFormat="1">
      <c r="A25" s="455" t="s">
        <v>989</v>
      </c>
      <c r="B25" s="457" t="s">
        <v>990</v>
      </c>
      <c r="C25" s="661">
        <v>178</v>
      </c>
      <c r="D25" s="661">
        <v>24</v>
      </c>
      <c r="E25" s="661">
        <v>0</v>
      </c>
      <c r="F25" s="661">
        <v>0</v>
      </c>
      <c r="G25" s="661">
        <v>0</v>
      </c>
      <c r="H25" s="661">
        <v>0</v>
      </c>
      <c r="I25" s="661">
        <v>202</v>
      </c>
      <c r="J25" s="661">
        <v>649213510</v>
      </c>
      <c r="K25" s="661">
        <v>86517609</v>
      </c>
      <c r="L25" s="217"/>
      <c r="M25" s="217"/>
      <c r="N25" s="217"/>
      <c r="O25" s="217"/>
      <c r="P25" s="217"/>
    </row>
    <row r="26" spans="1:18" s="210" customFormat="1">
      <c r="A26" s="455"/>
      <c r="B26" s="457"/>
      <c r="C26" s="533"/>
      <c r="D26" s="533"/>
      <c r="E26" s="533"/>
      <c r="F26" s="533"/>
      <c r="G26" s="533"/>
      <c r="H26" s="533"/>
      <c r="I26" s="534"/>
      <c r="J26" s="532"/>
      <c r="K26" s="533"/>
      <c r="L26" s="217"/>
      <c r="M26" s="217"/>
      <c r="N26" s="217"/>
      <c r="O26" s="217"/>
      <c r="P26" s="217"/>
    </row>
    <row r="27" spans="1:18" s="210" customFormat="1">
      <c r="A27" s="455" t="s">
        <v>991</v>
      </c>
      <c r="B27" s="457" t="s">
        <v>980</v>
      </c>
      <c r="C27" s="661">
        <v>0</v>
      </c>
      <c r="D27" s="661">
        <v>0</v>
      </c>
      <c r="E27" s="661">
        <v>0</v>
      </c>
      <c r="F27" s="661">
        <v>0</v>
      </c>
      <c r="G27" s="661">
        <v>0</v>
      </c>
      <c r="H27" s="661">
        <v>0</v>
      </c>
      <c r="I27" s="661">
        <v>0</v>
      </c>
      <c r="J27" s="661">
        <v>0</v>
      </c>
      <c r="K27" s="661">
        <v>0</v>
      </c>
      <c r="L27" s="217"/>
      <c r="M27" s="217"/>
      <c r="N27" s="217"/>
      <c r="O27" s="217"/>
      <c r="P27" s="217"/>
    </row>
    <row r="28" spans="1:18" s="217" customFormat="1">
      <c r="A28" s="458" t="s">
        <v>992</v>
      </c>
      <c r="B28" s="457" t="s">
        <v>982</v>
      </c>
      <c r="C28" s="661">
        <v>0</v>
      </c>
      <c r="D28" s="661">
        <v>0</v>
      </c>
      <c r="E28" s="661">
        <v>0</v>
      </c>
      <c r="F28" s="661">
        <v>0</v>
      </c>
      <c r="G28" s="661">
        <v>0</v>
      </c>
      <c r="H28" s="661">
        <v>0</v>
      </c>
      <c r="I28" s="661">
        <v>0</v>
      </c>
      <c r="J28" s="661">
        <v>0</v>
      </c>
      <c r="K28" s="661">
        <v>0</v>
      </c>
    </row>
    <row r="29" spans="1:18" s="217" customFormat="1">
      <c r="A29" s="458"/>
      <c r="B29" s="457"/>
      <c r="C29" s="533"/>
      <c r="D29" s="533"/>
      <c r="E29" s="533"/>
      <c r="F29" s="533"/>
      <c r="G29" s="533"/>
      <c r="H29" s="533"/>
      <c r="I29" s="534"/>
      <c r="J29" s="535"/>
      <c r="K29" s="536"/>
    </row>
    <row r="30" spans="1:18" s="217" customFormat="1">
      <c r="A30" s="458" t="s">
        <v>993</v>
      </c>
      <c r="B30" s="459" t="s">
        <v>994</v>
      </c>
      <c r="C30" s="666">
        <v>895</v>
      </c>
      <c r="D30" s="666">
        <v>129</v>
      </c>
      <c r="E30" s="666">
        <v>49</v>
      </c>
      <c r="F30" s="666">
        <v>0</v>
      </c>
      <c r="G30" s="666">
        <v>0</v>
      </c>
      <c r="H30" s="666">
        <v>0</v>
      </c>
      <c r="I30" s="666">
        <v>1073</v>
      </c>
      <c r="J30" s="667">
        <v>9994582973</v>
      </c>
      <c r="K30" s="667">
        <v>1464307552</v>
      </c>
    </row>
    <row r="31" spans="1:18">
      <c r="A31" s="297"/>
      <c r="B31" s="296" t="s">
        <v>528</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0 C10:P14" xr:uid="{00000000-0002-0000-2F00-000000000000}">
      <formula1>0</formula1>
    </dataValidation>
  </dataValidations>
  <pageMargins left="0.74803149606299202" right="0.74803149606299202" top="0.98425196850393704" bottom="0.98425196850393704" header="0.511811023622047" footer="0.511811023622047"/>
  <pageSetup paperSize="9" scale="72" orientation="landscape" r:id="rId1"/>
  <headerFooter>
    <oddFooter>&amp;L&amp;"Helvetica,Regular"&amp;12&amp;K000000	&amp;P</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I28"/>
  <sheetViews>
    <sheetView topLeftCell="A16" workbookViewId="0">
      <selection activeCell="H39" sqref="H39"/>
    </sheetView>
  </sheetViews>
  <sheetFormatPr baseColWidth="10" defaultColWidth="12" defaultRowHeight="13"/>
  <cols>
    <col min="1" max="1" customWidth="true" style="221" width="45.296875" collapsed="true"/>
    <col min="2" max="3" customWidth="true" style="221" width="16.0" collapsed="true"/>
    <col min="4" max="4" bestFit="true" customWidth="true" style="221" width="17.5" collapsed="true"/>
    <col min="5" max="9" customWidth="true" style="221" width="16.0" collapsed="true"/>
    <col min="10" max="11" style="221" width="12.0" collapsed="true"/>
    <col min="12" max="12" bestFit="true" customWidth="true" style="221" width="17.796875" collapsed="true"/>
    <col min="13" max="16384" style="221" width="12.0" collapsed="true"/>
  </cols>
  <sheetData>
    <row r="1" spans="1:9" s="157" customFormat="1" ht="18" customHeight="1">
      <c r="A1" s="959" t="s">
        <v>995</v>
      </c>
      <c r="B1" s="959"/>
      <c r="C1" s="959"/>
      <c r="D1" s="959"/>
      <c r="E1" s="959"/>
      <c r="F1" s="959"/>
      <c r="G1" s="959"/>
      <c r="H1" s="959"/>
      <c r="I1" s="959"/>
    </row>
    <row r="2" spans="1:9" s="157" customFormat="1" ht="8.15" customHeight="1"/>
    <row r="3" spans="1:9" s="157" customFormat="1" ht="12.75" customHeight="1">
      <c r="A3" s="960" t="s">
        <v>486</v>
      </c>
      <c r="B3" s="960"/>
      <c r="C3" s="960"/>
      <c r="G3" s="157" t="s">
        <v>487</v>
      </c>
      <c r="H3" s="980">
        <v>44926</v>
      </c>
      <c r="I3" s="998"/>
    </row>
    <row r="4" spans="1:9" s="157" customFormat="1" ht="15" customHeight="1">
      <c r="A4" s="976" t="s">
        <v>1423</v>
      </c>
      <c r="B4" s="977"/>
      <c r="C4" s="977"/>
      <c r="G4" s="964" t="s">
        <v>488</v>
      </c>
      <c r="H4" s="999">
        <v>12</v>
      </c>
      <c r="I4" s="1000"/>
    </row>
    <row r="5" spans="1:9" s="157" customFormat="1" ht="15" customHeight="1">
      <c r="A5" s="157" t="s">
        <v>489</v>
      </c>
      <c r="B5" s="983" t="s">
        <v>1426</v>
      </c>
      <c r="C5" s="984"/>
      <c r="G5" s="964"/>
      <c r="H5" s="1001"/>
      <c r="I5" s="1001"/>
    </row>
    <row r="7" spans="1:9" s="216" customFormat="1" ht="13.9" customHeight="1">
      <c r="A7" s="460" t="s">
        <v>535</v>
      </c>
      <c r="B7" s="461" t="s">
        <v>127</v>
      </c>
      <c r="C7" s="1145" t="s">
        <v>444</v>
      </c>
      <c r="D7" s="1146"/>
      <c r="E7" s="1147"/>
      <c r="F7" s="1145" t="s">
        <v>457</v>
      </c>
      <c r="G7" s="1146"/>
      <c r="H7" s="1147"/>
      <c r="I7" s="462" t="s">
        <v>996</v>
      </c>
    </row>
    <row r="8" spans="1:9" s="210" customFormat="1" ht="13.9" customHeight="1">
      <c r="A8" s="218"/>
      <c r="B8" s="1148" t="s">
        <v>997</v>
      </c>
      <c r="C8" s="1145" t="s">
        <v>998</v>
      </c>
      <c r="D8" s="1146"/>
      <c r="E8" s="1147"/>
      <c r="F8" s="1145" t="s">
        <v>999</v>
      </c>
      <c r="G8" s="1146"/>
      <c r="H8" s="1147"/>
      <c r="I8" s="1144" t="s">
        <v>1000</v>
      </c>
    </row>
    <row r="9" spans="1:9" s="210" customFormat="1" ht="27.65" customHeight="1">
      <c r="A9" s="219" t="s">
        <v>1001</v>
      </c>
      <c r="B9" s="1148"/>
      <c r="C9" s="463" t="s">
        <v>1002</v>
      </c>
      <c r="D9" s="464" t="s">
        <v>1003</v>
      </c>
      <c r="E9" s="465" t="s">
        <v>1004</v>
      </c>
      <c r="F9" s="463" t="s">
        <v>1002</v>
      </c>
      <c r="G9" s="464" t="s">
        <v>1003</v>
      </c>
      <c r="H9" s="465" t="s">
        <v>1004</v>
      </c>
      <c r="I9" s="1144"/>
    </row>
    <row r="10" spans="1:9" s="220" customFormat="1" ht="20.25" customHeight="1">
      <c r="A10" s="466" t="s">
        <v>1005</v>
      </c>
      <c r="B10" s="668">
        <v>0</v>
      </c>
      <c r="C10" s="668">
        <v>0</v>
      </c>
      <c r="D10" s="668">
        <v>0</v>
      </c>
      <c r="E10" s="668">
        <v>0</v>
      </c>
      <c r="F10" s="668">
        <v>0</v>
      </c>
      <c r="G10" s="668">
        <v>0</v>
      </c>
      <c r="H10" s="668">
        <v>0</v>
      </c>
      <c r="I10" s="669">
        <v>0</v>
      </c>
    </row>
    <row r="11" spans="1:9" s="220" customFormat="1" ht="24" customHeight="1">
      <c r="A11" s="466" t="s">
        <v>1006</v>
      </c>
      <c r="B11" s="668">
        <v>46380213165</v>
      </c>
      <c r="C11" s="668">
        <v>0</v>
      </c>
      <c r="D11" s="668">
        <v>104260850158.7</v>
      </c>
      <c r="E11" s="668">
        <v>0</v>
      </c>
      <c r="F11" s="668">
        <v>0</v>
      </c>
      <c r="G11" s="668">
        <v>98041670801</v>
      </c>
      <c r="H11" s="668">
        <v>0</v>
      </c>
      <c r="I11" s="669">
        <v>52599392522.709999</v>
      </c>
    </row>
    <row r="12" spans="1:9" s="220" customFormat="1" ht="13.9" customHeight="1">
      <c r="A12" s="466" t="s">
        <v>1007</v>
      </c>
      <c r="B12" s="668">
        <v>4021605134</v>
      </c>
      <c r="C12" s="668">
        <v>0</v>
      </c>
      <c r="D12" s="668">
        <v>0</v>
      </c>
      <c r="E12" s="668">
        <v>0</v>
      </c>
      <c r="F12" s="668">
        <v>854859504</v>
      </c>
      <c r="G12" s="668">
        <v>0</v>
      </c>
      <c r="H12" s="668">
        <v>0</v>
      </c>
      <c r="I12" s="669">
        <v>3166745630</v>
      </c>
    </row>
    <row r="13" spans="1:9" s="220" customFormat="1" ht="13.9" customHeight="1">
      <c r="A13" s="467" t="s">
        <v>1008</v>
      </c>
      <c r="B13" s="671">
        <v>50401818299</v>
      </c>
      <c r="C13" s="671">
        <v>0</v>
      </c>
      <c r="D13" s="671">
        <v>104260850158.7</v>
      </c>
      <c r="E13" s="671">
        <v>0</v>
      </c>
      <c r="F13" s="671">
        <v>854859504</v>
      </c>
      <c r="G13" s="671">
        <v>98041670801</v>
      </c>
      <c r="H13" s="671">
        <v>0</v>
      </c>
      <c r="I13" s="672">
        <v>55766138152.709999</v>
      </c>
    </row>
    <row r="14" spans="1:9" s="220" customFormat="1" ht="13.9" customHeight="1">
      <c r="A14" s="466" t="s">
        <v>1009</v>
      </c>
      <c r="B14" s="668">
        <v>4049086954.5900002</v>
      </c>
      <c r="C14" s="668">
        <v>1352264778.3</v>
      </c>
      <c r="D14" s="668">
        <v>0</v>
      </c>
      <c r="E14" s="668">
        <v>0</v>
      </c>
      <c r="F14" s="668">
        <v>901878117.99000001</v>
      </c>
      <c r="G14" s="668">
        <v>0</v>
      </c>
      <c r="H14" s="668">
        <v>0</v>
      </c>
      <c r="I14" s="669">
        <v>4499473614.8999996</v>
      </c>
    </row>
    <row r="15" spans="1:9" s="220" customFormat="1" ht="13.9" customHeight="1">
      <c r="A15" s="466" t="s">
        <v>1010</v>
      </c>
      <c r="B15" s="668">
        <v>0</v>
      </c>
      <c r="C15" s="668">
        <v>0</v>
      </c>
      <c r="D15" s="668">
        <v>0</v>
      </c>
      <c r="E15" s="668">
        <v>0</v>
      </c>
      <c r="F15" s="668">
        <v>0</v>
      </c>
      <c r="G15" s="668">
        <v>0</v>
      </c>
      <c r="H15" s="668">
        <v>0</v>
      </c>
      <c r="I15" s="669">
        <v>0</v>
      </c>
    </row>
    <row r="16" spans="1:9" s="220" customFormat="1" ht="13.9" customHeight="1">
      <c r="A16" s="466" t="s">
        <v>1011</v>
      </c>
      <c r="B16" s="668">
        <v>0</v>
      </c>
      <c r="C16" s="668">
        <v>0</v>
      </c>
      <c r="D16" s="668">
        <v>0</v>
      </c>
      <c r="E16" s="668">
        <v>0</v>
      </c>
      <c r="F16" s="668">
        <v>0</v>
      </c>
      <c r="G16" s="668">
        <v>0</v>
      </c>
      <c r="H16" s="668">
        <v>0</v>
      </c>
      <c r="I16" s="669">
        <v>0</v>
      </c>
    </row>
    <row r="17" spans="1:9" s="220" customFormat="1" ht="13.9" customHeight="1">
      <c r="A17" s="466" t="s">
        <v>1012</v>
      </c>
      <c r="B17" s="668">
        <v>263838635.00999999</v>
      </c>
      <c r="C17" s="668">
        <v>251509261.69999999</v>
      </c>
      <c r="D17" s="668">
        <v>0</v>
      </c>
      <c r="E17" s="668">
        <v>0</v>
      </c>
      <c r="F17" s="668">
        <v>39707073</v>
      </c>
      <c r="G17" s="668">
        <v>0</v>
      </c>
      <c r="H17" s="668">
        <v>0</v>
      </c>
      <c r="I17" s="669">
        <v>475640823.70999998</v>
      </c>
    </row>
    <row r="18" spans="1:9" s="220" customFormat="1" ht="13.9" customHeight="1">
      <c r="A18" s="466" t="s">
        <v>1013</v>
      </c>
      <c r="B18" s="668">
        <v>0</v>
      </c>
      <c r="C18" s="668">
        <v>0</v>
      </c>
      <c r="D18" s="668">
        <v>0</v>
      </c>
      <c r="E18" s="668">
        <v>0</v>
      </c>
      <c r="F18" s="668">
        <v>0</v>
      </c>
      <c r="G18" s="668">
        <v>0</v>
      </c>
      <c r="H18" s="668">
        <v>0</v>
      </c>
      <c r="I18" s="669">
        <v>0</v>
      </c>
    </row>
    <row r="19" spans="1:9" s="220" customFormat="1" ht="13.9" customHeight="1">
      <c r="A19" s="466" t="s">
        <v>1014</v>
      </c>
      <c r="B19" s="668">
        <v>0</v>
      </c>
      <c r="C19" s="668">
        <v>0</v>
      </c>
      <c r="D19" s="668">
        <v>0</v>
      </c>
      <c r="E19" s="668">
        <v>0</v>
      </c>
      <c r="F19" s="668">
        <v>0</v>
      </c>
      <c r="G19" s="668">
        <v>0</v>
      </c>
      <c r="H19" s="668">
        <v>0</v>
      </c>
      <c r="I19" s="669">
        <v>0</v>
      </c>
    </row>
    <row r="20" spans="1:9" s="220" customFormat="1" ht="13.9" customHeight="1">
      <c r="A20" s="466" t="s">
        <v>1015</v>
      </c>
      <c r="B20" s="668">
        <v>0</v>
      </c>
      <c r="C20" s="668">
        <v>0</v>
      </c>
      <c r="D20" s="668">
        <v>0</v>
      </c>
      <c r="E20" s="668">
        <v>0</v>
      </c>
      <c r="F20" s="668">
        <v>0</v>
      </c>
      <c r="G20" s="668">
        <v>0</v>
      </c>
      <c r="H20" s="668">
        <v>0</v>
      </c>
      <c r="I20" s="669">
        <v>0</v>
      </c>
    </row>
    <row r="21" spans="1:9" s="220" customFormat="1" ht="27.65" customHeight="1">
      <c r="A21" s="466" t="s">
        <v>1016</v>
      </c>
      <c r="B21" s="668">
        <v>0</v>
      </c>
      <c r="C21" s="668">
        <v>3095516799.3000002</v>
      </c>
      <c r="D21" s="668">
        <v>0</v>
      </c>
      <c r="E21" s="668">
        <v>0</v>
      </c>
      <c r="F21" s="668">
        <v>3095516799.3000002</v>
      </c>
      <c r="G21" s="668">
        <v>0</v>
      </c>
      <c r="H21" s="668">
        <v>0</v>
      </c>
      <c r="I21" s="669">
        <v>0</v>
      </c>
    </row>
    <row r="22" spans="1:9" s="220" customFormat="1" ht="27.65" customHeight="1">
      <c r="A22" s="466" t="s">
        <v>1017</v>
      </c>
      <c r="B22" s="668">
        <v>0</v>
      </c>
      <c r="C22" s="668">
        <v>0</v>
      </c>
      <c r="D22" s="668">
        <v>0</v>
      </c>
      <c r="E22" s="668">
        <v>0</v>
      </c>
      <c r="F22" s="668">
        <v>0</v>
      </c>
      <c r="G22" s="668">
        <v>0</v>
      </c>
      <c r="H22" s="668">
        <v>0</v>
      </c>
      <c r="I22" s="669">
        <v>0</v>
      </c>
    </row>
    <row r="23" spans="1:9" s="220" customFormat="1" ht="27.65" customHeight="1">
      <c r="A23" s="467" t="s">
        <v>1018</v>
      </c>
      <c r="B23" s="671">
        <v>4312925589.6000004</v>
      </c>
      <c r="C23" s="671">
        <v>4699290839.3000002</v>
      </c>
      <c r="D23" s="671">
        <v>0</v>
      </c>
      <c r="E23" s="671">
        <v>0</v>
      </c>
      <c r="F23" s="671">
        <v>4037101990.29</v>
      </c>
      <c r="G23" s="671">
        <v>0</v>
      </c>
      <c r="H23" s="671">
        <v>0</v>
      </c>
      <c r="I23" s="672">
        <v>4975114438.6099997</v>
      </c>
    </row>
    <row r="24" spans="1:9" s="220" customFormat="1" ht="13.9" customHeight="1">
      <c r="A24" s="468"/>
      <c r="B24" s="537"/>
      <c r="C24" s="538"/>
      <c r="D24" s="539"/>
      <c r="E24" s="537"/>
      <c r="F24" s="538"/>
      <c r="G24" s="539"/>
      <c r="H24" s="537"/>
      <c r="I24" s="540"/>
    </row>
    <row r="25" spans="1:9" s="210" customFormat="1" ht="22.9" customHeight="1">
      <c r="A25" s="469" t="s">
        <v>1019</v>
      </c>
      <c r="B25" s="673">
        <v>54714743888.599998</v>
      </c>
      <c r="C25" s="673">
        <v>4699290839.3000002</v>
      </c>
      <c r="D25" s="673">
        <v>104260850158.7</v>
      </c>
      <c r="E25" s="673">
        <v>0</v>
      </c>
      <c r="F25" s="673">
        <v>4891961494.29</v>
      </c>
      <c r="G25" s="673">
        <v>98041670801</v>
      </c>
      <c r="H25" s="673">
        <v>0</v>
      </c>
      <c r="I25" s="674">
        <v>60741252591.32</v>
      </c>
    </row>
    <row r="26" spans="1:9" ht="13.9" customHeight="1">
      <c r="A26" s="296" t="s">
        <v>528</v>
      </c>
    </row>
    <row r="28" spans="1:9">
      <c r="A28" s="670">
        <v>0</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3 B25:I25" xr:uid="{00000000-0002-0000-3000-000000000000}">
      <formula1>0</formula1>
    </dataValidation>
  </dataValidations>
  <pageMargins left="0.74803149606299202" right="0.74803149606299202" top="0.98425196850393704" bottom="0.98425196850393704" header="0.511811023622047" footer="0.511811023622047"/>
  <pageSetup paperSize="9" scale="83" orientation="landscape" r:id="rId1"/>
  <headerFooter>
    <oddFooter>&amp;L&amp;"Helvetica,Regular"&amp;12&amp;K000000	&amp;P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F36"/>
  <sheetViews>
    <sheetView topLeftCell="A19" workbookViewId="0">
      <selection activeCell="H39" sqref="H39"/>
    </sheetView>
  </sheetViews>
  <sheetFormatPr baseColWidth="10" defaultColWidth="12" defaultRowHeight="13"/>
  <cols>
    <col min="1" max="1" customWidth="true" style="157" width="45.796875" collapsed="true"/>
    <col min="2" max="2" customWidth="true" style="157" width="17.69921875" collapsed="true"/>
    <col min="3" max="3" customWidth="true" style="157" width="20.796875" collapsed="true"/>
    <col min="4" max="4" customWidth="true" style="157" width="20.69921875" collapsed="true"/>
    <col min="5" max="16384" style="157" width="12.0" collapsed="true"/>
  </cols>
  <sheetData>
    <row r="1" spans="1:4" ht="18" customHeight="1">
      <c r="A1" s="959" t="s">
        <v>1020</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965">
        <v>12</v>
      </c>
    </row>
    <row r="5" spans="1:4" ht="15" customHeight="1">
      <c r="A5" s="157" t="s">
        <v>489</v>
      </c>
      <c r="B5" s="621" t="s">
        <v>1426</v>
      </c>
      <c r="D5" s="962"/>
    </row>
    <row r="6" spans="1:4" ht="8.15" customHeight="1"/>
    <row r="7" spans="1:4" s="172" customFormat="1" ht="25.15" customHeight="1">
      <c r="A7" s="1149" t="s">
        <v>339</v>
      </c>
      <c r="B7" s="1041" t="s">
        <v>721</v>
      </c>
      <c r="C7" s="1150" t="s">
        <v>722</v>
      </c>
      <c r="D7" s="1151" t="s">
        <v>614</v>
      </c>
    </row>
    <row r="8" spans="1:4" s="172" customFormat="1" ht="25.15" customHeight="1">
      <c r="A8" s="1040"/>
      <c r="B8" s="1044"/>
      <c r="C8" s="1150"/>
      <c r="D8" s="1151"/>
    </row>
    <row r="9" spans="1:4" ht="20.149999999999999" customHeight="1">
      <c r="A9" s="470" t="s">
        <v>1021</v>
      </c>
      <c r="B9" s="748"/>
      <c r="C9" s="749"/>
      <c r="D9" s="749"/>
    </row>
    <row r="10" spans="1:4">
      <c r="A10" s="470" t="s">
        <v>1022</v>
      </c>
      <c r="B10" s="746">
        <v>0</v>
      </c>
      <c r="C10" s="617">
        <v>0</v>
      </c>
      <c r="D10" s="617">
        <v>0</v>
      </c>
    </row>
    <row r="11" spans="1:4">
      <c r="A11" s="470" t="s">
        <v>1023</v>
      </c>
      <c r="B11" s="746">
        <v>0</v>
      </c>
      <c r="C11" s="617">
        <v>0</v>
      </c>
      <c r="D11" s="617">
        <v>0</v>
      </c>
    </row>
    <row r="12" spans="1:4">
      <c r="A12" s="470" t="s">
        <v>1024</v>
      </c>
      <c r="B12" s="746">
        <v>64796671.670000002</v>
      </c>
      <c r="C12" s="617">
        <v>163701663.03</v>
      </c>
      <c r="D12" s="617">
        <v>-60.42</v>
      </c>
    </row>
    <row r="13" spans="1:4">
      <c r="A13" s="470" t="s">
        <v>1025</v>
      </c>
      <c r="B13" s="746">
        <v>79834334.379999995</v>
      </c>
      <c r="C13" s="617">
        <v>370980502.48000002</v>
      </c>
      <c r="D13" s="617">
        <v>-78.489999999999995</v>
      </c>
    </row>
    <row r="14" spans="1:4" ht="20.149999999999999" customHeight="1">
      <c r="A14" s="470" t="s">
        <v>1394</v>
      </c>
      <c r="B14" s="747">
        <v>21960755634</v>
      </c>
      <c r="C14" s="663">
        <v>6898182943</v>
      </c>
      <c r="D14" s="663">
        <v>0</v>
      </c>
    </row>
    <row r="15" spans="1:4" ht="20.149999999999999" customHeight="1">
      <c r="A15" s="470" t="s">
        <v>1026</v>
      </c>
      <c r="B15" s="746">
        <v>0</v>
      </c>
      <c r="C15" s="617">
        <v>0</v>
      </c>
      <c r="D15" s="617">
        <v>0</v>
      </c>
    </row>
    <row r="16" spans="1:4" ht="27.65" customHeight="1">
      <c r="A16" s="470" t="s">
        <v>1027</v>
      </c>
      <c r="B16" s="746">
        <v>0</v>
      </c>
      <c r="C16" s="617">
        <v>0</v>
      </c>
      <c r="D16" s="617">
        <v>0</v>
      </c>
    </row>
    <row r="17" spans="1:4" ht="20.149999999999999" customHeight="1">
      <c r="A17" s="470" t="s">
        <v>1028</v>
      </c>
      <c r="B17" s="746">
        <v>0</v>
      </c>
      <c r="C17" s="617">
        <v>0</v>
      </c>
      <c r="D17" s="617">
        <v>0</v>
      </c>
    </row>
    <row r="18" spans="1:4" ht="27.65" customHeight="1">
      <c r="A18" s="470" t="s">
        <v>1029</v>
      </c>
      <c r="B18" s="746">
        <v>51797156691.519997</v>
      </c>
      <c r="C18" s="617">
        <v>45391756625.190002</v>
      </c>
      <c r="D18" s="617">
        <v>14.11</v>
      </c>
    </row>
    <row r="19" spans="1:4" ht="25.15" customHeight="1">
      <c r="A19" s="471" t="s">
        <v>1030</v>
      </c>
      <c r="B19" s="716">
        <v>73902543331.570007</v>
      </c>
      <c r="C19" s="715">
        <v>52824621733.699997</v>
      </c>
      <c r="D19" s="715">
        <v>39.9</v>
      </c>
    </row>
    <row r="20" spans="1:4" ht="20.149999999999999" customHeight="1">
      <c r="A20" s="470" t="s">
        <v>1031</v>
      </c>
      <c r="B20" s="746">
        <v>-296155355.48000002</v>
      </c>
      <c r="C20" s="617">
        <v>-61812228.200000003</v>
      </c>
      <c r="D20" s="617">
        <v>379.12</v>
      </c>
    </row>
    <row r="21" spans="1:4" ht="20.149999999999999" customHeight="1">
      <c r="A21" s="470" t="s">
        <v>1032</v>
      </c>
      <c r="B21" s="746">
        <v>0</v>
      </c>
      <c r="C21" s="617">
        <v>0</v>
      </c>
      <c r="D21" s="617">
        <v>0</v>
      </c>
    </row>
    <row r="22" spans="1:4" ht="20.149999999999999" customHeight="1">
      <c r="A22" s="470" t="s">
        <v>1033</v>
      </c>
      <c r="B22" s="746">
        <v>0</v>
      </c>
      <c r="C22" s="617">
        <v>0</v>
      </c>
      <c r="D22" s="617">
        <v>0</v>
      </c>
    </row>
    <row r="23" spans="1:4" ht="20.149999999999999" customHeight="1">
      <c r="A23" s="470" t="s">
        <v>1034</v>
      </c>
      <c r="B23" s="746">
        <v>0</v>
      </c>
      <c r="C23" s="617">
        <v>0</v>
      </c>
      <c r="D23" s="617">
        <v>0</v>
      </c>
    </row>
    <row r="24" spans="1:4" ht="20.149999999999999" customHeight="1">
      <c r="A24" s="470" t="s">
        <v>1395</v>
      </c>
      <c r="B24" s="746">
        <v>0</v>
      </c>
      <c r="C24" s="617">
        <v>0</v>
      </c>
      <c r="D24" s="617">
        <v>0</v>
      </c>
    </row>
    <row r="25" spans="1:4" ht="20.149999999999999" customHeight="1">
      <c r="A25" s="470" t="s">
        <v>1035</v>
      </c>
      <c r="B25" s="746">
        <v>-474903275</v>
      </c>
      <c r="C25" s="617">
        <v>0</v>
      </c>
      <c r="D25" s="617">
        <v>0</v>
      </c>
    </row>
    <row r="26" spans="1:4" ht="20.149999999999999" customHeight="1">
      <c r="A26" s="470" t="s">
        <v>1036</v>
      </c>
      <c r="B26" s="746">
        <v>0</v>
      </c>
      <c r="C26" s="617">
        <v>0</v>
      </c>
      <c r="D26" s="617">
        <v>0</v>
      </c>
    </row>
    <row r="27" spans="1:4" ht="20.149999999999999" customHeight="1">
      <c r="A27" s="470" t="s">
        <v>1037</v>
      </c>
      <c r="B27" s="746">
        <v>0</v>
      </c>
      <c r="C27" s="617">
        <v>0</v>
      </c>
      <c r="D27" s="617">
        <v>0</v>
      </c>
    </row>
    <row r="28" spans="1:4" ht="26">
      <c r="A28" s="470" t="s">
        <v>1038</v>
      </c>
      <c r="B28" s="746">
        <f>-45237079498</f>
        <v>-45237079498</v>
      </c>
      <c r="C28" s="617">
        <v>-20677465859</v>
      </c>
      <c r="D28" s="617">
        <v>118.77</v>
      </c>
    </row>
    <row r="29" spans="1:4" ht="25.15" customHeight="1">
      <c r="A29" s="471" t="s">
        <v>1039</v>
      </c>
      <c r="B29" s="716">
        <v>-46008138128.480003</v>
      </c>
      <c r="C29" s="715">
        <v>-20739278087.200001</v>
      </c>
      <c r="D29" s="715">
        <v>121.84</v>
      </c>
    </row>
    <row r="30" spans="1:4" ht="20.149999999999999" customHeight="1">
      <c r="A30" s="470"/>
      <c r="B30" s="748"/>
      <c r="C30" s="749"/>
      <c r="D30" s="749"/>
    </row>
    <row r="31" spans="1:4" ht="25.15" customHeight="1">
      <c r="A31" s="472" t="s">
        <v>113</v>
      </c>
      <c r="B31" s="718">
        <v>27894405203.09</v>
      </c>
      <c r="C31" s="719">
        <v>32085343646.5</v>
      </c>
      <c r="D31" s="719">
        <v>-13.07</v>
      </c>
    </row>
    <row r="32" spans="1:4">
      <c r="A32" s="296" t="s">
        <v>528</v>
      </c>
    </row>
    <row r="33" spans="1:6">
      <c r="A33" s="167"/>
    </row>
    <row r="35" spans="1:6">
      <c r="B35" s="744"/>
    </row>
    <row r="36" spans="1:6">
      <c r="F36" s="74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1" xr:uid="{00000000-0002-0000-3100-000000000000}">
      <formula1>0</formula1>
    </dataValidation>
  </dataValidations>
  <pageMargins left="0.74803149606299213" right="0.74803149606299213" top="0.98425196850393704" bottom="0.98425196850393704" header="0.51181102362204722" footer="0.51181102362204722"/>
  <pageSetup paperSize="9" scale="91"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D38"/>
  <sheetViews>
    <sheetView topLeftCell="A31" workbookViewId="0">
      <selection activeCell="H39" sqref="H39"/>
    </sheetView>
  </sheetViews>
  <sheetFormatPr baseColWidth="10" defaultColWidth="12" defaultRowHeight="13"/>
  <cols>
    <col min="1" max="1" customWidth="true" style="157" width="45.796875" collapsed="true"/>
    <col min="2" max="2" customWidth="true" style="157" width="18.796875" collapsed="true"/>
    <col min="3" max="3" customWidth="true" style="157" width="22.5" collapsed="true"/>
    <col min="4" max="4" customWidth="true" style="157" width="20.69921875" collapsed="true"/>
    <col min="5" max="16384" style="157" width="12.0" collapsed="true"/>
  </cols>
  <sheetData>
    <row r="1" spans="1:4" ht="18" customHeight="1">
      <c r="A1" s="959" t="s">
        <v>1040</v>
      </c>
      <c r="B1" s="959"/>
      <c r="C1" s="959"/>
      <c r="D1" s="959"/>
    </row>
    <row r="2" spans="1:4" ht="8.15" customHeight="1"/>
    <row r="3" spans="1:4" ht="12.75" customHeight="1">
      <c r="A3" s="960" t="s">
        <v>486</v>
      </c>
      <c r="B3" s="960"/>
      <c r="C3" s="157" t="s">
        <v>487</v>
      </c>
      <c r="D3" s="623">
        <v>44926</v>
      </c>
    </row>
    <row r="4" spans="1:4" ht="15" customHeight="1">
      <c r="A4" s="976" t="s">
        <v>1423</v>
      </c>
      <c r="B4" s="977"/>
      <c r="C4" s="157" t="s">
        <v>488</v>
      </c>
      <c r="D4" s="1152">
        <v>12</v>
      </c>
    </row>
    <row r="5" spans="1:4" ht="15" customHeight="1">
      <c r="A5" s="157" t="s">
        <v>489</v>
      </c>
      <c r="B5" s="621" t="s">
        <v>1426</v>
      </c>
      <c r="D5" s="964"/>
    </row>
    <row r="6" spans="1:4" ht="8.15" customHeight="1"/>
    <row r="7" spans="1:4" s="172" customFormat="1" ht="25.15" customHeight="1">
      <c r="A7" s="1149" t="s">
        <v>339</v>
      </c>
      <c r="B7" s="1041" t="s">
        <v>721</v>
      </c>
      <c r="C7" s="1150" t="s">
        <v>722</v>
      </c>
      <c r="D7" s="1151" t="s">
        <v>614</v>
      </c>
    </row>
    <row r="8" spans="1:4" s="172" customFormat="1" ht="25.15" customHeight="1">
      <c r="A8" s="1040"/>
      <c r="B8" s="1044"/>
      <c r="C8" s="1150"/>
      <c r="D8" s="1151"/>
    </row>
    <row r="9" spans="1:4" ht="20.149999999999999" customHeight="1">
      <c r="A9" s="470" t="s">
        <v>1041</v>
      </c>
      <c r="B9" s="636">
        <v>0</v>
      </c>
      <c r="C9" s="610">
        <v>0</v>
      </c>
      <c r="D9" s="633">
        <v>0</v>
      </c>
    </row>
    <row r="10" spans="1:4">
      <c r="A10" s="470" t="s">
        <v>1042</v>
      </c>
      <c r="B10" s="636">
        <v>0</v>
      </c>
      <c r="C10" s="610">
        <v>0</v>
      </c>
      <c r="D10" s="633">
        <v>0</v>
      </c>
    </row>
    <row r="11" spans="1:4">
      <c r="A11" s="470" t="s">
        <v>1042</v>
      </c>
      <c r="B11" s="636">
        <v>0</v>
      </c>
      <c r="C11" s="610">
        <v>0</v>
      </c>
      <c r="D11" s="633">
        <v>0</v>
      </c>
    </row>
    <row r="12" spans="1:4">
      <c r="A12" s="470" t="s">
        <v>1396</v>
      </c>
      <c r="B12" s="636">
        <v>0</v>
      </c>
      <c r="C12" s="610">
        <v>0</v>
      </c>
      <c r="D12" s="633">
        <v>0</v>
      </c>
    </row>
    <row r="13" spans="1:4">
      <c r="A13" s="470" t="s">
        <v>1397</v>
      </c>
      <c r="B13" s="636">
        <v>0</v>
      </c>
      <c r="C13" s="610">
        <v>0</v>
      </c>
      <c r="D13" s="633">
        <v>0</v>
      </c>
    </row>
    <row r="14" spans="1:4">
      <c r="A14" s="470" t="s">
        <v>1043</v>
      </c>
      <c r="B14" s="636">
        <v>0</v>
      </c>
      <c r="C14" s="610">
        <v>0</v>
      </c>
      <c r="D14" s="633">
        <v>0</v>
      </c>
    </row>
    <row r="15" spans="1:4" ht="20.149999999999999" customHeight="1">
      <c r="A15" s="470" t="s">
        <v>1044</v>
      </c>
      <c r="B15" s="636">
        <v>0</v>
      </c>
      <c r="C15" s="610">
        <v>0</v>
      </c>
      <c r="D15" s="633">
        <v>0</v>
      </c>
    </row>
    <row r="16" spans="1:4" ht="20.149999999999999" customHeight="1">
      <c r="A16" s="470" t="s">
        <v>1398</v>
      </c>
      <c r="B16" s="636">
        <v>0</v>
      </c>
      <c r="C16" s="610">
        <v>0</v>
      </c>
      <c r="D16" s="633">
        <v>0</v>
      </c>
    </row>
    <row r="17" spans="1:4" ht="27.65" customHeight="1">
      <c r="A17" s="470" t="s">
        <v>1420</v>
      </c>
      <c r="B17" s="636">
        <v>0</v>
      </c>
      <c r="C17" s="610">
        <v>0</v>
      </c>
      <c r="D17" s="633">
        <v>0</v>
      </c>
    </row>
    <row r="18" spans="1:4" ht="20.149999999999999" customHeight="1">
      <c r="A18" s="470" t="s">
        <v>1045</v>
      </c>
      <c r="B18" s="636">
        <v>0</v>
      </c>
      <c r="C18" s="610">
        <v>0</v>
      </c>
      <c r="D18" s="633">
        <v>0</v>
      </c>
    </row>
    <row r="19" spans="1:4">
      <c r="A19" s="470" t="s">
        <v>1046</v>
      </c>
      <c r="B19" s="636">
        <v>0</v>
      </c>
      <c r="C19" s="610">
        <v>0</v>
      </c>
      <c r="D19" s="633">
        <v>0</v>
      </c>
    </row>
    <row r="20" spans="1:4" ht="25.15" customHeight="1">
      <c r="A20" s="471" t="s">
        <v>1047</v>
      </c>
      <c r="B20" s="651">
        <v>0</v>
      </c>
      <c r="C20" s="612">
        <v>0</v>
      </c>
      <c r="D20" s="642">
        <v>0</v>
      </c>
    </row>
    <row r="21" spans="1:4" ht="20.149999999999999" customHeight="1">
      <c r="A21" s="470" t="s">
        <v>1048</v>
      </c>
      <c r="B21" s="636">
        <v>0</v>
      </c>
      <c r="C21" s="610">
        <v>0</v>
      </c>
      <c r="D21" s="633">
        <v>0</v>
      </c>
    </row>
    <row r="22" spans="1:4" ht="20.149999999999999" customHeight="1">
      <c r="A22" s="646" t="s">
        <v>1497</v>
      </c>
      <c r="B22" s="636">
        <v>0</v>
      </c>
      <c r="C22" s="610">
        <v>0</v>
      </c>
      <c r="D22" s="633">
        <v>0</v>
      </c>
    </row>
    <row r="23" spans="1:4" ht="20.149999999999999" customHeight="1">
      <c r="A23" s="675" t="s">
        <v>1497</v>
      </c>
      <c r="B23" s="654">
        <v>0</v>
      </c>
      <c r="C23" s="634">
        <v>0</v>
      </c>
      <c r="D23" s="645">
        <v>0</v>
      </c>
    </row>
    <row r="24" spans="1:4" ht="20.149999999999999" customHeight="1">
      <c r="A24" s="646" t="s">
        <v>1402</v>
      </c>
      <c r="B24" s="636">
        <v>0</v>
      </c>
      <c r="C24" s="610">
        <v>0</v>
      </c>
      <c r="D24" s="633">
        <v>0</v>
      </c>
    </row>
    <row r="25" spans="1:4" ht="23.25" customHeight="1">
      <c r="A25" s="646" t="s">
        <v>1498</v>
      </c>
      <c r="B25" s="636">
        <v>0</v>
      </c>
      <c r="C25" s="610">
        <v>0</v>
      </c>
      <c r="D25" s="633">
        <v>0</v>
      </c>
    </row>
    <row r="26" spans="1:4" ht="20.149999999999999" customHeight="1">
      <c r="A26" s="473" t="s">
        <v>1043</v>
      </c>
      <c r="B26" s="636">
        <v>0</v>
      </c>
      <c r="C26" s="610">
        <v>0</v>
      </c>
      <c r="D26" s="633">
        <v>0</v>
      </c>
    </row>
    <row r="27" spans="1:4" ht="20.149999999999999" customHeight="1">
      <c r="A27" s="473" t="s">
        <v>1049</v>
      </c>
      <c r="B27" s="636">
        <v>0</v>
      </c>
      <c r="C27" s="610">
        <v>0</v>
      </c>
      <c r="D27" s="633">
        <v>0</v>
      </c>
    </row>
    <row r="28" spans="1:4" ht="20.149999999999999" customHeight="1">
      <c r="A28" s="470" t="s">
        <v>1401</v>
      </c>
      <c r="B28" s="636">
        <v>0</v>
      </c>
      <c r="C28" s="610">
        <v>0</v>
      </c>
      <c r="D28" s="633">
        <v>0</v>
      </c>
    </row>
    <row r="29" spans="1:4" ht="20.149999999999999" customHeight="1">
      <c r="A29" s="473" t="s">
        <v>1050</v>
      </c>
      <c r="B29" s="636">
        <v>0</v>
      </c>
      <c r="C29" s="610">
        <v>0</v>
      </c>
      <c r="D29" s="633">
        <v>0</v>
      </c>
    </row>
    <row r="30" spans="1:4" ht="27.65" customHeight="1">
      <c r="A30" s="473" t="s">
        <v>1051</v>
      </c>
      <c r="B30" s="636">
        <v>0</v>
      </c>
      <c r="C30" s="610">
        <v>0</v>
      </c>
      <c r="D30" s="633">
        <v>0</v>
      </c>
    </row>
    <row r="31" spans="1:4" ht="27.65" customHeight="1">
      <c r="A31" s="470" t="s">
        <v>1399</v>
      </c>
      <c r="B31" s="636">
        <v>0</v>
      </c>
      <c r="C31" s="610">
        <v>0</v>
      </c>
      <c r="D31" s="633">
        <v>0</v>
      </c>
    </row>
    <row r="32" spans="1:4" ht="20.149999999999999" customHeight="1">
      <c r="A32" s="470" t="s">
        <v>1400</v>
      </c>
      <c r="B32" s="636">
        <v>0</v>
      </c>
      <c r="C32" s="610">
        <v>0</v>
      </c>
      <c r="D32" s="633">
        <v>0</v>
      </c>
    </row>
    <row r="33" spans="1:4" ht="25.15" customHeight="1">
      <c r="A33" s="471" t="s">
        <v>1052</v>
      </c>
      <c r="B33" s="651">
        <v>0</v>
      </c>
      <c r="C33" s="612">
        <v>0</v>
      </c>
      <c r="D33" s="642">
        <v>0</v>
      </c>
    </row>
    <row r="34" spans="1:4" ht="20.149999999999999" customHeight="1">
      <c r="A34" s="470"/>
      <c r="B34" s="541"/>
      <c r="C34" s="542"/>
      <c r="D34" s="554"/>
    </row>
    <row r="35" spans="1:4" ht="25.15" customHeight="1">
      <c r="A35" s="472" t="s">
        <v>113</v>
      </c>
      <c r="B35" s="638">
        <v>0</v>
      </c>
      <c r="C35" s="643">
        <v>0</v>
      </c>
      <c r="D35" s="644">
        <v>0</v>
      </c>
    </row>
    <row r="36" spans="1:4">
      <c r="A36" s="296" t="s">
        <v>528</v>
      </c>
    </row>
    <row r="37" spans="1:4">
      <c r="A37" s="167"/>
    </row>
    <row r="38" spans="1:4">
      <c r="A38" s="608"/>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5" xr:uid="{00000000-0002-0000-3200-000000000000}">
      <formula1>0</formula1>
    </dataValidation>
  </dataValidation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F40"/>
  <sheetViews>
    <sheetView zoomScaleNormal="100" workbookViewId="0">
      <selection activeCell="H39" sqref="H39"/>
    </sheetView>
  </sheetViews>
  <sheetFormatPr baseColWidth="10" defaultColWidth="12" defaultRowHeight="13"/>
  <cols>
    <col min="1" max="1" customWidth="true" style="222" width="68.69921875" collapsed="true"/>
    <col min="2" max="2" bestFit="true" customWidth="true" style="222" width="16.796875" collapsed="true"/>
    <col min="3" max="3" bestFit="true" customWidth="true" style="222" width="20.296875" collapsed="true"/>
    <col min="4" max="4" bestFit="true" customWidth="true" style="222" width="17.5" collapsed="true"/>
    <col min="5" max="6" bestFit="true" customWidth="true" style="222" width="16.796875" collapsed="true"/>
    <col min="7" max="16384" style="222" width="12.0" collapsed="true"/>
  </cols>
  <sheetData>
    <row r="1" spans="1:6" s="157" customFormat="1" ht="34.5" customHeight="1">
      <c r="A1" s="1155" t="s">
        <v>1053</v>
      </c>
      <c r="B1" s="1155"/>
      <c r="C1" s="1155"/>
      <c r="D1" s="1155"/>
      <c r="E1" s="1155"/>
      <c r="F1" s="1155"/>
    </row>
    <row r="2" spans="1:6" s="157" customFormat="1" ht="8.15" customHeight="1"/>
    <row r="3" spans="1:6" s="157" customFormat="1" ht="12.75" customHeight="1">
      <c r="A3" s="960" t="s">
        <v>486</v>
      </c>
      <c r="B3" s="960"/>
      <c r="C3" s="960"/>
      <c r="D3" s="157" t="s">
        <v>487</v>
      </c>
      <c r="E3" s="980">
        <v>44926</v>
      </c>
      <c r="F3" s="998"/>
    </row>
    <row r="4" spans="1:6" s="157" customFormat="1" ht="15" customHeight="1">
      <c r="A4" s="976" t="s">
        <v>1423</v>
      </c>
      <c r="B4" s="977"/>
      <c r="C4" s="977"/>
      <c r="D4" s="964" t="s">
        <v>488</v>
      </c>
      <c r="E4" s="999">
        <v>12</v>
      </c>
      <c r="F4" s="1000"/>
    </row>
    <row r="5" spans="1:6" s="157" customFormat="1" ht="15" customHeight="1">
      <c r="A5" s="157" t="s">
        <v>489</v>
      </c>
      <c r="B5" s="983" t="s">
        <v>1426</v>
      </c>
      <c r="C5" s="984"/>
      <c r="D5" s="964"/>
      <c r="E5" s="1001"/>
      <c r="F5" s="1001"/>
    </row>
    <row r="6" spans="1:6" ht="5.25" customHeight="1"/>
    <row r="7" spans="1:6" ht="17.149999999999999" customHeight="1">
      <c r="A7" s="1156" t="s">
        <v>1054</v>
      </c>
      <c r="B7" s="1153">
        <v>2022</v>
      </c>
      <c r="C7" s="1153">
        <v>2021</v>
      </c>
      <c r="D7" s="1153" t="s">
        <v>1528</v>
      </c>
      <c r="E7" s="1153" t="s">
        <v>1529</v>
      </c>
      <c r="F7" s="1153" t="s">
        <v>1530</v>
      </c>
    </row>
    <row r="8" spans="1:6" ht="17.149999999999999" customHeight="1">
      <c r="A8" s="1157"/>
      <c r="B8" s="1154"/>
      <c r="C8" s="1154"/>
      <c r="D8" s="1154"/>
      <c r="E8" s="1154"/>
      <c r="F8" s="1154"/>
    </row>
    <row r="9" spans="1:6" ht="15" customHeight="1">
      <c r="A9" s="474" t="s">
        <v>1055</v>
      </c>
      <c r="B9" s="544"/>
      <c r="C9" s="544"/>
      <c r="D9" s="544"/>
      <c r="E9" s="544"/>
      <c r="F9" s="544"/>
    </row>
    <row r="10" spans="1:6">
      <c r="A10" s="475" t="s">
        <v>1056</v>
      </c>
      <c r="B10" s="663">
        <v>10000000</v>
      </c>
      <c r="C10" s="663">
        <v>10000000</v>
      </c>
      <c r="D10" s="663">
        <v>10000000</v>
      </c>
      <c r="E10" s="663">
        <v>10000000</v>
      </c>
      <c r="F10" s="663">
        <v>10000000</v>
      </c>
    </row>
    <row r="11" spans="1:6">
      <c r="A11" s="475" t="s">
        <v>1057</v>
      </c>
      <c r="B11" s="663">
        <v>0</v>
      </c>
      <c r="C11" s="663">
        <v>0</v>
      </c>
      <c r="D11" s="663">
        <v>0</v>
      </c>
      <c r="E11" s="663">
        <v>0</v>
      </c>
      <c r="F11" s="663">
        <v>0</v>
      </c>
    </row>
    <row r="12" spans="1:6">
      <c r="A12" s="475" t="s">
        <v>1058</v>
      </c>
      <c r="B12" s="663">
        <v>0</v>
      </c>
      <c r="C12" s="663">
        <v>0</v>
      </c>
      <c r="D12" s="663">
        <v>0</v>
      </c>
      <c r="E12" s="663">
        <v>0</v>
      </c>
      <c r="F12" s="663">
        <v>0</v>
      </c>
    </row>
    <row r="13" spans="1:6">
      <c r="A13" s="475" t="s">
        <v>1059</v>
      </c>
      <c r="B13" s="663">
        <v>0</v>
      </c>
      <c r="C13" s="663">
        <v>0</v>
      </c>
      <c r="D13" s="663">
        <v>0</v>
      </c>
      <c r="E13" s="663">
        <v>0</v>
      </c>
      <c r="F13" s="663">
        <v>0</v>
      </c>
    </row>
    <row r="14" spans="1:6">
      <c r="A14" s="476" t="s">
        <v>1060</v>
      </c>
      <c r="B14" s="663">
        <v>0</v>
      </c>
      <c r="C14" s="663">
        <v>0</v>
      </c>
      <c r="D14" s="663">
        <v>0</v>
      </c>
      <c r="E14" s="663">
        <v>0</v>
      </c>
      <c r="F14" s="663">
        <v>0</v>
      </c>
    </row>
    <row r="15" spans="1:6">
      <c r="A15" s="476" t="s">
        <v>1061</v>
      </c>
      <c r="B15" s="663">
        <v>0</v>
      </c>
      <c r="C15" s="663">
        <v>0</v>
      </c>
      <c r="D15" s="663">
        <v>0</v>
      </c>
      <c r="E15" s="663">
        <v>0</v>
      </c>
      <c r="F15" s="663">
        <v>0</v>
      </c>
    </row>
    <row r="16" spans="1:6" ht="15" customHeight="1">
      <c r="A16" s="474" t="s">
        <v>1062</v>
      </c>
      <c r="B16" s="676">
        <v>0</v>
      </c>
      <c r="C16" s="676">
        <v>0</v>
      </c>
      <c r="D16" s="676">
        <v>0</v>
      </c>
      <c r="E16" s="676">
        <v>0</v>
      </c>
      <c r="F16" s="676">
        <v>0</v>
      </c>
    </row>
    <row r="17" spans="1:6">
      <c r="A17" s="475" t="s">
        <v>1063</v>
      </c>
      <c r="B17" s="663">
        <v>208567180823.79999</v>
      </c>
      <c r="C17" s="663">
        <v>148257573911.29999</v>
      </c>
      <c r="D17" s="663">
        <v>115974923177</v>
      </c>
      <c r="E17" s="663">
        <v>115199787165</v>
      </c>
      <c r="F17" s="663">
        <v>114101757755</v>
      </c>
    </row>
    <row r="18" spans="1:6" ht="24">
      <c r="A18" s="475" t="s">
        <v>1064</v>
      </c>
      <c r="B18" s="663">
        <v>85708121100.809998</v>
      </c>
      <c r="C18" s="663">
        <v>59188753362.82</v>
      </c>
      <c r="D18" s="663">
        <v>36397710714</v>
      </c>
      <c r="E18" s="663">
        <v>11740126916</v>
      </c>
      <c r="F18" s="663">
        <v>-21791271846</v>
      </c>
    </row>
    <row r="19" spans="1:6">
      <c r="A19" s="475" t="s">
        <v>1065</v>
      </c>
      <c r="B19" s="663">
        <v>0</v>
      </c>
      <c r="C19" s="663">
        <v>0</v>
      </c>
      <c r="D19" s="663">
        <v>0</v>
      </c>
      <c r="E19" s="663">
        <v>0</v>
      </c>
      <c r="F19" s="663">
        <v>0</v>
      </c>
    </row>
    <row r="20" spans="1:6">
      <c r="A20" s="475" t="s">
        <v>1066</v>
      </c>
      <c r="B20" s="663">
        <v>0</v>
      </c>
      <c r="C20" s="663">
        <v>0</v>
      </c>
      <c r="D20" s="663">
        <v>0</v>
      </c>
      <c r="E20" s="663">
        <v>0</v>
      </c>
      <c r="F20" s="663">
        <v>0</v>
      </c>
    </row>
    <row r="21" spans="1:6">
      <c r="A21" s="475" t="s">
        <v>1067</v>
      </c>
      <c r="B21" s="663">
        <v>57698846122.18</v>
      </c>
      <c r="C21" s="663">
        <v>13254337442.02</v>
      </c>
      <c r="D21" s="663">
        <v>53061400347</v>
      </c>
      <c r="E21" s="663">
        <v>11740126916</v>
      </c>
      <c r="F21" s="663">
        <v>-21791271846</v>
      </c>
    </row>
    <row r="22" spans="1:6">
      <c r="A22" s="474" t="s">
        <v>1068</v>
      </c>
      <c r="B22" s="676">
        <v>0</v>
      </c>
      <c r="C22" s="676">
        <v>0</v>
      </c>
      <c r="D22" s="676">
        <v>0</v>
      </c>
      <c r="E22" s="676">
        <v>0</v>
      </c>
      <c r="F22" s="676">
        <v>0</v>
      </c>
    </row>
    <row r="23" spans="1:6" ht="15" customHeight="1">
      <c r="A23" s="477" t="s">
        <v>1069</v>
      </c>
      <c r="B23" s="663">
        <v>0</v>
      </c>
      <c r="C23" s="663">
        <v>0</v>
      </c>
      <c r="D23" s="663">
        <v>0</v>
      </c>
      <c r="E23" s="663">
        <v>0</v>
      </c>
      <c r="F23" s="663">
        <v>0</v>
      </c>
    </row>
    <row r="24" spans="1:6">
      <c r="A24" s="477" t="s">
        <v>1070</v>
      </c>
      <c r="B24" s="663">
        <v>0</v>
      </c>
      <c r="C24" s="663">
        <v>0</v>
      </c>
      <c r="D24" s="663">
        <v>0</v>
      </c>
      <c r="E24" s="663">
        <v>0</v>
      </c>
      <c r="F24" s="663">
        <v>0</v>
      </c>
    </row>
    <row r="25" spans="1:6">
      <c r="A25" s="474" t="s">
        <v>1071</v>
      </c>
      <c r="B25" s="676">
        <v>0</v>
      </c>
      <c r="C25" s="676">
        <v>0</v>
      </c>
      <c r="D25" s="676">
        <v>0</v>
      </c>
      <c r="E25" s="676">
        <v>0</v>
      </c>
      <c r="F25" s="676">
        <v>0</v>
      </c>
    </row>
    <row r="26" spans="1:6" ht="15" customHeight="1">
      <c r="A26" s="477" t="s">
        <v>1072</v>
      </c>
      <c r="B26" s="663">
        <v>871</v>
      </c>
      <c r="C26" s="663">
        <v>718</v>
      </c>
      <c r="D26" s="663">
        <v>678</v>
      </c>
      <c r="E26" s="663">
        <v>724</v>
      </c>
      <c r="F26" s="663">
        <v>667</v>
      </c>
    </row>
    <row r="27" spans="1:6">
      <c r="A27" s="477" t="s">
        <v>1073</v>
      </c>
      <c r="B27" s="663">
        <v>202</v>
      </c>
      <c r="C27" s="663">
        <v>104</v>
      </c>
      <c r="D27" s="663">
        <v>50</v>
      </c>
      <c r="E27" s="663">
        <v>71</v>
      </c>
      <c r="F27" s="663">
        <v>54</v>
      </c>
    </row>
    <row r="28" spans="1:6" ht="15" customHeight="1">
      <c r="A28" s="477" t="s">
        <v>1074</v>
      </c>
      <c r="B28" s="663">
        <v>21422925966</v>
      </c>
      <c r="C28" s="663">
        <v>18549295564.490002</v>
      </c>
      <c r="D28" s="663">
        <v>17545540283</v>
      </c>
      <c r="E28" s="663">
        <v>16405826235</v>
      </c>
      <c r="F28" s="663">
        <v>9684737705</v>
      </c>
    </row>
    <row r="29" spans="1:6" ht="26">
      <c r="A29" s="477" t="s">
        <v>1075</v>
      </c>
      <c r="B29" s="663">
        <v>467912646.52999997</v>
      </c>
      <c r="C29" s="663">
        <v>404895614</v>
      </c>
      <c r="D29" s="663">
        <v>373177981</v>
      </c>
      <c r="E29" s="663">
        <v>396232846</v>
      </c>
      <c r="F29" s="663">
        <v>411819448</v>
      </c>
    </row>
    <row r="30" spans="1:6" ht="15" customHeight="1">
      <c r="A30" s="477" t="s">
        <v>1076</v>
      </c>
      <c r="B30" s="663">
        <v>1795754054</v>
      </c>
      <c r="C30" s="663">
        <v>1650498276</v>
      </c>
      <c r="D30" s="663">
        <v>1298573608</v>
      </c>
      <c r="E30" s="663">
        <v>1250202619</v>
      </c>
      <c r="F30" s="663">
        <v>375923567</v>
      </c>
    </row>
    <row r="31" spans="1:6">
      <c r="A31" s="478"/>
      <c r="B31" s="224"/>
      <c r="C31" s="224"/>
      <c r="D31" s="224"/>
      <c r="E31" s="224"/>
      <c r="F31" s="479"/>
    </row>
    <row r="32" spans="1:6">
      <c r="A32" s="480" t="s">
        <v>1077</v>
      </c>
      <c r="B32" s="481"/>
      <c r="C32" s="480" t="s">
        <v>1078</v>
      </c>
      <c r="D32" s="482"/>
      <c r="E32" s="482"/>
      <c r="F32" s="481"/>
    </row>
    <row r="33" spans="1:6">
      <c r="A33" s="480" t="s">
        <v>1079</v>
      </c>
      <c r="B33" s="481"/>
      <c r="C33" s="480" t="s">
        <v>1080</v>
      </c>
      <c r="D33" s="482"/>
      <c r="E33" s="482"/>
      <c r="F33" s="481"/>
    </row>
    <row r="34" spans="1:6" ht="8.15" customHeight="1">
      <c r="A34" s="480" t="s">
        <v>1081</v>
      </c>
      <c r="B34" s="481"/>
      <c r="C34" s="480" t="s">
        <v>1082</v>
      </c>
      <c r="D34" s="482"/>
      <c r="E34" s="482"/>
      <c r="F34" s="481"/>
    </row>
    <row r="35" spans="1:6">
      <c r="A35" s="480" t="s">
        <v>1083</v>
      </c>
      <c r="B35" s="481"/>
      <c r="C35" s="480" t="s">
        <v>1084</v>
      </c>
      <c r="D35" s="482"/>
      <c r="E35" s="482"/>
      <c r="F35" s="481"/>
    </row>
    <row r="36" spans="1:6" ht="8.15" customHeight="1">
      <c r="A36" s="480" t="s">
        <v>1085</v>
      </c>
      <c r="B36" s="481"/>
      <c r="C36" s="483"/>
      <c r="D36" s="482"/>
      <c r="E36" s="482"/>
      <c r="F36" s="481"/>
    </row>
    <row r="37" spans="1:6" ht="8.15" customHeight="1"/>
    <row r="38" spans="1:6" ht="8.15" customHeight="1"/>
    <row r="39" spans="1:6" ht="8.15" customHeight="1"/>
    <row r="40" spans="1:6" ht="8.15"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xr:uid="{00000000-0002-0000-3300-000000000000}">
      <formula1>0</formula1>
    </dataValidation>
  </dataValidations>
  <pageMargins left="0.74803149606299202" right="0.74803149606299202" top="0.98425196850393704" bottom="0.98425196850393704" header="0.511811023622047" footer="0.511811023622047"/>
  <pageSetup paperSize="9" scale="90" orientation="landscape"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N28"/>
  <sheetViews>
    <sheetView zoomScaleNormal="100" workbookViewId="0">
      <selection activeCell="H39" sqref="H39"/>
    </sheetView>
  </sheetViews>
  <sheetFormatPr baseColWidth="10" defaultColWidth="12" defaultRowHeight="13"/>
  <cols>
    <col min="1" max="1" customWidth="true" style="222" width="32.5" collapsed="true"/>
    <col min="2" max="2" customWidth="true" style="222" width="11.296875" collapsed="true"/>
    <col min="3" max="3" customWidth="true" style="222" width="10.19921875" collapsed="true"/>
    <col min="4" max="4" customWidth="true" style="222" width="16.69921875" collapsed="true"/>
    <col min="5" max="7" customWidth="true" style="222" width="10.19921875" collapsed="true"/>
    <col min="8" max="8" bestFit="true" customWidth="true" style="222" width="14.796875" collapsed="true"/>
    <col min="9" max="11" customWidth="true" style="222" width="10.19921875" collapsed="true"/>
    <col min="12" max="12" bestFit="true" customWidth="true" style="222" width="12.69921875" collapsed="true"/>
    <col min="13" max="13" customWidth="true" style="222" width="10.19921875" collapsed="true"/>
    <col min="14" max="14" bestFit="true" customWidth="true" style="222" width="12.69921875" collapsed="true"/>
    <col min="15" max="16384" style="222" width="12.0" collapsed="true"/>
  </cols>
  <sheetData>
    <row r="1" spans="1:14" s="157" customFormat="1" ht="18.75" customHeight="1">
      <c r="A1" s="1155" t="s">
        <v>1086</v>
      </c>
      <c r="B1" s="1155"/>
      <c r="C1" s="1155"/>
      <c r="D1" s="1155"/>
      <c r="E1" s="1155"/>
      <c r="F1" s="1155"/>
      <c r="G1" s="1155"/>
      <c r="H1" s="1155"/>
      <c r="I1" s="1155"/>
      <c r="J1" s="1155"/>
      <c r="K1" s="1155"/>
      <c r="L1" s="1155"/>
      <c r="M1" s="1155"/>
      <c r="N1" s="1155"/>
    </row>
    <row r="2" spans="1:14" s="157" customFormat="1" ht="8.15" customHeight="1"/>
    <row r="3" spans="1:14" s="157" customFormat="1" ht="12.75" customHeight="1">
      <c r="A3" s="960" t="s">
        <v>486</v>
      </c>
      <c r="B3" s="960"/>
      <c r="C3" s="960"/>
      <c r="K3" s="171" t="s">
        <v>487</v>
      </c>
      <c r="L3" s="980">
        <v>44926</v>
      </c>
      <c r="M3" s="998"/>
    </row>
    <row r="4" spans="1:14" s="157" customFormat="1" ht="15" customHeight="1">
      <c r="A4" s="976" t="s">
        <v>1423</v>
      </c>
      <c r="B4" s="977"/>
      <c r="C4" s="977"/>
      <c r="K4" s="982" t="s">
        <v>488</v>
      </c>
      <c r="L4" s="999">
        <v>12</v>
      </c>
      <c r="M4" s="1000"/>
    </row>
    <row r="5" spans="1:14" s="157" customFormat="1" ht="15" customHeight="1">
      <c r="A5" s="157" t="s">
        <v>489</v>
      </c>
      <c r="B5" s="983" t="s">
        <v>1426</v>
      </c>
      <c r="C5" s="984"/>
      <c r="K5" s="982"/>
      <c r="L5" s="1001"/>
      <c r="M5" s="1001"/>
    </row>
    <row r="6" spans="1:14" ht="5.25" customHeight="1"/>
    <row r="7" spans="1:14" ht="35.15" customHeight="1">
      <c r="A7" s="1168" t="s">
        <v>1087</v>
      </c>
      <c r="B7" s="1170" t="s">
        <v>1088</v>
      </c>
      <c r="C7" s="1158" t="s">
        <v>1089</v>
      </c>
      <c r="D7" s="1159"/>
      <c r="E7" s="1158" t="s">
        <v>1090</v>
      </c>
      <c r="F7" s="1159"/>
      <c r="G7" s="1158" t="s">
        <v>1091</v>
      </c>
      <c r="H7" s="1159"/>
      <c r="I7" s="1158" t="s">
        <v>1092</v>
      </c>
      <c r="J7" s="1159"/>
      <c r="K7" s="1158" t="s">
        <v>1093</v>
      </c>
      <c r="L7" s="1159"/>
      <c r="M7" s="1158" t="s">
        <v>1094</v>
      </c>
      <c r="N7" s="1159"/>
    </row>
    <row r="8" spans="1:14">
      <c r="A8" s="1169"/>
      <c r="B8" s="1171"/>
      <c r="C8" s="225" t="s">
        <v>1095</v>
      </c>
      <c r="D8" s="225" t="s">
        <v>1096</v>
      </c>
      <c r="E8" s="225" t="s">
        <v>1095</v>
      </c>
      <c r="F8" s="225" t="s">
        <v>1096</v>
      </c>
      <c r="G8" s="225" t="s">
        <v>1095</v>
      </c>
      <c r="H8" s="225" t="s">
        <v>1096</v>
      </c>
      <c r="I8" s="225" t="s">
        <v>1095</v>
      </c>
      <c r="J8" s="225" t="s">
        <v>1096</v>
      </c>
      <c r="K8" s="225" t="s">
        <v>1095</v>
      </c>
      <c r="L8" s="225" t="s">
        <v>1096</v>
      </c>
      <c r="M8" s="225" t="s">
        <v>1095</v>
      </c>
      <c r="N8" s="225" t="s">
        <v>1096</v>
      </c>
    </row>
    <row r="9" spans="1:14">
      <c r="A9" s="678" t="s">
        <v>1499</v>
      </c>
      <c r="B9" s="679">
        <v>0</v>
      </c>
      <c r="C9" s="680">
        <v>0</v>
      </c>
      <c r="D9" s="680">
        <v>0</v>
      </c>
      <c r="E9" s="680">
        <v>0</v>
      </c>
      <c r="F9" s="680">
        <v>0</v>
      </c>
      <c r="G9" s="680">
        <v>0</v>
      </c>
      <c r="H9" s="680">
        <v>0</v>
      </c>
      <c r="I9" s="680">
        <v>0</v>
      </c>
      <c r="J9" s="680">
        <v>0</v>
      </c>
      <c r="K9" s="680">
        <v>3735</v>
      </c>
      <c r="L9" s="680">
        <v>523887630</v>
      </c>
      <c r="M9" s="680">
        <v>2603</v>
      </c>
      <c r="N9" s="680">
        <v>397737859</v>
      </c>
    </row>
    <row r="10" spans="1:14">
      <c r="A10" s="678" t="s">
        <v>1500</v>
      </c>
      <c r="B10" s="679">
        <v>0</v>
      </c>
      <c r="C10" s="680">
        <v>0</v>
      </c>
      <c r="D10" s="680">
        <v>0</v>
      </c>
      <c r="E10" s="680">
        <v>0</v>
      </c>
      <c r="F10" s="680">
        <v>0</v>
      </c>
      <c r="G10" s="680">
        <v>356935</v>
      </c>
      <c r="H10" s="680">
        <v>72776672702</v>
      </c>
      <c r="I10" s="680">
        <v>0</v>
      </c>
      <c r="J10" s="680">
        <v>0</v>
      </c>
      <c r="K10" s="680">
        <v>29059</v>
      </c>
      <c r="L10" s="680">
        <v>2012148115</v>
      </c>
      <c r="M10" s="680">
        <v>865</v>
      </c>
      <c r="N10" s="680">
        <v>83178261</v>
      </c>
    </row>
    <row r="11" spans="1:14">
      <c r="A11" s="678" t="s">
        <v>1501</v>
      </c>
      <c r="B11" s="679">
        <v>0</v>
      </c>
      <c r="C11" s="680">
        <v>0</v>
      </c>
      <c r="D11" s="680">
        <v>0</v>
      </c>
      <c r="E11" s="680">
        <v>0</v>
      </c>
      <c r="F11" s="680">
        <v>0</v>
      </c>
      <c r="G11" s="680">
        <v>35216</v>
      </c>
      <c r="H11" s="680">
        <v>7578109574</v>
      </c>
      <c r="I11" s="680">
        <v>0</v>
      </c>
      <c r="J11" s="680">
        <v>0</v>
      </c>
      <c r="K11" s="680">
        <v>0</v>
      </c>
      <c r="L11" s="680">
        <v>0</v>
      </c>
      <c r="M11" s="680">
        <v>0</v>
      </c>
      <c r="N11" s="680">
        <v>0</v>
      </c>
    </row>
    <row r="12" spans="1:14">
      <c r="A12" s="678" t="s">
        <v>1502</v>
      </c>
      <c r="B12" s="679">
        <v>0</v>
      </c>
      <c r="C12" s="680">
        <v>0</v>
      </c>
      <c r="D12" s="680">
        <v>0</v>
      </c>
      <c r="E12" s="680">
        <v>0</v>
      </c>
      <c r="F12" s="680">
        <v>0</v>
      </c>
      <c r="G12" s="680">
        <v>134596</v>
      </c>
      <c r="H12" s="680">
        <v>29181447341</v>
      </c>
      <c r="I12" s="680">
        <v>0</v>
      </c>
      <c r="J12" s="680">
        <v>0</v>
      </c>
      <c r="K12" s="680">
        <v>2426</v>
      </c>
      <c r="L12" s="680">
        <v>164506903</v>
      </c>
      <c r="M12" s="680">
        <v>1633</v>
      </c>
      <c r="N12" s="680">
        <v>134039923</v>
      </c>
    </row>
    <row r="13" spans="1:14">
      <c r="A13" s="678" t="s">
        <v>1503</v>
      </c>
      <c r="B13" s="679">
        <v>0</v>
      </c>
      <c r="C13" s="680">
        <v>0</v>
      </c>
      <c r="D13" s="680">
        <v>0</v>
      </c>
      <c r="E13" s="680">
        <v>0</v>
      </c>
      <c r="F13" s="680">
        <v>0</v>
      </c>
      <c r="G13" s="680">
        <v>35715</v>
      </c>
      <c r="H13" s="680">
        <v>48895978841</v>
      </c>
      <c r="I13" s="680">
        <v>0</v>
      </c>
      <c r="J13" s="680">
        <v>0</v>
      </c>
      <c r="K13" s="680">
        <v>1013</v>
      </c>
      <c r="L13" s="680">
        <v>407053536</v>
      </c>
      <c r="M13" s="680">
        <v>16</v>
      </c>
      <c r="N13" s="680">
        <v>8081678</v>
      </c>
    </row>
    <row r="14" spans="1:14">
      <c r="A14" s="678" t="s">
        <v>1504</v>
      </c>
      <c r="B14" s="679">
        <v>0</v>
      </c>
      <c r="C14" s="680">
        <v>0</v>
      </c>
      <c r="D14" s="680">
        <v>0</v>
      </c>
      <c r="E14" s="680">
        <v>0</v>
      </c>
      <c r="F14" s="680">
        <v>0</v>
      </c>
      <c r="G14" s="680">
        <v>23581</v>
      </c>
      <c r="H14" s="680">
        <v>30845923460</v>
      </c>
      <c r="I14" s="680">
        <v>0</v>
      </c>
      <c r="J14" s="680">
        <v>0</v>
      </c>
      <c r="K14" s="680">
        <v>1620</v>
      </c>
      <c r="L14" s="680">
        <v>606443320</v>
      </c>
      <c r="M14" s="680">
        <v>405</v>
      </c>
      <c r="N14" s="680">
        <v>200054148</v>
      </c>
    </row>
    <row r="15" spans="1:14">
      <c r="A15" s="678" t="s">
        <v>1505</v>
      </c>
      <c r="B15" s="679">
        <v>0</v>
      </c>
      <c r="C15" s="680">
        <v>0</v>
      </c>
      <c r="D15" s="680">
        <v>0</v>
      </c>
      <c r="E15" s="680">
        <v>0</v>
      </c>
      <c r="F15" s="680">
        <v>0</v>
      </c>
      <c r="G15" s="680">
        <v>4160</v>
      </c>
      <c r="H15" s="680">
        <v>5290813191</v>
      </c>
      <c r="I15" s="680">
        <v>0</v>
      </c>
      <c r="J15" s="680">
        <v>0</v>
      </c>
      <c r="K15" s="680">
        <v>34</v>
      </c>
      <c r="L15" s="680">
        <v>12483336</v>
      </c>
      <c r="M15" s="680">
        <v>77</v>
      </c>
      <c r="N15" s="680">
        <v>35816244</v>
      </c>
    </row>
    <row r="16" spans="1:14">
      <c r="A16" s="678" t="s">
        <v>1506</v>
      </c>
      <c r="B16" s="679">
        <v>0</v>
      </c>
      <c r="C16" s="680">
        <v>0</v>
      </c>
      <c r="D16" s="680">
        <v>0</v>
      </c>
      <c r="E16" s="680">
        <v>0</v>
      </c>
      <c r="F16" s="680">
        <v>0</v>
      </c>
      <c r="G16" s="680">
        <v>6340</v>
      </c>
      <c r="H16" s="680">
        <v>5532814746</v>
      </c>
      <c r="I16" s="680">
        <v>0</v>
      </c>
      <c r="J16" s="680">
        <v>0</v>
      </c>
      <c r="K16" s="680">
        <v>75</v>
      </c>
      <c r="L16" s="680">
        <v>19731464</v>
      </c>
      <c r="M16" s="680">
        <v>19</v>
      </c>
      <c r="N16" s="680">
        <v>6682314</v>
      </c>
    </row>
    <row r="17" spans="1:14">
      <c r="A17" s="678" t="s">
        <v>1507</v>
      </c>
      <c r="B17" s="679">
        <v>0</v>
      </c>
      <c r="C17" s="680">
        <v>0</v>
      </c>
      <c r="D17" s="680">
        <v>0</v>
      </c>
      <c r="E17" s="680">
        <v>0</v>
      </c>
      <c r="F17" s="680">
        <v>0</v>
      </c>
      <c r="G17" s="680">
        <v>31449</v>
      </c>
      <c r="H17" s="680">
        <v>8410080484</v>
      </c>
      <c r="I17" s="680">
        <v>0</v>
      </c>
      <c r="J17" s="680">
        <v>0</v>
      </c>
      <c r="K17" s="680">
        <v>5916</v>
      </c>
      <c r="L17" s="680">
        <v>503403542</v>
      </c>
      <c r="M17" s="680">
        <v>1448</v>
      </c>
      <c r="N17" s="680">
        <v>126391451</v>
      </c>
    </row>
    <row r="18" spans="1:14">
      <c r="A18" s="678" t="s">
        <v>1508</v>
      </c>
      <c r="B18" s="679">
        <v>0</v>
      </c>
      <c r="C18" s="680">
        <v>0</v>
      </c>
      <c r="D18" s="680">
        <v>0</v>
      </c>
      <c r="E18" s="680">
        <v>0</v>
      </c>
      <c r="F18" s="680">
        <v>0</v>
      </c>
      <c r="G18" s="680">
        <v>0</v>
      </c>
      <c r="H18" s="680">
        <v>0</v>
      </c>
      <c r="I18" s="680">
        <v>0</v>
      </c>
      <c r="J18" s="680">
        <v>0</v>
      </c>
      <c r="K18" s="680">
        <v>0</v>
      </c>
      <c r="L18" s="680">
        <v>0</v>
      </c>
      <c r="M18" s="680">
        <v>923</v>
      </c>
      <c r="N18" s="680">
        <v>66941122</v>
      </c>
    </row>
    <row r="19" spans="1:14">
      <c r="A19" s="678" t="s">
        <v>1509</v>
      </c>
      <c r="B19" s="679">
        <v>0</v>
      </c>
      <c r="C19" s="680">
        <v>0</v>
      </c>
      <c r="D19" s="680">
        <v>0</v>
      </c>
      <c r="E19" s="680">
        <v>0</v>
      </c>
      <c r="F19" s="680">
        <v>0</v>
      </c>
      <c r="G19" s="680">
        <v>0</v>
      </c>
      <c r="H19" s="680">
        <v>0</v>
      </c>
      <c r="I19" s="680">
        <v>0</v>
      </c>
      <c r="J19" s="680">
        <v>0</v>
      </c>
      <c r="K19" s="680">
        <v>1131</v>
      </c>
      <c r="L19" s="680">
        <v>71284745</v>
      </c>
      <c r="M19" s="680">
        <v>585</v>
      </c>
      <c r="N19" s="680">
        <v>46802791</v>
      </c>
    </row>
    <row r="20" spans="1:14">
      <c r="A20" s="484"/>
      <c r="B20" s="547"/>
      <c r="C20" s="545"/>
      <c r="D20" s="545"/>
      <c r="E20" s="545"/>
      <c r="F20" s="545"/>
      <c r="G20" s="545"/>
      <c r="H20" s="545"/>
      <c r="I20" s="545"/>
      <c r="J20" s="545"/>
      <c r="K20" s="545"/>
      <c r="L20" s="545"/>
      <c r="M20" s="545"/>
      <c r="N20" s="545"/>
    </row>
    <row r="21" spans="1:14">
      <c r="A21" s="484"/>
      <c r="B21" s="547"/>
      <c r="C21" s="545"/>
      <c r="D21" s="545"/>
      <c r="E21" s="545"/>
      <c r="F21" s="545"/>
      <c r="G21" s="545"/>
      <c r="H21" s="545"/>
      <c r="I21" s="545"/>
      <c r="J21" s="545"/>
      <c r="K21" s="545"/>
      <c r="L21" s="545"/>
      <c r="M21" s="545"/>
      <c r="N21" s="545"/>
    </row>
    <row r="22" spans="1:14">
      <c r="A22" s="484"/>
      <c r="B22" s="547"/>
      <c r="C22" s="545"/>
      <c r="D22" s="545"/>
      <c r="E22" s="545"/>
      <c r="F22" s="545"/>
      <c r="G22" s="545"/>
      <c r="H22" s="545"/>
      <c r="I22" s="545"/>
      <c r="J22" s="545"/>
      <c r="K22" s="545"/>
      <c r="L22" s="545"/>
      <c r="M22" s="545"/>
      <c r="N22" s="545"/>
    </row>
    <row r="23" spans="1:14">
      <c r="A23" s="1160" t="s">
        <v>1097</v>
      </c>
      <c r="B23" s="1162"/>
      <c r="C23" s="545"/>
      <c r="D23" s="545"/>
      <c r="E23" s="545"/>
      <c r="F23" s="545"/>
      <c r="G23" s="545"/>
      <c r="H23" s="545"/>
      <c r="I23" s="545"/>
      <c r="J23" s="545"/>
      <c r="K23" s="545"/>
      <c r="L23" s="545"/>
      <c r="M23" s="545"/>
      <c r="N23" s="545"/>
    </row>
    <row r="24" spans="1:14">
      <c r="A24" s="1161"/>
      <c r="B24" s="1163"/>
      <c r="C24" s="545"/>
      <c r="D24" s="545"/>
      <c r="E24" s="545"/>
      <c r="F24" s="545"/>
      <c r="G24" s="545"/>
      <c r="H24" s="545"/>
      <c r="I24" s="545"/>
      <c r="J24" s="545"/>
      <c r="K24" s="545"/>
      <c r="L24" s="545"/>
      <c r="M24" s="545"/>
      <c r="N24" s="545"/>
    </row>
    <row r="25" spans="1:14">
      <c r="A25" s="1164" t="s">
        <v>113</v>
      </c>
      <c r="B25" s="1166"/>
      <c r="C25" s="546"/>
      <c r="D25" s="546"/>
      <c r="E25" s="546"/>
      <c r="F25" s="546"/>
      <c r="G25" s="546"/>
      <c r="H25" s="546">
        <f>SUM(H9:H24)</f>
        <v>208511840339</v>
      </c>
      <c r="I25" s="546"/>
      <c r="J25" s="546"/>
      <c r="K25" s="546"/>
      <c r="L25" s="546">
        <f>SUM(L9:L24)</f>
        <v>4320942591</v>
      </c>
      <c r="M25" s="546"/>
      <c r="N25" s="546">
        <f>SUM(N9:N24)</f>
        <v>1105725791</v>
      </c>
    </row>
    <row r="26" spans="1:14">
      <c r="A26" s="1165"/>
      <c r="B26" s="1167"/>
      <c r="C26" s="546"/>
      <c r="D26" s="546"/>
      <c r="E26" s="546"/>
      <c r="F26" s="546"/>
      <c r="G26" s="546"/>
      <c r="H26" s="546"/>
      <c r="I26" s="546"/>
      <c r="J26" s="546"/>
      <c r="K26" s="546"/>
      <c r="L26" s="546"/>
      <c r="M26" s="546"/>
      <c r="N26" s="546"/>
    </row>
    <row r="28" spans="1:14">
      <c r="A28" s="677"/>
    </row>
  </sheetData>
  <sheetProtection sheet="false"/>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xr:uid="{00000000-0002-0000-34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xr:uid="{00000000-0002-0000-3400-000001000000}">
      <formula1>0</formula1>
    </dataValidation>
  </dataValidations>
  <pageMargins left="0.74803149606299202" right="0.74803149606299202" top="0.98425196850393704" bottom="0.98425196850393704" header="0.511811023622047" footer="0.511811023622047"/>
  <pageSetup paperSize="9" scale="79" orientation="landscape"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I28"/>
  <sheetViews>
    <sheetView topLeftCell="A13" zoomScaleNormal="100" workbookViewId="0">
      <selection activeCell="H39" sqref="H39"/>
    </sheetView>
  </sheetViews>
  <sheetFormatPr baseColWidth="10" defaultColWidth="12" defaultRowHeight="13"/>
  <cols>
    <col min="1" max="1" customWidth="true" style="222" width="32.5" collapsed="true"/>
    <col min="2" max="2" customWidth="true" style="222" width="13.69921875" collapsed="true"/>
    <col min="3" max="8" customWidth="true" style="222" width="10.19921875" collapsed="true"/>
    <col min="9" max="9" customWidth="true" style="222" width="13.69921875" collapsed="true"/>
    <col min="10" max="16384" style="222" width="12.0" collapsed="true"/>
  </cols>
  <sheetData>
    <row r="1" spans="1:9" s="157" customFormat="1" ht="18.75" customHeight="1">
      <c r="A1" s="1155" t="s">
        <v>1098</v>
      </c>
      <c r="B1" s="1155"/>
      <c r="C1" s="1155"/>
      <c r="D1" s="1155"/>
      <c r="E1" s="1155"/>
      <c r="F1" s="1155"/>
      <c r="G1" s="1155"/>
      <c r="H1" s="1155"/>
      <c r="I1" s="1155"/>
    </row>
    <row r="2" spans="1:9" s="157" customFormat="1" ht="8.15" customHeight="1"/>
    <row r="3" spans="1:9" s="157" customFormat="1" ht="12.75" customHeight="1">
      <c r="A3" s="960" t="s">
        <v>486</v>
      </c>
      <c r="B3" s="960"/>
      <c r="C3" s="960"/>
      <c r="G3" s="169" t="s">
        <v>487</v>
      </c>
      <c r="H3" s="980">
        <v>44926</v>
      </c>
      <c r="I3" s="998"/>
    </row>
    <row r="4" spans="1:9" s="157" customFormat="1" ht="15" customHeight="1">
      <c r="A4" s="976" t="s">
        <v>1423</v>
      </c>
      <c r="B4" s="977"/>
      <c r="C4" s="977"/>
      <c r="G4" s="982" t="s">
        <v>488</v>
      </c>
      <c r="H4" s="999">
        <v>12</v>
      </c>
      <c r="I4" s="1000"/>
    </row>
    <row r="5" spans="1:9" s="157" customFormat="1" ht="15" customHeight="1">
      <c r="A5" s="157" t="s">
        <v>489</v>
      </c>
      <c r="B5" s="983" t="s">
        <v>1426</v>
      </c>
      <c r="C5" s="984"/>
      <c r="G5" s="982"/>
      <c r="H5" s="1001"/>
      <c r="I5" s="1001"/>
    </row>
    <row r="6" spans="1:9" ht="5.25" customHeight="1"/>
    <row r="7" spans="1:9">
      <c r="A7" s="1186" t="s">
        <v>1099</v>
      </c>
      <c r="B7" s="1186" t="s">
        <v>1088</v>
      </c>
      <c r="C7" s="1172" t="s">
        <v>1100</v>
      </c>
      <c r="D7" s="1173"/>
      <c r="E7" s="1173"/>
      <c r="F7" s="1173"/>
      <c r="G7" s="1173"/>
      <c r="H7" s="1174"/>
      <c r="I7" s="1175" t="s">
        <v>1101</v>
      </c>
    </row>
    <row r="8" spans="1:9">
      <c r="A8" s="1187"/>
      <c r="B8" s="1187"/>
      <c r="C8" s="1178" t="s">
        <v>1102</v>
      </c>
      <c r="D8" s="1179"/>
      <c r="E8" s="1172" t="s">
        <v>1103</v>
      </c>
      <c r="F8" s="1173"/>
      <c r="G8" s="1173"/>
      <c r="H8" s="1174"/>
      <c r="I8" s="1176"/>
    </row>
    <row r="9" spans="1:9" ht="23.25" customHeight="1">
      <c r="A9" s="1187"/>
      <c r="B9" s="1187"/>
      <c r="C9" s="1180"/>
      <c r="D9" s="1181"/>
      <c r="E9" s="1182" t="s">
        <v>1104</v>
      </c>
      <c r="F9" s="1183"/>
      <c r="G9" s="1184" t="s">
        <v>1105</v>
      </c>
      <c r="H9" s="1185"/>
      <c r="I9" s="1177"/>
    </row>
    <row r="10" spans="1:9">
      <c r="A10" s="1188"/>
      <c r="B10" s="1188"/>
      <c r="C10" s="225" t="s">
        <v>1095</v>
      </c>
      <c r="D10" s="225" t="s">
        <v>1096</v>
      </c>
      <c r="E10" s="225" t="s">
        <v>1095</v>
      </c>
      <c r="F10" s="225" t="s">
        <v>1096</v>
      </c>
      <c r="G10" s="225" t="s">
        <v>1095</v>
      </c>
      <c r="H10" s="225" t="s">
        <v>1096</v>
      </c>
      <c r="I10" s="225" t="s">
        <v>1096</v>
      </c>
    </row>
    <row r="11" spans="1:9">
      <c r="A11" s="484"/>
      <c r="B11" s="547"/>
      <c r="C11" s="545"/>
      <c r="D11" s="545"/>
      <c r="E11" s="545"/>
      <c r="F11" s="545"/>
      <c r="G11" s="545"/>
      <c r="H11" s="545"/>
      <c r="I11" s="545"/>
    </row>
    <row r="12" spans="1:9">
      <c r="A12" s="484"/>
      <c r="B12" s="547"/>
      <c r="C12" s="545"/>
      <c r="D12" s="545"/>
      <c r="E12" s="545"/>
      <c r="F12" s="545"/>
      <c r="G12" s="545"/>
      <c r="H12" s="545"/>
      <c r="I12" s="545"/>
    </row>
    <row r="13" spans="1:9">
      <c r="A13" s="484"/>
      <c r="B13" s="547"/>
      <c r="C13" s="545"/>
      <c r="D13" s="545"/>
      <c r="E13" s="545"/>
      <c r="F13" s="545"/>
      <c r="G13" s="545"/>
      <c r="H13" s="545"/>
      <c r="I13" s="545"/>
    </row>
    <row r="14" spans="1:9">
      <c r="A14" s="484"/>
      <c r="B14" s="547"/>
      <c r="C14" s="545"/>
      <c r="D14" s="545"/>
      <c r="E14" s="545"/>
      <c r="F14" s="545"/>
      <c r="G14" s="545"/>
      <c r="H14" s="545"/>
      <c r="I14" s="545"/>
    </row>
    <row r="15" spans="1:9">
      <c r="A15" s="485"/>
      <c r="B15" s="547"/>
      <c r="C15" s="545"/>
      <c r="D15" s="545"/>
      <c r="E15" s="545"/>
      <c r="F15" s="545"/>
      <c r="G15" s="545"/>
      <c r="H15" s="545"/>
      <c r="I15" s="545"/>
    </row>
    <row r="16" spans="1:9">
      <c r="A16" s="485"/>
      <c r="B16" s="547"/>
      <c r="C16" s="545"/>
      <c r="D16" s="545"/>
      <c r="E16" s="545"/>
      <c r="F16" s="545"/>
      <c r="G16" s="545"/>
      <c r="H16" s="545"/>
      <c r="I16" s="545"/>
    </row>
    <row r="17" spans="1:9">
      <c r="A17" s="484"/>
      <c r="B17" s="547"/>
      <c r="C17" s="545"/>
      <c r="D17" s="545"/>
      <c r="E17" s="545"/>
      <c r="F17" s="545"/>
      <c r="G17" s="545"/>
      <c r="H17" s="545"/>
      <c r="I17" s="545"/>
    </row>
    <row r="18" spans="1:9">
      <c r="A18" s="484"/>
      <c r="B18" s="547"/>
      <c r="C18" s="545"/>
      <c r="D18" s="545"/>
      <c r="E18" s="545"/>
      <c r="F18" s="545"/>
      <c r="G18" s="545"/>
      <c r="H18" s="545"/>
      <c r="I18" s="545"/>
    </row>
    <row r="19" spans="1:9">
      <c r="A19" s="484"/>
      <c r="B19" s="547"/>
      <c r="C19" s="545"/>
      <c r="D19" s="545"/>
      <c r="E19" s="545"/>
      <c r="F19" s="545"/>
      <c r="G19" s="545"/>
      <c r="H19" s="545"/>
      <c r="I19" s="545"/>
    </row>
    <row r="20" spans="1:9">
      <c r="A20" s="484"/>
      <c r="B20" s="547"/>
      <c r="C20" s="545"/>
      <c r="D20" s="545"/>
      <c r="E20" s="545"/>
      <c r="F20" s="545"/>
      <c r="G20" s="545"/>
      <c r="H20" s="545"/>
      <c r="I20" s="545"/>
    </row>
    <row r="21" spans="1:9">
      <c r="A21" s="484"/>
      <c r="B21" s="547"/>
      <c r="C21" s="545"/>
      <c r="D21" s="545"/>
      <c r="E21" s="545"/>
      <c r="F21" s="545"/>
      <c r="G21" s="545"/>
      <c r="H21" s="545"/>
      <c r="I21" s="545"/>
    </row>
    <row r="22" spans="1:9">
      <c r="A22" s="484"/>
      <c r="B22" s="547"/>
      <c r="C22" s="545"/>
      <c r="D22" s="545"/>
      <c r="E22" s="545"/>
      <c r="F22" s="545"/>
      <c r="G22" s="545"/>
      <c r="H22" s="545"/>
      <c r="I22" s="545"/>
    </row>
    <row r="23" spans="1:9">
      <c r="A23" s="484"/>
      <c r="B23" s="547"/>
      <c r="C23" s="545"/>
      <c r="D23" s="545"/>
      <c r="E23" s="545"/>
      <c r="F23" s="545"/>
      <c r="G23" s="545"/>
      <c r="H23" s="545"/>
      <c r="I23" s="545"/>
    </row>
    <row r="24" spans="1:9">
      <c r="A24" s="484"/>
      <c r="B24" s="547"/>
      <c r="C24" s="545"/>
      <c r="D24" s="545"/>
      <c r="E24" s="545"/>
      <c r="F24" s="545"/>
      <c r="G24" s="545"/>
      <c r="H24" s="545"/>
      <c r="I24" s="545"/>
    </row>
    <row r="25" spans="1:9">
      <c r="A25" s="1160" t="s">
        <v>1106</v>
      </c>
      <c r="B25" s="1162"/>
      <c r="C25" s="545"/>
      <c r="D25" s="545"/>
      <c r="E25" s="545"/>
      <c r="F25" s="545"/>
      <c r="G25" s="545"/>
      <c r="H25" s="545"/>
      <c r="I25" s="545"/>
    </row>
    <row r="26" spans="1:9">
      <c r="A26" s="1161"/>
      <c r="B26" s="1163"/>
      <c r="C26" s="545"/>
      <c r="D26" s="545"/>
      <c r="E26" s="545"/>
      <c r="F26" s="545"/>
      <c r="G26" s="545"/>
      <c r="H26" s="545"/>
      <c r="I26" s="545"/>
    </row>
    <row r="27" spans="1:9">
      <c r="A27" s="1164" t="s">
        <v>113</v>
      </c>
      <c r="B27" s="1166"/>
      <c r="C27" s="681">
        <v>0</v>
      </c>
      <c r="D27" s="681">
        <v>0</v>
      </c>
      <c r="E27" s="681">
        <v>0</v>
      </c>
      <c r="F27" s="681">
        <v>0</v>
      </c>
      <c r="G27" s="681">
        <v>0</v>
      </c>
      <c r="H27" s="681">
        <v>0</v>
      </c>
      <c r="I27" s="681">
        <v>0</v>
      </c>
    </row>
    <row r="28" spans="1:9">
      <c r="A28" s="1165"/>
      <c r="B28" s="1167"/>
      <c r="C28" s="546"/>
      <c r="D28" s="546"/>
      <c r="E28" s="546"/>
      <c r="F28" s="546"/>
      <c r="G28" s="546"/>
      <c r="H28" s="546"/>
      <c r="I28" s="546"/>
    </row>
  </sheetData>
  <sheetProtection sheet="false"/>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xr:uid="{00000000-0002-0000-3500-000000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pageSetUpPr fitToPage="1"/>
  </sheetPr>
  <dimension ref="A1:G66"/>
  <sheetViews>
    <sheetView topLeftCell="A50" zoomScaleNormal="100" workbookViewId="0">
      <selection activeCell="C54" sqref="C54"/>
    </sheetView>
  </sheetViews>
  <sheetFormatPr baseColWidth="10" defaultColWidth="12" defaultRowHeight="13"/>
  <cols>
    <col min="1" max="1" customWidth="true" style="157" width="76.69921875" collapsed="true"/>
    <col min="2" max="3" customWidth="true" style="315" width="21.796875" collapsed="true"/>
    <col min="4" max="4" customWidth="true" style="157" width="17.19921875" collapsed="true"/>
    <col min="5" max="5" style="157" width="12.0" collapsed="true"/>
    <col min="6" max="6" customWidth="true" style="297" width="16.0" collapsed="true"/>
    <col min="7" max="16384" style="157" width="12.0" collapsed="true"/>
  </cols>
  <sheetData>
    <row r="1" spans="1:6" ht="21" customHeight="1">
      <c r="A1" s="959" t="s">
        <v>1107</v>
      </c>
      <c r="B1" s="959"/>
      <c r="C1" s="959"/>
      <c r="D1" s="959"/>
    </row>
    <row r="2" spans="1:6" ht="8.15" customHeight="1"/>
    <row r="3" spans="1:6" ht="12.75" customHeight="1">
      <c r="A3" s="172" t="s">
        <v>486</v>
      </c>
      <c r="B3" s="316" t="s">
        <v>487</v>
      </c>
      <c r="C3" s="980">
        <v>44926</v>
      </c>
      <c r="D3" s="998"/>
    </row>
    <row r="4" spans="1:6" ht="15" customHeight="1">
      <c r="A4" s="682" t="s">
        <v>1423</v>
      </c>
      <c r="B4" s="321"/>
      <c r="C4" s="317" t="s">
        <v>488</v>
      </c>
      <c r="D4" s="627">
        <v>12</v>
      </c>
    </row>
    <row r="5" spans="1:6" ht="15" customHeight="1">
      <c r="A5" s="157" t="s">
        <v>489</v>
      </c>
      <c r="B5" s="1192">
        <v>2849258</v>
      </c>
      <c r="C5" s="1193"/>
      <c r="D5" s="322"/>
    </row>
    <row r="6" spans="1:6" ht="8.15" customHeight="1"/>
    <row r="7" spans="1:6" s="172" customFormat="1" ht="25.15" customHeight="1">
      <c r="A7" s="486" t="s">
        <v>1108</v>
      </c>
      <c r="B7" s="487" t="s">
        <v>721</v>
      </c>
      <c r="C7" s="488" t="s">
        <v>722</v>
      </c>
      <c r="D7" s="488" t="s">
        <v>614</v>
      </c>
      <c r="F7" s="196"/>
    </row>
    <row r="8" spans="1:6" s="172" customFormat="1" ht="20.149999999999999" customHeight="1">
      <c r="A8" s="1194" t="s">
        <v>1109</v>
      </c>
      <c r="B8" s="1195"/>
      <c r="C8" s="1195"/>
      <c r="D8" s="1196"/>
      <c r="F8" s="196"/>
    </row>
    <row r="9" spans="1:6" s="172" customFormat="1" ht="25.15" customHeight="1">
      <c r="A9" s="489" t="s">
        <v>1110</v>
      </c>
      <c r="B9" s="548"/>
      <c r="C9" s="549"/>
      <c r="D9" s="550"/>
      <c r="F9" s="196"/>
    </row>
    <row r="10" spans="1:6">
      <c r="A10" s="470" t="s">
        <v>1111</v>
      </c>
      <c r="B10" s="788">
        <v>208567180.81999999</v>
      </c>
      <c r="C10" s="640">
        <v>148257573.91</v>
      </c>
      <c r="D10" s="658">
        <f>B10/C10-1</f>
        <v>0.40678938228552863</v>
      </c>
    </row>
    <row r="11" spans="1:6">
      <c r="A11" s="470" t="s">
        <v>1112</v>
      </c>
      <c r="B11" s="788">
        <v>0</v>
      </c>
      <c r="C11" s="640">
        <v>0</v>
      </c>
      <c r="D11" s="658"/>
    </row>
    <row r="12" spans="1:6">
      <c r="A12" s="470" t="s">
        <v>1113</v>
      </c>
      <c r="B12" s="788">
        <v>130729041</v>
      </c>
      <c r="C12" s="640">
        <v>87164495.689999998</v>
      </c>
      <c r="D12" s="658">
        <f t="shared" ref="D12:D18" si="0">B12/C12-1</f>
        <v>0.49979690658610632</v>
      </c>
    </row>
    <row r="13" spans="1:6">
      <c r="A13" s="470" t="s">
        <v>1114</v>
      </c>
      <c r="B13" s="788">
        <v>107042449</v>
      </c>
      <c r="C13" s="640">
        <v>66559806.240000002</v>
      </c>
      <c r="D13" s="658">
        <f t="shared" si="0"/>
        <v>0.60821455239861288</v>
      </c>
    </row>
    <row r="14" spans="1:6">
      <c r="A14" s="470" t="s">
        <v>1115</v>
      </c>
      <c r="B14" s="788">
        <v>85593251</v>
      </c>
      <c r="C14" s="640">
        <v>45339681.079999998</v>
      </c>
      <c r="D14" s="658">
        <f t="shared" si="0"/>
        <v>0.88782207905199506</v>
      </c>
    </row>
    <row r="15" spans="1:6">
      <c r="A15" s="470" t="s">
        <v>1116</v>
      </c>
      <c r="B15" s="788">
        <v>-27894405</v>
      </c>
      <c r="C15" s="640">
        <v>-32085343.649999999</v>
      </c>
      <c r="D15" s="658">
        <f t="shared" si="0"/>
        <v>-0.13061847476893074</v>
      </c>
    </row>
    <row r="16" spans="1:6">
      <c r="A16" s="470" t="s">
        <v>1117</v>
      </c>
      <c r="B16" s="788">
        <v>57698846.119999997</v>
      </c>
      <c r="C16" s="640">
        <v>13254337.439999999</v>
      </c>
      <c r="D16" s="658">
        <f t="shared" si="0"/>
        <v>3.3532048569905735</v>
      </c>
    </row>
    <row r="17" spans="1:4">
      <c r="A17" s="470" t="s">
        <v>1118</v>
      </c>
      <c r="B17" s="788">
        <v>0</v>
      </c>
      <c r="C17" s="640">
        <v>0</v>
      </c>
      <c r="D17" s="658"/>
    </row>
    <row r="18" spans="1:4">
      <c r="A18" s="470" t="s">
        <v>1119</v>
      </c>
      <c r="B18" s="788">
        <v>57698846.119999997</v>
      </c>
      <c r="C18" s="640">
        <v>13254337.439999999</v>
      </c>
      <c r="D18" s="658">
        <f t="shared" si="0"/>
        <v>3.3532048569905735</v>
      </c>
    </row>
    <row r="19" spans="1:4" ht="20.149999999999999" customHeight="1">
      <c r="A19" s="471" t="s">
        <v>1120</v>
      </c>
      <c r="B19" s="789"/>
      <c r="C19" s="552"/>
      <c r="D19" s="543"/>
    </row>
    <row r="20" spans="1:4" ht="20.149999999999999" customHeight="1">
      <c r="A20" s="473" t="s">
        <v>1121</v>
      </c>
      <c r="B20" s="788">
        <v>107042449</v>
      </c>
      <c r="C20" s="625">
        <v>66559806.240000002</v>
      </c>
      <c r="D20" s="527"/>
    </row>
    <row r="21" spans="1:4">
      <c r="A21" s="490" t="s">
        <v>1122</v>
      </c>
      <c r="B21" s="788">
        <v>843765.71</v>
      </c>
      <c r="C21" s="625">
        <v>0</v>
      </c>
      <c r="D21" s="527"/>
    </row>
    <row r="22" spans="1:4">
      <c r="A22" s="490" t="s">
        <v>1123</v>
      </c>
      <c r="B22" s="788">
        <v>0</v>
      </c>
      <c r="C22" s="625">
        <v>0</v>
      </c>
      <c r="D22" s="527"/>
    </row>
    <row r="23" spans="1:4" ht="20.149999999999999" customHeight="1">
      <c r="A23" s="491" t="s">
        <v>1124</v>
      </c>
      <c r="B23" s="790">
        <v>107886215</v>
      </c>
      <c r="C23" s="641">
        <v>66559806.240000002</v>
      </c>
      <c r="D23" s="527"/>
    </row>
    <row r="24" spans="1:4">
      <c r="A24" s="490" t="s">
        <v>1125</v>
      </c>
      <c r="B24" s="788">
        <v>296155.34999999998</v>
      </c>
      <c r="C24" s="625">
        <v>61812.22</v>
      </c>
      <c r="D24" s="527"/>
    </row>
    <row r="25" spans="1:4">
      <c r="A25" s="490" t="s">
        <v>1126</v>
      </c>
      <c r="B25" s="788">
        <v>474903</v>
      </c>
      <c r="C25" s="625">
        <v>0</v>
      </c>
      <c r="D25" s="527"/>
    </row>
    <row r="26" spans="1:4">
      <c r="A26" s="490" t="s">
        <v>1127</v>
      </c>
      <c r="B26" s="788">
        <v>0</v>
      </c>
      <c r="C26" s="625">
        <v>0</v>
      </c>
      <c r="D26" s="527"/>
    </row>
    <row r="27" spans="1:4">
      <c r="A27" s="490" t="s">
        <v>1128</v>
      </c>
      <c r="B27" s="788">
        <v>0</v>
      </c>
      <c r="C27" s="625">
        <v>0</v>
      </c>
      <c r="D27" s="527"/>
    </row>
    <row r="28" spans="1:4">
      <c r="A28" s="490" t="s">
        <v>1129</v>
      </c>
      <c r="B28" s="788">
        <v>0</v>
      </c>
      <c r="C28" s="625">
        <v>0</v>
      </c>
      <c r="D28" s="527"/>
    </row>
    <row r="29" spans="1:4">
      <c r="A29" s="490" t="s">
        <v>1130</v>
      </c>
      <c r="B29" s="788">
        <v>-144631.01</v>
      </c>
      <c r="C29" s="625">
        <v>-669772.23</v>
      </c>
      <c r="D29" s="527"/>
    </row>
    <row r="30" spans="1:4">
      <c r="A30" s="490" t="s">
        <v>1131</v>
      </c>
      <c r="B30" s="791">
        <v>-21960755.629999999</v>
      </c>
      <c r="C30" s="683">
        <v>-6763092.8899999997</v>
      </c>
      <c r="D30" s="527"/>
    </row>
    <row r="31" spans="1:4">
      <c r="A31" s="490" t="s">
        <v>1403</v>
      </c>
      <c r="B31" s="788">
        <v>0</v>
      </c>
      <c r="C31" s="625">
        <v>0</v>
      </c>
      <c r="D31" s="527"/>
    </row>
    <row r="32" spans="1:4">
      <c r="A32" s="490" t="s">
        <v>1132</v>
      </c>
      <c r="B32" s="788">
        <v>0</v>
      </c>
      <c r="C32" s="625">
        <v>0</v>
      </c>
      <c r="D32" s="527"/>
    </row>
    <row r="33" spans="1:7">
      <c r="A33" s="490" t="s">
        <v>1133</v>
      </c>
      <c r="B33" s="792">
        <v>0</v>
      </c>
      <c r="C33" s="684">
        <v>0</v>
      </c>
      <c r="D33" s="527"/>
    </row>
    <row r="34" spans="1:7" ht="20.149999999999999" customHeight="1">
      <c r="A34" s="491" t="s">
        <v>1134</v>
      </c>
      <c r="B34" s="790">
        <v>85708121</v>
      </c>
      <c r="C34" s="641">
        <v>59188753.359999999</v>
      </c>
      <c r="D34" s="799">
        <f t="shared" ref="D34" si="1">B34/C34-1</f>
        <v>0.44804740993112202</v>
      </c>
    </row>
    <row r="35" spans="1:7">
      <c r="A35" s="492" t="s">
        <v>1135</v>
      </c>
      <c r="B35" s="788">
        <v>0</v>
      </c>
      <c r="C35" s="625">
        <v>0</v>
      </c>
      <c r="D35" s="658">
        <v>0</v>
      </c>
    </row>
    <row r="36" spans="1:7" ht="20.149999999999999" customHeight="1">
      <c r="A36" s="491" t="s">
        <v>1136</v>
      </c>
      <c r="B36" s="790">
        <v>85708121</v>
      </c>
      <c r="C36" s="641">
        <v>59188753.359999999</v>
      </c>
      <c r="D36" s="799">
        <f t="shared" ref="D36:D60" si="2">B36/C36-1</f>
        <v>0.44804740993112202</v>
      </c>
    </row>
    <row r="37" spans="1:7" s="172" customFormat="1" ht="20.149999999999999" customHeight="1">
      <c r="A37" s="1189" t="s">
        <v>1137</v>
      </c>
      <c r="B37" s="1190"/>
      <c r="C37" s="1190"/>
      <c r="D37" s="1191"/>
      <c r="F37" s="196"/>
    </row>
    <row r="38" spans="1:7" ht="32.15" customHeight="1">
      <c r="A38" s="470"/>
      <c r="B38" s="793">
        <f>(B14)/(B42+B41)</f>
        <v>0.25633619362097476</v>
      </c>
      <c r="C38" s="658">
        <f>(C14)/(C42+C41)</f>
        <v>0.13714038368020018</v>
      </c>
      <c r="D38" s="658">
        <f t="shared" si="2"/>
        <v>0.86915178988217767</v>
      </c>
      <c r="G38" s="297"/>
    </row>
    <row r="39" spans="1:7" ht="32.15" customHeight="1">
      <c r="A39" s="470"/>
      <c r="B39" s="793">
        <f>B18/B41</f>
        <v>-2.7397546469024672</v>
      </c>
      <c r="C39" s="793">
        <f>C18/C41</f>
        <v>-0.16829044417035066</v>
      </c>
      <c r="D39" s="658">
        <f t="shared" si="2"/>
        <v>15.279918092848888</v>
      </c>
      <c r="F39" s="801"/>
      <c r="G39" s="801"/>
    </row>
    <row r="40" spans="1:7" s="172" customFormat="1" ht="20.149999999999999" customHeight="1">
      <c r="A40" s="1189" t="s">
        <v>1138</v>
      </c>
      <c r="B40" s="1190"/>
      <c r="C40" s="1190"/>
      <c r="D40" s="1191"/>
      <c r="F40" s="196"/>
    </row>
    <row r="41" spans="1:7">
      <c r="A41" s="493" t="s">
        <v>1139</v>
      </c>
      <c r="B41" s="788">
        <v>-21059858.84</v>
      </c>
      <c r="C41" s="625">
        <v>-78758704.959999993</v>
      </c>
      <c r="D41" s="658">
        <f t="shared" si="2"/>
        <v>-0.73260277894747139</v>
      </c>
    </row>
    <row r="42" spans="1:7">
      <c r="A42" s="490" t="s">
        <v>1140</v>
      </c>
      <c r="B42" s="788">
        <v>354969985.97000003</v>
      </c>
      <c r="C42" s="625">
        <v>409366508.89999998</v>
      </c>
      <c r="D42" s="658">
        <f t="shared" si="2"/>
        <v>-0.13287975871833702</v>
      </c>
    </row>
    <row r="43" spans="1:7">
      <c r="A43" s="492" t="s">
        <v>1141</v>
      </c>
      <c r="B43" s="788">
        <v>333910127.13</v>
      </c>
      <c r="C43" s="640">
        <v>330607803.94</v>
      </c>
      <c r="D43" s="658">
        <f t="shared" si="2"/>
        <v>9.9886425869104567E-3</v>
      </c>
    </row>
    <row r="44" spans="1:7">
      <c r="A44" s="492" t="s">
        <v>1142</v>
      </c>
      <c r="B44" s="792">
        <v>-247005401.68000001</v>
      </c>
      <c r="C44" s="684">
        <v>-247369905.63999999</v>
      </c>
      <c r="D44" s="658">
        <f t="shared" si="2"/>
        <v>-1.4735178034568364E-3</v>
      </c>
    </row>
    <row r="45" spans="1:7" ht="20.149999999999999" customHeight="1">
      <c r="A45" s="491" t="s">
        <v>1143</v>
      </c>
      <c r="B45" s="794">
        <v>86904725.450000003</v>
      </c>
      <c r="C45" s="685">
        <v>83237898.299999997</v>
      </c>
      <c r="D45" s="798">
        <f t="shared" si="2"/>
        <v>4.4052375479067152E-2</v>
      </c>
    </row>
    <row r="46" spans="1:7">
      <c r="A46" s="493" t="s">
        <v>1144</v>
      </c>
      <c r="B46" s="802">
        <v>61196195.340000004</v>
      </c>
      <c r="C46" s="803">
        <v>49646963.259999998</v>
      </c>
      <c r="D46" s="658">
        <f t="shared" si="2"/>
        <v>0.23262716028605701</v>
      </c>
    </row>
    <row r="47" spans="1:7">
      <c r="A47" s="490" t="s">
        <v>1145</v>
      </c>
      <c r="B47" s="802">
        <f>-'BILAN PAYSAGE'!K25/1000</f>
        <v>-37801415.35142</v>
      </c>
      <c r="C47" s="802">
        <f>-'BILAN PAYSAGE'!L25/1000-(15822261-16104068)</f>
        <v>-27013709.559580002</v>
      </c>
      <c r="D47" s="658">
        <f t="shared" si="2"/>
        <v>0.39934188853430919</v>
      </c>
      <c r="F47" s="744"/>
    </row>
    <row r="48" spans="1:7">
      <c r="A48" s="492" t="s">
        <v>1146</v>
      </c>
      <c r="B48" s="792">
        <f>B46+B47</f>
        <v>23394779.988580003</v>
      </c>
      <c r="C48" s="792">
        <f>C46+C47</f>
        <v>22633253.700419996</v>
      </c>
      <c r="D48" s="658">
        <f t="shared" si="2"/>
        <v>3.3646346134752925E-2</v>
      </c>
    </row>
    <row r="49" spans="1:7">
      <c r="A49" s="493" t="s">
        <v>1147</v>
      </c>
      <c r="B49" s="788">
        <v>0</v>
      </c>
      <c r="C49" s="640">
        <v>0</v>
      </c>
      <c r="D49" s="658"/>
    </row>
    <row r="50" spans="1:7">
      <c r="A50" s="490" t="s">
        <v>1148</v>
      </c>
      <c r="B50" s="788">
        <v>-0.01</v>
      </c>
      <c r="C50" s="640">
        <v>-281806.65000000002</v>
      </c>
      <c r="D50" s="658"/>
    </row>
    <row r="51" spans="1:7">
      <c r="A51" s="492" t="s">
        <v>1149</v>
      </c>
      <c r="B51" s="788">
        <v>-0.01</v>
      </c>
      <c r="C51" s="640">
        <v>-281806.65000000002</v>
      </c>
      <c r="D51" s="658"/>
    </row>
    <row r="52" spans="1:7" ht="20.149999999999999" customHeight="1">
      <c r="A52" s="491" t="s">
        <v>1150</v>
      </c>
      <c r="B52" s="794">
        <f>B48+B51</f>
        <v>23394779.978580002</v>
      </c>
      <c r="C52" s="794">
        <f>C48+C51</f>
        <v>22351447.050419997</v>
      </c>
      <c r="D52" s="799">
        <f t="shared" si="2"/>
        <v>4.6678540579787597E-2</v>
      </c>
      <c r="F52" s="744"/>
      <c r="G52" s="744"/>
    </row>
    <row r="53" spans="1:7">
      <c r="A53" s="470"/>
      <c r="B53" s="795"/>
      <c r="C53" s="551"/>
      <c r="D53" s="542"/>
      <c r="F53" s="744"/>
      <c r="G53" s="744"/>
    </row>
    <row r="54" spans="1:7" ht="20.149999999999999" customHeight="1">
      <c r="A54" s="491" t="s">
        <v>1548</v>
      </c>
      <c r="B54" s="794">
        <f>B45-B52-'BILAN PAYSAGE'!F30/1000</f>
        <v>11892038.708230004</v>
      </c>
      <c r="C54" s="794">
        <f>C45-C52-('BILAN PAYSAGE'!G30/1000-'BILAN PAYSAGE'!L30/1000)</f>
        <v>15822260.692079999</v>
      </c>
      <c r="D54" s="799">
        <f t="shared" si="2"/>
        <v>-0.2483982573879161</v>
      </c>
      <c r="F54" s="744"/>
      <c r="G54" s="744"/>
    </row>
    <row r="55" spans="1:7">
      <c r="A55" s="470" t="s">
        <v>1151</v>
      </c>
      <c r="B55" s="788">
        <v>11892038.699999999</v>
      </c>
      <c r="C55" s="625">
        <v>15822261.050000001</v>
      </c>
      <c r="D55" s="658">
        <f t="shared" si="2"/>
        <v>-0.24839827491027278</v>
      </c>
      <c r="F55" s="744"/>
      <c r="G55" s="744"/>
    </row>
    <row r="56" spans="1:7" s="172" customFormat="1" ht="20.149999999999999" customHeight="1">
      <c r="A56" s="1189" t="s">
        <v>1152</v>
      </c>
      <c r="B56" s="1190"/>
      <c r="C56" s="1190"/>
      <c r="D56" s="1191"/>
      <c r="F56" s="23"/>
      <c r="G56" s="745"/>
    </row>
    <row r="57" spans="1:7">
      <c r="A57" s="494" t="s">
        <v>1153</v>
      </c>
      <c r="B57" s="684">
        <v>78240388</v>
      </c>
      <c r="C57" s="684">
        <v>58329191</v>
      </c>
      <c r="D57" s="658">
        <f t="shared" si="2"/>
        <v>0.34135904610780554</v>
      </c>
      <c r="F57" s="23"/>
      <c r="G57" s="744"/>
    </row>
    <row r="58" spans="1:7">
      <c r="A58" s="492" t="s">
        <v>1154</v>
      </c>
      <c r="B58" s="684">
        <v>-22218408</v>
      </c>
      <c r="C58" s="684">
        <v>-10320732</v>
      </c>
      <c r="D58" s="658">
        <f t="shared" si="2"/>
        <v>1.1527938134620683</v>
      </c>
      <c r="F58" s="23"/>
      <c r="G58" s="744"/>
    </row>
    <row r="59" spans="1:7">
      <c r="A59" s="492" t="s">
        <v>1155</v>
      </c>
      <c r="B59" s="625">
        <v>-59952202</v>
      </c>
      <c r="C59" s="625">
        <v>-42808788</v>
      </c>
      <c r="D59" s="658">
        <f t="shared" si="2"/>
        <v>0.40046482979149056</v>
      </c>
      <c r="F59" s="23"/>
      <c r="G59" s="744"/>
    </row>
    <row r="60" spans="1:7" ht="20.149999999999999" customHeight="1">
      <c r="A60" s="491" t="s">
        <v>1156</v>
      </c>
      <c r="B60" s="685">
        <f>SUM(B57:B59)</f>
        <v>-3930222</v>
      </c>
      <c r="C60" s="685">
        <f>SUM(C57:C59)</f>
        <v>5199671</v>
      </c>
      <c r="D60" s="799">
        <f t="shared" si="2"/>
        <v>-1.7558597457416054</v>
      </c>
      <c r="F60" s="744"/>
      <c r="G60" s="744"/>
    </row>
    <row r="61" spans="1:7" s="172" customFormat="1" ht="20.149999999999999" customHeight="1">
      <c r="A61" s="1189" t="s">
        <v>1157</v>
      </c>
      <c r="B61" s="1190"/>
      <c r="C61" s="1190"/>
      <c r="D61" s="1191"/>
      <c r="F61" s="745"/>
      <c r="G61" s="745"/>
    </row>
    <row r="62" spans="1:7">
      <c r="A62" s="473" t="s">
        <v>1158</v>
      </c>
      <c r="B62" s="787">
        <v>299068856.07999998</v>
      </c>
      <c r="C62" s="684">
        <v>359708648</v>
      </c>
      <c r="D62" s="658">
        <f t="shared" ref="D62:D63" si="3">B62/C62-1</f>
        <v>-0.16858030035463589</v>
      </c>
      <c r="F62" s="744"/>
      <c r="G62" s="744"/>
    </row>
    <row r="63" spans="1:7" ht="25.15" customHeight="1">
      <c r="A63" s="495" t="s">
        <v>1159</v>
      </c>
      <c r="B63" s="686">
        <v>287041825.63999999</v>
      </c>
      <c r="C63" s="686">
        <v>343886387</v>
      </c>
      <c r="D63" s="800">
        <f t="shared" si="3"/>
        <v>-0.16530041173162235</v>
      </c>
    </row>
    <row r="64" spans="1:7">
      <c r="A64" s="226" t="s">
        <v>1160</v>
      </c>
    </row>
    <row r="65" spans="1:1">
      <c r="A65" s="226" t="s">
        <v>1161</v>
      </c>
    </row>
    <row r="66" spans="1:1">
      <c r="A66" s="191" t="s">
        <v>1162</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F10:F19 B62:C63 D9 D19 B9:C19 B55:C55" xr:uid="{00000000-0002-0000-3600-000000000000}">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F20:F36 B20:C36" xr:uid="{00000000-0002-0000-3600-000001000000}">
      <formula1>0</formula1>
    </dataValidation>
    <dataValidation type="whole" operator="notEqual" allowBlank="1" showInputMessage="1" showErrorMessage="1" sqref="B41:C46 B49:C51" xr:uid="{00000000-0002-0000-3600-000002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xr:uid="{00000000-0002-0000-3600-000003000000}">
      <formula1>0</formula1>
    </dataValidation>
  </dataValidations>
  <pageMargins left="0.74803149606299202" right="0.74803149606299202" top="0.98425196850393704" bottom="0.98425196850393704" header="0.511811023622047" footer="0.511811023622047"/>
  <pageSetup paperSize="9" scale="69" orientation="portrait" r:id="rId1"/>
  <headerFooter>
    <oddFooter>&amp;L&amp;"Helvetica,Regular"&amp;12&amp;K000000	&amp;P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83A74-FFA2-45DD-824C-532F1D21824B}">
  <sheetPr>
    <tabColor rgb="FF92D050"/>
    <pageSetUpPr fitToPage="1"/>
  </sheetPr>
  <dimension ref="A1:F23"/>
  <sheetViews>
    <sheetView zoomScaleNormal="100" workbookViewId="0">
      <selection activeCell="H39" sqref="H39"/>
    </sheetView>
  </sheetViews>
  <sheetFormatPr baseColWidth="10" defaultColWidth="10.69921875" defaultRowHeight="13"/>
  <cols>
    <col min="1" max="1" customWidth="true" style="720" width="102.19921875" collapsed="true"/>
    <col min="2" max="16384" style="720" width="10.69921875" collapsed="true"/>
  </cols>
  <sheetData>
    <row r="1" spans="1:6" ht="37.15" customHeight="1">
      <c r="A1" s="1200" t="s">
        <v>1163</v>
      </c>
      <c r="B1" s="1201"/>
      <c r="C1" s="1201"/>
      <c r="D1" s="1201"/>
    </row>
    <row r="2" spans="1:6">
      <c r="A2" s="721"/>
    </row>
    <row r="3" spans="1:6" s="723" customFormat="1" ht="12.75" customHeight="1">
      <c r="A3" s="722" t="s">
        <v>486</v>
      </c>
      <c r="B3" s="1202" t="s">
        <v>487</v>
      </c>
      <c r="C3" s="1203">
        <v>44926</v>
      </c>
      <c r="D3" s="1204"/>
    </row>
    <row r="4" spans="1:6" s="723" customFormat="1" ht="15" customHeight="1">
      <c r="A4" s="724" t="s">
        <v>1423</v>
      </c>
      <c r="B4" s="1202"/>
      <c r="C4" s="1204"/>
      <c r="D4" s="1204"/>
    </row>
    <row r="5" spans="1:6" s="723" customFormat="1" ht="15" customHeight="1">
      <c r="A5" s="723" t="s">
        <v>489</v>
      </c>
      <c r="B5" s="1202" t="s">
        <v>488</v>
      </c>
      <c r="C5" s="1206">
        <v>12</v>
      </c>
      <c r="D5" s="725"/>
    </row>
    <row r="6" spans="1:6" s="723" customFormat="1" ht="15" customHeight="1">
      <c r="A6" s="726" t="s">
        <v>1426</v>
      </c>
      <c r="B6" s="1205"/>
      <c r="C6" s="1207"/>
      <c r="D6" s="727"/>
      <c r="E6" s="728"/>
      <c r="F6" s="728"/>
    </row>
    <row r="7" spans="1:6">
      <c r="A7" s="723"/>
    </row>
    <row r="8" spans="1:6">
      <c r="A8" s="729" t="s">
        <v>1164</v>
      </c>
    </row>
    <row r="9" spans="1:6">
      <c r="A9" s="730" t="s">
        <v>1165</v>
      </c>
      <c r="B9" s="731"/>
      <c r="C9" s="731"/>
      <c r="D9" s="732"/>
    </row>
    <row r="10" spans="1:6">
      <c r="A10" s="1197" t="s">
        <v>1166</v>
      </c>
      <c r="B10" s="1198"/>
      <c r="C10" s="1198"/>
      <c r="D10" s="1199"/>
    </row>
    <row r="11" spans="1:6" ht="60.75" customHeight="1">
      <c r="A11" s="1208" t="s">
        <v>1531</v>
      </c>
      <c r="B11" s="1209"/>
      <c r="C11" s="1209"/>
      <c r="D11" s="1210"/>
    </row>
    <row r="12" spans="1:6" ht="21.65" customHeight="1">
      <c r="A12" s="1211" t="s">
        <v>1532</v>
      </c>
      <c r="B12" s="1212"/>
      <c r="C12" s="1212"/>
      <c r="D12" s="1213"/>
    </row>
    <row r="13" spans="1:6" ht="60" customHeight="1">
      <c r="A13" s="1208" t="s">
        <v>1533</v>
      </c>
      <c r="B13" s="1209"/>
      <c r="C13" s="1209"/>
      <c r="D13" s="1210"/>
    </row>
    <row r="14" spans="1:6" ht="49.5" customHeight="1">
      <c r="A14" s="1208" t="s">
        <v>1514</v>
      </c>
      <c r="B14" s="1209"/>
      <c r="C14" s="1209"/>
      <c r="D14" s="1210"/>
    </row>
    <row r="15" spans="1:6" ht="44.15" customHeight="1">
      <c r="A15" s="1211" t="s">
        <v>1515</v>
      </c>
      <c r="B15" s="1212"/>
      <c r="C15" s="1212"/>
      <c r="D15" s="1213"/>
    </row>
    <row r="16" spans="1:6">
      <c r="A16" s="1197" t="s">
        <v>1167</v>
      </c>
      <c r="B16" s="1198"/>
      <c r="C16" s="1198"/>
      <c r="D16" s="1199"/>
    </row>
    <row r="17" spans="1:4" ht="85" customHeight="1">
      <c r="A17" s="1211" t="s">
        <v>1534</v>
      </c>
      <c r="B17" s="1212"/>
      <c r="C17" s="1212"/>
      <c r="D17" s="1213"/>
    </row>
    <row r="18" spans="1:4" ht="32.15" customHeight="1">
      <c r="A18" s="1211" t="s">
        <v>1516</v>
      </c>
      <c r="B18" s="1212"/>
      <c r="C18" s="1212"/>
      <c r="D18" s="1213"/>
    </row>
    <row r="19" spans="1:4" ht="128.15" customHeight="1">
      <c r="A19" s="1217" t="s">
        <v>1536</v>
      </c>
      <c r="B19" s="1218"/>
      <c r="C19" s="1218"/>
      <c r="D19" s="1219"/>
    </row>
    <row r="20" spans="1:4">
      <c r="A20" s="733" t="s">
        <v>1168</v>
      </c>
      <c r="B20" s="734"/>
      <c r="C20" s="734"/>
      <c r="D20" s="735"/>
    </row>
    <row r="21" spans="1:4" ht="113.5" customHeight="1">
      <c r="A21" s="1208" t="s">
        <v>1535</v>
      </c>
      <c r="B21" s="1209"/>
      <c r="C21" s="1209"/>
      <c r="D21" s="1210"/>
    </row>
    <row r="22" spans="1:4" ht="52.15" customHeight="1">
      <c r="A22" s="1211"/>
      <c r="B22" s="1212"/>
      <c r="C22" s="1212"/>
      <c r="D22" s="1213"/>
    </row>
    <row r="23" spans="1:4" ht="25.9" customHeight="1">
      <c r="A23" s="1214"/>
      <c r="B23" s="1215"/>
      <c r="C23" s="1215"/>
      <c r="D23" s="1216"/>
    </row>
  </sheetData>
  <sheetProtection sheet="false"/>
  <mergeCells count="18">
    <mergeCell ref="A22:D22"/>
    <mergeCell ref="A23:D23"/>
    <mergeCell ref="A17:D17"/>
    <mergeCell ref="A18:D18"/>
    <mergeCell ref="A19:D19"/>
    <mergeCell ref="A21:D21"/>
    <mergeCell ref="A16:D16"/>
    <mergeCell ref="A1:D1"/>
    <mergeCell ref="B3:B4"/>
    <mergeCell ref="C3:D4"/>
    <mergeCell ref="B5:B6"/>
    <mergeCell ref="C5:C6"/>
    <mergeCell ref="A10:D10"/>
    <mergeCell ref="A11:D11"/>
    <mergeCell ref="A12:D12"/>
    <mergeCell ref="A13:D13"/>
    <mergeCell ref="A14:D14"/>
    <mergeCell ref="A15:D15"/>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AL59"/>
  <sheetViews>
    <sheetView topLeftCell="A39" workbookViewId="0">
      <selection activeCell="H39" sqref="H39"/>
    </sheetView>
  </sheetViews>
  <sheetFormatPr baseColWidth="10" defaultColWidth="12" defaultRowHeight="13"/>
  <cols>
    <col min="1" max="1" customWidth="true" style="222" width="35.5" collapsed="true"/>
    <col min="2" max="7" customWidth="true" style="222" width="2.796875" collapsed="true"/>
    <col min="8" max="8" bestFit="true" customWidth="true" style="222" width="31.0" collapsed="true"/>
    <col min="9" max="14" customWidth="true" style="222" width="2.796875" collapsed="true"/>
    <col min="15" max="16384" style="222" width="12.0" collapsed="true"/>
  </cols>
  <sheetData>
    <row r="1" spans="1:14" ht="18.75" customHeight="1">
      <c r="A1" s="1220" t="s">
        <v>1169</v>
      </c>
      <c r="B1" s="1221"/>
      <c r="C1" s="1221"/>
      <c r="D1" s="1221"/>
      <c r="E1" s="1221"/>
      <c r="F1" s="1221"/>
      <c r="G1" s="1221"/>
      <c r="H1" s="1221"/>
      <c r="I1" s="1221"/>
      <c r="J1" s="1221"/>
      <c r="K1" s="1221"/>
      <c r="L1" s="1221"/>
      <c r="M1" s="1221"/>
      <c r="N1" s="1221"/>
    </row>
    <row r="4" spans="1:14">
      <c r="H4" s="223"/>
      <c r="I4" s="223"/>
      <c r="J4" s="223"/>
      <c r="K4" s="223"/>
      <c r="L4" s="223"/>
      <c r="M4" s="223"/>
    </row>
    <row r="5" spans="1:14">
      <c r="A5" s="227"/>
      <c r="B5" s="228"/>
      <c r="C5" s="228"/>
      <c r="D5" s="228"/>
      <c r="E5" s="228"/>
      <c r="F5" s="228"/>
      <c r="G5" s="229"/>
      <c r="H5" s="227"/>
      <c r="I5" s="228"/>
      <c r="J5" s="228"/>
      <c r="K5" s="228"/>
      <c r="L5" s="228"/>
      <c r="M5" s="230"/>
      <c r="N5" s="229"/>
    </row>
    <row r="6" spans="1:14" ht="15" customHeight="1">
      <c r="A6" s="1222" t="s">
        <v>1170</v>
      </c>
      <c r="B6" s="1223"/>
      <c r="C6" s="1223"/>
      <c r="D6" s="1223"/>
      <c r="E6" s="1223"/>
      <c r="F6" s="1223"/>
      <c r="G6" s="1224"/>
      <c r="H6" s="1222" t="s">
        <v>1171</v>
      </c>
      <c r="I6" s="1223"/>
      <c r="J6" s="1223"/>
      <c r="K6" s="1223"/>
      <c r="L6" s="1223"/>
      <c r="M6" s="1223"/>
      <c r="N6" s="1224"/>
    </row>
    <row r="7" spans="1:14">
      <c r="A7" s="231"/>
      <c r="B7" s="223"/>
      <c r="C7" s="223"/>
      <c r="D7" s="223"/>
      <c r="E7" s="223"/>
      <c r="F7" s="223"/>
      <c r="G7" s="232"/>
      <c r="H7" s="231"/>
      <c r="I7" s="223"/>
      <c r="J7" s="223"/>
      <c r="K7" s="223"/>
      <c r="L7" s="223"/>
      <c r="M7" s="223"/>
      <c r="N7" s="232"/>
    </row>
    <row r="8" spans="1:14">
      <c r="A8" s="233" t="s">
        <v>1172</v>
      </c>
      <c r="B8" s="223"/>
      <c r="C8" s="344">
        <v>0</v>
      </c>
      <c r="D8" s="344"/>
      <c r="E8" s="223"/>
      <c r="F8" s="344">
        <v>0</v>
      </c>
      <c r="G8" s="232"/>
      <c r="H8" s="233" t="s">
        <v>1173</v>
      </c>
      <c r="I8" s="223"/>
      <c r="J8" s="223"/>
      <c r="K8" s="344"/>
      <c r="L8" s="223"/>
      <c r="M8" s="223"/>
      <c r="N8" s="232"/>
    </row>
    <row r="9" spans="1:14">
      <c r="A9" s="233"/>
      <c r="B9" s="223"/>
      <c r="C9" s="223"/>
      <c r="D9" s="223"/>
      <c r="E9" s="223"/>
      <c r="F9" s="223"/>
      <c r="G9" s="232"/>
      <c r="H9" s="233"/>
      <c r="I9" s="223"/>
      <c r="J9" s="223"/>
      <c r="K9" s="223"/>
      <c r="L9" s="223"/>
      <c r="M9" s="223"/>
      <c r="N9" s="232"/>
    </row>
    <row r="10" spans="1:14">
      <c r="A10" s="233" t="s">
        <v>1174</v>
      </c>
      <c r="B10" s="223"/>
      <c r="C10" s="344">
        <v>0</v>
      </c>
      <c r="D10" s="344"/>
      <c r="E10" s="223"/>
      <c r="F10" s="344">
        <v>1</v>
      </c>
      <c r="G10" s="232"/>
      <c r="H10" s="233" t="s">
        <v>1175</v>
      </c>
      <c r="I10" s="223"/>
      <c r="J10" s="344">
        <v>2</v>
      </c>
      <c r="K10" s="344"/>
      <c r="L10" s="223"/>
      <c r="M10" s="344">
        <v>1</v>
      </c>
      <c r="N10" s="232"/>
    </row>
    <row r="11" spans="1:14">
      <c r="A11" s="233"/>
      <c r="B11" s="223"/>
      <c r="C11" s="223"/>
      <c r="D11" s="223"/>
      <c r="E11" s="223"/>
      <c r="F11" s="223"/>
      <c r="G11" s="232"/>
      <c r="H11" s="233"/>
      <c r="I11" s="223"/>
      <c r="J11" s="223"/>
      <c r="K11" s="223"/>
      <c r="L11" s="223"/>
      <c r="M11" s="223"/>
      <c r="N11" s="232"/>
    </row>
    <row r="12" spans="1:14">
      <c r="A12" s="233" t="s">
        <v>1176</v>
      </c>
      <c r="B12" s="223"/>
      <c r="C12" s="344">
        <v>0</v>
      </c>
      <c r="D12" s="344"/>
      <c r="E12" s="223"/>
      <c r="F12" s="344">
        <v>2</v>
      </c>
      <c r="G12" s="232"/>
      <c r="H12" s="233" t="s">
        <v>1177</v>
      </c>
      <c r="I12" s="223"/>
      <c r="J12" s="344">
        <v>2</v>
      </c>
      <c r="K12" s="344"/>
      <c r="L12" s="223"/>
      <c r="M12" s="344">
        <v>3</v>
      </c>
      <c r="N12" s="232"/>
    </row>
    <row r="13" spans="1:14">
      <c r="A13" s="233"/>
      <c r="B13" s="223"/>
      <c r="C13" s="223"/>
      <c r="D13" s="223"/>
      <c r="E13" s="223"/>
      <c r="F13" s="223"/>
      <c r="G13" s="232"/>
      <c r="H13" s="233"/>
      <c r="I13" s="223"/>
      <c r="J13" s="223"/>
      <c r="K13" s="223"/>
      <c r="L13" s="223"/>
      <c r="M13" s="223"/>
      <c r="N13" s="232"/>
    </row>
    <row r="14" spans="1:14">
      <c r="A14" s="233" t="s">
        <v>1178</v>
      </c>
      <c r="B14" s="223"/>
      <c r="C14" s="344">
        <v>0</v>
      </c>
      <c r="D14" s="344"/>
      <c r="E14" s="223"/>
      <c r="F14" s="344">
        <v>3</v>
      </c>
      <c r="G14" s="232"/>
      <c r="H14" s="233" t="s">
        <v>1179</v>
      </c>
      <c r="I14" s="223"/>
      <c r="J14" s="344">
        <v>3</v>
      </c>
      <c r="K14" s="344"/>
      <c r="L14" s="223"/>
      <c r="M14" s="344">
        <v>9</v>
      </c>
      <c r="N14" s="232"/>
    </row>
    <row r="15" spans="1:14">
      <c r="A15" s="233"/>
      <c r="B15" s="223"/>
      <c r="C15" s="223"/>
      <c r="D15" s="223"/>
      <c r="E15" s="223"/>
      <c r="F15" s="223"/>
      <c r="G15" s="232"/>
      <c r="H15" s="233"/>
      <c r="I15" s="223"/>
      <c r="J15" s="223"/>
      <c r="K15" s="223"/>
      <c r="L15" s="223"/>
      <c r="M15" s="223"/>
      <c r="N15" s="232"/>
    </row>
    <row r="16" spans="1:14">
      <c r="A16" s="233" t="s">
        <v>1180</v>
      </c>
      <c r="B16" s="223"/>
      <c r="C16" s="344">
        <v>0</v>
      </c>
      <c r="D16" s="344"/>
      <c r="E16" s="223"/>
      <c r="F16" s="344">
        <v>4</v>
      </c>
      <c r="G16" s="232"/>
      <c r="H16" s="233" t="s">
        <v>1181</v>
      </c>
      <c r="I16" s="223"/>
      <c r="J16" s="344">
        <v>4</v>
      </c>
      <c r="K16" s="344"/>
      <c r="L16" s="223"/>
      <c r="M16" s="344">
        <v>0</v>
      </c>
      <c r="N16" s="232"/>
    </row>
    <row r="17" spans="1:14">
      <c r="A17" s="233"/>
      <c r="B17" s="223"/>
      <c r="C17" s="223"/>
      <c r="D17" s="223"/>
      <c r="E17" s="223"/>
      <c r="F17" s="223"/>
      <c r="G17" s="232"/>
      <c r="H17" s="233"/>
      <c r="I17" s="223"/>
      <c r="J17" s="223"/>
      <c r="K17" s="223"/>
      <c r="L17" s="223"/>
      <c r="M17" s="223"/>
      <c r="N17" s="232"/>
    </row>
    <row r="18" spans="1:14">
      <c r="A18" s="233" t="s">
        <v>1182</v>
      </c>
      <c r="B18" s="223"/>
      <c r="C18" s="344">
        <v>0</v>
      </c>
      <c r="D18" s="344"/>
      <c r="E18" s="223"/>
      <c r="F18" s="344">
        <v>5</v>
      </c>
      <c r="G18" s="232"/>
      <c r="H18" s="233" t="s">
        <v>1183</v>
      </c>
      <c r="I18" s="223"/>
      <c r="J18" s="344">
        <v>4</v>
      </c>
      <c r="K18" s="344"/>
      <c r="L18" s="223"/>
      <c r="M18" s="344">
        <v>1</v>
      </c>
      <c r="N18" s="232"/>
    </row>
    <row r="19" spans="1:14">
      <c r="A19" s="233"/>
      <c r="B19" s="223"/>
      <c r="C19" s="223"/>
      <c r="D19" s="223"/>
      <c r="E19" s="223"/>
      <c r="F19" s="223"/>
      <c r="G19" s="232"/>
      <c r="H19" s="233"/>
      <c r="I19" s="223"/>
      <c r="J19" s="223"/>
      <c r="K19" s="223"/>
      <c r="L19" s="223"/>
      <c r="M19" s="223"/>
      <c r="N19" s="232"/>
    </row>
    <row r="20" spans="1:14">
      <c r="A20" s="233" t="s">
        <v>1184</v>
      </c>
      <c r="B20" s="223"/>
      <c r="C20" s="344">
        <v>0</v>
      </c>
      <c r="D20" s="344"/>
      <c r="E20" s="223"/>
      <c r="F20" s="344">
        <v>6</v>
      </c>
      <c r="G20" s="232"/>
      <c r="H20" s="233" t="s">
        <v>1185</v>
      </c>
      <c r="I20" s="223"/>
      <c r="J20" s="344">
        <v>4</v>
      </c>
      <c r="K20" s="344"/>
      <c r="L20" s="223"/>
      <c r="M20" s="344">
        <v>9</v>
      </c>
      <c r="N20" s="232"/>
    </row>
    <row r="21" spans="1:14">
      <c r="A21" s="233"/>
      <c r="B21" s="223"/>
      <c r="C21" s="223"/>
      <c r="D21" s="223"/>
      <c r="E21" s="223"/>
      <c r="F21" s="223"/>
      <c r="G21" s="232"/>
      <c r="H21" s="233"/>
      <c r="I21" s="223"/>
      <c r="J21" s="223"/>
      <c r="K21" s="223"/>
      <c r="L21" s="223"/>
      <c r="M21" s="223"/>
      <c r="N21" s="232"/>
    </row>
    <row r="22" spans="1:14">
      <c r="A22" s="233" t="s">
        <v>1186</v>
      </c>
      <c r="B22" s="223"/>
      <c r="C22" s="344">
        <v>0</v>
      </c>
      <c r="D22" s="344"/>
      <c r="E22" s="223"/>
      <c r="F22" s="344">
        <v>7</v>
      </c>
      <c r="G22" s="232"/>
      <c r="H22" s="233" t="s">
        <v>1187</v>
      </c>
      <c r="I22" s="223"/>
      <c r="J22" s="344">
        <v>5</v>
      </c>
      <c r="K22" s="344"/>
      <c r="L22" s="223"/>
      <c r="M22" s="344">
        <v>0</v>
      </c>
      <c r="N22" s="232"/>
    </row>
    <row r="23" spans="1:14">
      <c r="A23" s="233"/>
      <c r="B23" s="223"/>
      <c r="C23" s="344"/>
      <c r="D23" s="344"/>
      <c r="E23" s="223"/>
      <c r="F23" s="344"/>
      <c r="G23" s="232"/>
      <c r="H23" s="233"/>
      <c r="I23" s="223"/>
      <c r="J23" s="344"/>
      <c r="K23" s="344"/>
      <c r="L23" s="223"/>
      <c r="M23" s="344"/>
      <c r="N23" s="232"/>
    </row>
    <row r="24" spans="1:14">
      <c r="A24" s="233" t="s">
        <v>1188</v>
      </c>
      <c r="B24" s="223"/>
      <c r="C24" s="344">
        <v>0</v>
      </c>
      <c r="D24" s="344"/>
      <c r="E24" s="223"/>
      <c r="F24" s="344">
        <v>8</v>
      </c>
      <c r="G24" s="232"/>
      <c r="H24" s="233" t="s">
        <v>1189</v>
      </c>
      <c r="I24" s="223"/>
      <c r="J24" s="344">
        <v>9</v>
      </c>
      <c r="K24" s="344"/>
      <c r="L24" s="223"/>
      <c r="M24" s="344">
        <v>9</v>
      </c>
      <c r="N24" s="232"/>
    </row>
    <row r="25" spans="1:14">
      <c r="A25" s="233"/>
      <c r="B25" s="223"/>
      <c r="C25" s="223"/>
      <c r="D25" s="223"/>
      <c r="E25" s="223"/>
      <c r="F25" s="223"/>
      <c r="G25" s="232"/>
      <c r="H25" s="233"/>
      <c r="I25" s="223"/>
      <c r="J25" s="223"/>
      <c r="K25" s="223"/>
      <c r="L25" s="223"/>
      <c r="M25" s="223"/>
      <c r="N25" s="232"/>
    </row>
    <row r="26" spans="1:14">
      <c r="A26" s="233" t="s">
        <v>1190</v>
      </c>
      <c r="B26" s="223"/>
      <c r="C26" s="344">
        <v>0</v>
      </c>
      <c r="D26" s="344"/>
      <c r="E26" s="223"/>
      <c r="F26" s="344">
        <v>9</v>
      </c>
      <c r="G26" s="232"/>
      <c r="H26" s="233"/>
      <c r="I26" s="223"/>
      <c r="J26" s="344"/>
      <c r="K26" s="344"/>
      <c r="L26" s="223"/>
      <c r="M26" s="344"/>
      <c r="N26" s="232"/>
    </row>
    <row r="27" spans="1:14">
      <c r="A27" s="233"/>
      <c r="B27" s="223"/>
      <c r="C27" s="344"/>
      <c r="D27" s="344"/>
      <c r="E27" s="223"/>
      <c r="F27" s="344"/>
      <c r="G27" s="232"/>
      <c r="H27" s="233"/>
      <c r="I27" s="223"/>
      <c r="J27" s="344"/>
      <c r="K27" s="344"/>
      <c r="L27" s="223"/>
      <c r="M27" s="344"/>
      <c r="N27" s="232"/>
    </row>
    <row r="28" spans="1:14">
      <c r="A28" s="234" t="s">
        <v>1191</v>
      </c>
      <c r="B28" s="223"/>
      <c r="C28" s="344"/>
      <c r="D28" s="344"/>
      <c r="E28" s="223"/>
      <c r="F28" s="344"/>
      <c r="G28" s="232"/>
      <c r="H28" s="233"/>
      <c r="I28" s="223"/>
      <c r="J28" s="344"/>
      <c r="K28" s="344"/>
      <c r="L28" s="223"/>
      <c r="M28" s="344"/>
      <c r="N28" s="232"/>
    </row>
    <row r="29" spans="1:14">
      <c r="A29" s="233"/>
      <c r="B29" s="223"/>
      <c r="C29" s="344"/>
      <c r="D29" s="344"/>
      <c r="E29" s="223"/>
      <c r="F29" s="344"/>
      <c r="G29" s="232"/>
      <c r="H29" s="233"/>
      <c r="I29" s="223"/>
      <c r="J29" s="223"/>
      <c r="K29" s="223"/>
      <c r="L29" s="223"/>
      <c r="M29" s="223"/>
      <c r="N29" s="232"/>
    </row>
    <row r="30" spans="1:14">
      <c r="A30" s="233" t="s">
        <v>1192</v>
      </c>
      <c r="B30" s="223"/>
      <c r="C30" s="344"/>
      <c r="D30" s="344"/>
      <c r="E30" s="223"/>
      <c r="F30" s="344">
        <v>1</v>
      </c>
      <c r="G30" s="232"/>
      <c r="H30" s="233"/>
      <c r="I30" s="223"/>
      <c r="J30" s="344"/>
      <c r="K30" s="344"/>
      <c r="L30" s="223"/>
      <c r="M30" s="344"/>
      <c r="N30" s="232"/>
    </row>
    <row r="31" spans="1:14">
      <c r="A31" s="233"/>
      <c r="B31" s="223"/>
      <c r="C31" s="344"/>
      <c r="D31" s="344"/>
      <c r="E31" s="223"/>
      <c r="F31" s="223"/>
      <c r="G31" s="232"/>
      <c r="H31" s="233"/>
      <c r="I31" s="223"/>
      <c r="J31" s="223"/>
      <c r="K31" s="223"/>
      <c r="L31" s="223"/>
      <c r="M31" s="223"/>
      <c r="N31" s="232"/>
    </row>
    <row r="32" spans="1:14">
      <c r="A32" s="233" t="s">
        <v>1193</v>
      </c>
      <c r="B32" s="223"/>
      <c r="C32" s="344"/>
      <c r="D32" s="344"/>
      <c r="E32" s="223"/>
      <c r="F32" s="344">
        <v>2</v>
      </c>
      <c r="G32" s="232"/>
      <c r="H32" s="233"/>
      <c r="I32" s="223"/>
      <c r="J32" s="344"/>
      <c r="K32" s="344"/>
      <c r="L32" s="223"/>
      <c r="M32" s="344"/>
      <c r="N32" s="232"/>
    </row>
    <row r="33" spans="1:38">
      <c r="A33" s="233"/>
      <c r="B33" s="223"/>
      <c r="C33" s="344"/>
      <c r="D33" s="344"/>
      <c r="E33" s="223"/>
      <c r="F33" s="223"/>
      <c r="G33" s="232"/>
      <c r="H33" s="231"/>
      <c r="I33" s="223"/>
      <c r="J33" s="223"/>
      <c r="K33" s="223"/>
      <c r="L33" s="223"/>
      <c r="M33" s="223"/>
      <c r="N33" s="232"/>
    </row>
    <row r="34" spans="1:38">
      <c r="A34" s="233" t="s">
        <v>1194</v>
      </c>
      <c r="B34" s="223"/>
      <c r="C34" s="344"/>
      <c r="D34" s="344"/>
      <c r="E34" s="223"/>
      <c r="F34" s="344">
        <v>3</v>
      </c>
      <c r="G34" s="232"/>
      <c r="H34" s="231"/>
      <c r="I34" s="223"/>
      <c r="J34" s="223"/>
      <c r="K34" s="223"/>
      <c r="L34" s="223"/>
      <c r="M34" s="223"/>
      <c r="N34" s="232"/>
    </row>
    <row r="35" spans="1:38" ht="18" customHeight="1">
      <c r="A35" s="231"/>
      <c r="B35" s="223"/>
      <c r="C35" s="223"/>
      <c r="D35" s="223"/>
      <c r="E35" s="223"/>
      <c r="F35" s="223"/>
      <c r="G35" s="232"/>
      <c r="H35" s="231"/>
      <c r="I35" s="235"/>
      <c r="J35" s="235"/>
      <c r="K35" s="235"/>
      <c r="L35" s="235"/>
      <c r="M35" s="235"/>
      <c r="N35" s="236"/>
      <c r="O35" s="237"/>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row>
    <row r="36" spans="1:38">
      <c r="A36" s="231" t="s">
        <v>1195</v>
      </c>
      <c r="B36" s="223"/>
      <c r="C36" s="223"/>
      <c r="D36" s="223"/>
      <c r="E36" s="223"/>
      <c r="F36" s="344">
        <v>4</v>
      </c>
      <c r="G36" s="232"/>
      <c r="H36" s="231"/>
      <c r="I36" s="223"/>
      <c r="J36" s="223"/>
      <c r="K36" s="223"/>
      <c r="L36" s="223"/>
      <c r="M36" s="223"/>
      <c r="N36" s="232"/>
    </row>
    <row r="37" spans="1:38">
      <c r="A37" s="238"/>
      <c r="B37" s="239"/>
      <c r="C37" s="239"/>
      <c r="D37" s="239"/>
      <c r="E37" s="239"/>
      <c r="F37" s="239"/>
      <c r="G37" s="240"/>
      <c r="H37" s="238"/>
      <c r="I37" s="239"/>
      <c r="J37" s="239"/>
      <c r="K37" s="239"/>
      <c r="L37" s="239"/>
      <c r="M37" s="239"/>
      <c r="N37" s="240"/>
    </row>
    <row r="55" spans="1:10" ht="15" customHeight="1">
      <c r="A55" s="241" t="s">
        <v>1196</v>
      </c>
    </row>
    <row r="56" spans="1:10" ht="15" customHeight="1">
      <c r="A56" s="242" t="s">
        <v>1197</v>
      </c>
      <c r="B56" s="243"/>
      <c r="C56" s="243"/>
      <c r="D56" s="243"/>
      <c r="E56" s="243"/>
      <c r="F56" s="243"/>
    </row>
    <row r="57" spans="1:10">
      <c r="A57" s="244" t="s">
        <v>1198</v>
      </c>
    </row>
    <row r="58" spans="1:10">
      <c r="A58" s="245" t="s">
        <v>1199</v>
      </c>
      <c r="J58" s="246"/>
    </row>
    <row r="59" spans="1:10">
      <c r="C59" s="247"/>
    </row>
  </sheetData>
  <sheetProtection sheet="false"/>
  <mergeCells count="3">
    <mergeCell ref="A1:N1"/>
    <mergeCell ref="A6:G6"/>
    <mergeCell ref="H6:N6"/>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C86"/>
  <sheetViews>
    <sheetView topLeftCell="A62" workbookViewId="0">
      <selection activeCell="H39" sqref="H39"/>
    </sheetView>
  </sheetViews>
  <sheetFormatPr baseColWidth="10" defaultColWidth="10.69921875" defaultRowHeight="10.5"/>
  <cols>
    <col min="1" max="1" bestFit="true" customWidth="true" style="252" width="59.296875" collapsed="true"/>
    <col min="2" max="2" customWidth="true" style="252" width="8.69921875" collapsed="true"/>
    <col min="3" max="3" bestFit="true" customWidth="true" style="252" width="70.19921875" collapsed="true"/>
    <col min="4" max="16384" style="252" width="10.69921875" collapsed="true"/>
  </cols>
  <sheetData>
    <row r="1" spans="1:3" s="248" customFormat="1" ht="18" customHeight="1">
      <c r="A1" s="1221" t="s">
        <v>1200</v>
      </c>
      <c r="B1" s="1221"/>
      <c r="C1" s="1221"/>
    </row>
    <row r="2" spans="1:3" s="248" customFormat="1"/>
    <row r="3" spans="1:3" s="248" customFormat="1">
      <c r="A3" s="249"/>
      <c r="B3" s="249"/>
      <c r="C3" s="249"/>
    </row>
    <row r="4" spans="1:3">
      <c r="A4" s="250" t="s">
        <v>1201</v>
      </c>
      <c r="B4" s="1225"/>
      <c r="C4" s="251" t="s">
        <v>1202</v>
      </c>
    </row>
    <row r="5" spans="1:3">
      <c r="A5" s="253" t="s">
        <v>1203</v>
      </c>
      <c r="B5" s="1226"/>
      <c r="C5" s="254" t="s">
        <v>1204</v>
      </c>
    </row>
    <row r="6" spans="1:3">
      <c r="A6" s="253" t="s">
        <v>1205</v>
      </c>
      <c r="B6" s="1226"/>
      <c r="C6" s="254" t="s">
        <v>1206</v>
      </c>
    </row>
    <row r="7" spans="1:3">
      <c r="A7" s="253" t="s">
        <v>1207</v>
      </c>
      <c r="B7" s="1226"/>
      <c r="C7" s="254" t="s">
        <v>1208</v>
      </c>
    </row>
    <row r="8" spans="1:3">
      <c r="A8" s="253" t="s">
        <v>1209</v>
      </c>
      <c r="B8" s="1226"/>
      <c r="C8" s="255" t="s">
        <v>1210</v>
      </c>
    </row>
    <row r="9" spans="1:3">
      <c r="A9" s="253" t="s">
        <v>1211</v>
      </c>
      <c r="B9" s="1226"/>
      <c r="C9" s="256" t="s">
        <v>1212</v>
      </c>
    </row>
    <row r="10" spans="1:3">
      <c r="A10" s="253" t="s">
        <v>1213</v>
      </c>
      <c r="B10" s="1226"/>
      <c r="C10" s="254" t="s">
        <v>1214</v>
      </c>
    </row>
    <row r="11" spans="1:3">
      <c r="A11" s="257" t="s">
        <v>1215</v>
      </c>
      <c r="B11" s="1226"/>
      <c r="C11" s="254" t="s">
        <v>1216</v>
      </c>
    </row>
    <row r="12" spans="1:3">
      <c r="A12" s="253" t="s">
        <v>1217</v>
      </c>
      <c r="B12" s="1226"/>
      <c r="C12" s="254" t="s">
        <v>1218</v>
      </c>
    </row>
    <row r="13" spans="1:3">
      <c r="A13" s="253" t="s">
        <v>1219</v>
      </c>
      <c r="B13" s="1226"/>
      <c r="C13" s="255" t="s">
        <v>1220</v>
      </c>
    </row>
    <row r="14" spans="1:3">
      <c r="A14" s="253" t="s">
        <v>1221</v>
      </c>
      <c r="B14" s="1226"/>
      <c r="C14" s="254" t="s">
        <v>1222</v>
      </c>
    </row>
    <row r="15" spans="1:3">
      <c r="A15" s="253" t="s">
        <v>1223</v>
      </c>
      <c r="B15" s="1226"/>
      <c r="C15" s="254" t="s">
        <v>1224</v>
      </c>
    </row>
    <row r="16" spans="1:3">
      <c r="A16" s="253" t="s">
        <v>1225</v>
      </c>
      <c r="B16" s="1226"/>
      <c r="C16" s="255" t="s">
        <v>1226</v>
      </c>
    </row>
    <row r="17" spans="1:3">
      <c r="A17" s="253" t="s">
        <v>1227</v>
      </c>
      <c r="B17" s="1226"/>
      <c r="C17" s="254" t="s">
        <v>1228</v>
      </c>
    </row>
    <row r="18" spans="1:3">
      <c r="A18" s="253" t="s">
        <v>1229</v>
      </c>
      <c r="B18" s="1226"/>
      <c r="C18" s="254" t="s">
        <v>1230</v>
      </c>
    </row>
    <row r="19" spans="1:3">
      <c r="A19" s="253" t="s">
        <v>1231</v>
      </c>
      <c r="B19" s="1226"/>
      <c r="C19" s="254" t="s">
        <v>1232</v>
      </c>
    </row>
    <row r="20" spans="1:3">
      <c r="A20" s="253" t="s">
        <v>1233</v>
      </c>
      <c r="B20" s="1226"/>
      <c r="C20" s="255" t="s">
        <v>1234</v>
      </c>
    </row>
    <row r="21" spans="1:3">
      <c r="A21" s="253" t="s">
        <v>1235</v>
      </c>
      <c r="B21" s="1226"/>
      <c r="C21" s="255" t="s">
        <v>1236</v>
      </c>
    </row>
    <row r="22" spans="1:3">
      <c r="A22" s="253" t="s">
        <v>1237</v>
      </c>
      <c r="B22" s="1226"/>
      <c r="C22" s="254" t="s">
        <v>1238</v>
      </c>
    </row>
    <row r="23" spans="1:3">
      <c r="A23" s="257" t="s">
        <v>1239</v>
      </c>
      <c r="B23" s="1226"/>
      <c r="C23" s="254" t="s">
        <v>1240</v>
      </c>
    </row>
    <row r="24" spans="1:3">
      <c r="A24" s="253" t="s">
        <v>1241</v>
      </c>
      <c r="B24" s="1226"/>
      <c r="C24" s="255" t="s">
        <v>1242</v>
      </c>
    </row>
    <row r="25" spans="1:3">
      <c r="A25" s="253" t="s">
        <v>1243</v>
      </c>
      <c r="B25" s="1226"/>
      <c r="C25" s="254" t="s">
        <v>1244</v>
      </c>
    </row>
    <row r="26" spans="1:3">
      <c r="A26" s="253" t="s">
        <v>1245</v>
      </c>
      <c r="B26" s="1226"/>
      <c r="C26" s="254" t="s">
        <v>1246</v>
      </c>
    </row>
    <row r="27" spans="1:3">
      <c r="A27" s="253" t="s">
        <v>1247</v>
      </c>
      <c r="B27" s="1226"/>
      <c r="C27" s="256" t="s">
        <v>1248</v>
      </c>
    </row>
    <row r="28" spans="1:3">
      <c r="A28" s="253" t="s">
        <v>1249</v>
      </c>
      <c r="B28" s="1226"/>
      <c r="C28" s="254" t="s">
        <v>1250</v>
      </c>
    </row>
    <row r="29" spans="1:3">
      <c r="A29" s="257" t="s">
        <v>1251</v>
      </c>
      <c r="B29" s="1226"/>
      <c r="C29" s="254" t="s">
        <v>1252</v>
      </c>
    </row>
    <row r="30" spans="1:3">
      <c r="A30" s="253" t="s">
        <v>1253</v>
      </c>
      <c r="B30" s="1226"/>
      <c r="C30" s="255" t="s">
        <v>1254</v>
      </c>
    </row>
    <row r="31" spans="1:3">
      <c r="A31" s="253" t="s">
        <v>1255</v>
      </c>
      <c r="B31" s="1226"/>
      <c r="C31" s="254" t="s">
        <v>1256</v>
      </c>
    </row>
    <row r="32" spans="1:3">
      <c r="A32" s="257" t="s">
        <v>1257</v>
      </c>
      <c r="B32" s="1226"/>
      <c r="C32" s="254" t="s">
        <v>1258</v>
      </c>
    </row>
    <row r="33" spans="1:3">
      <c r="A33" s="253" t="s">
        <v>1259</v>
      </c>
      <c r="B33" s="1226"/>
      <c r="C33" s="254" t="s">
        <v>1260</v>
      </c>
    </row>
    <row r="34" spans="1:3">
      <c r="A34" s="253" t="s">
        <v>1261</v>
      </c>
      <c r="B34" s="1226"/>
      <c r="C34" s="256" t="s">
        <v>1262</v>
      </c>
    </row>
    <row r="35" spans="1:3">
      <c r="A35" s="257" t="s">
        <v>1263</v>
      </c>
      <c r="B35" s="1226"/>
      <c r="C35" s="254" t="s">
        <v>1264</v>
      </c>
    </row>
    <row r="36" spans="1:3">
      <c r="A36" s="253" t="s">
        <v>1265</v>
      </c>
      <c r="B36" s="1226"/>
      <c r="C36" s="254" t="s">
        <v>1266</v>
      </c>
    </row>
    <row r="37" spans="1:3">
      <c r="A37" s="253" t="s">
        <v>1267</v>
      </c>
      <c r="B37" s="1226"/>
      <c r="C37" s="256" t="s">
        <v>1268</v>
      </c>
    </row>
    <row r="38" spans="1:3">
      <c r="A38" s="257" t="s">
        <v>1269</v>
      </c>
      <c r="B38" s="1226"/>
      <c r="C38" s="254" t="s">
        <v>1270</v>
      </c>
    </row>
    <row r="39" spans="1:3">
      <c r="A39" s="253" t="s">
        <v>1271</v>
      </c>
      <c r="B39" s="1226"/>
      <c r="C39" s="254" t="s">
        <v>1272</v>
      </c>
    </row>
    <row r="40" spans="1:3">
      <c r="A40" s="253" t="s">
        <v>1273</v>
      </c>
      <c r="B40" s="1226"/>
      <c r="C40" s="254" t="s">
        <v>1274</v>
      </c>
    </row>
    <row r="41" spans="1:3">
      <c r="A41" s="257" t="s">
        <v>1275</v>
      </c>
      <c r="B41" s="1226"/>
      <c r="C41" s="256" t="s">
        <v>1276</v>
      </c>
    </row>
    <row r="42" spans="1:3">
      <c r="A42" s="253" t="s">
        <v>1277</v>
      </c>
      <c r="B42" s="1226"/>
      <c r="C42" s="254" t="s">
        <v>1278</v>
      </c>
    </row>
    <row r="43" spans="1:3">
      <c r="A43" s="257" t="s">
        <v>1279</v>
      </c>
      <c r="B43" s="1226"/>
      <c r="C43" s="254" t="s">
        <v>1280</v>
      </c>
    </row>
    <row r="44" spans="1:3">
      <c r="A44" s="253" t="s">
        <v>1281</v>
      </c>
      <c r="B44" s="1226"/>
      <c r="C44" s="256" t="s">
        <v>1282</v>
      </c>
    </row>
    <row r="45" spans="1:3">
      <c r="A45" s="253" t="s">
        <v>1283</v>
      </c>
      <c r="B45" s="1226"/>
      <c r="C45" s="258" t="s">
        <v>1284</v>
      </c>
    </row>
    <row r="46" spans="1:3">
      <c r="A46" s="257" t="s">
        <v>1285</v>
      </c>
      <c r="B46" s="1226"/>
      <c r="C46" s="254" t="s">
        <v>1286</v>
      </c>
    </row>
    <row r="47" spans="1:3">
      <c r="A47" s="253" t="s">
        <v>1287</v>
      </c>
      <c r="B47" s="1226"/>
      <c r="C47" s="255" t="s">
        <v>1288</v>
      </c>
    </row>
    <row r="48" spans="1:3">
      <c r="A48" s="253" t="s">
        <v>1289</v>
      </c>
      <c r="B48" s="1226"/>
      <c r="C48" s="254" t="s">
        <v>1290</v>
      </c>
    </row>
    <row r="49" spans="1:3">
      <c r="A49" s="257" t="s">
        <v>1291</v>
      </c>
      <c r="B49" s="1226"/>
      <c r="C49" s="254" t="s">
        <v>1292</v>
      </c>
    </row>
    <row r="50" spans="1:3">
      <c r="A50" s="253" t="s">
        <v>1293</v>
      </c>
      <c r="B50" s="1226"/>
      <c r="C50" s="254" t="s">
        <v>1294</v>
      </c>
    </row>
    <row r="51" spans="1:3">
      <c r="A51" s="253" t="s">
        <v>1295</v>
      </c>
      <c r="B51" s="1226"/>
      <c r="C51" s="254" t="s">
        <v>1296</v>
      </c>
    </row>
    <row r="52" spans="1:3">
      <c r="A52" s="257" t="s">
        <v>1297</v>
      </c>
      <c r="B52" s="1226"/>
      <c r="C52" s="254" t="s">
        <v>1298</v>
      </c>
    </row>
    <row r="53" spans="1:3">
      <c r="A53" s="253" t="s">
        <v>1299</v>
      </c>
      <c r="B53" s="1226"/>
      <c r="C53" s="255" t="s">
        <v>1300</v>
      </c>
    </row>
    <row r="54" spans="1:3">
      <c r="A54" s="257" t="s">
        <v>1301</v>
      </c>
      <c r="B54" s="1226"/>
      <c r="C54" s="258" t="s">
        <v>1302</v>
      </c>
    </row>
    <row r="55" spans="1:3">
      <c r="A55" s="257" t="s">
        <v>1303</v>
      </c>
      <c r="B55" s="1226"/>
      <c r="C55" s="254" t="s">
        <v>1304</v>
      </c>
    </row>
    <row r="56" spans="1:3">
      <c r="A56" s="253" t="s">
        <v>1305</v>
      </c>
      <c r="B56" s="1226"/>
      <c r="C56" s="255" t="s">
        <v>1306</v>
      </c>
    </row>
    <row r="57" spans="1:3">
      <c r="A57" s="253" t="s">
        <v>1307</v>
      </c>
      <c r="B57" s="1226"/>
      <c r="C57" s="254" t="s">
        <v>1308</v>
      </c>
    </row>
    <row r="58" spans="1:3">
      <c r="A58" s="253" t="s">
        <v>1309</v>
      </c>
      <c r="B58" s="1226"/>
      <c r="C58" s="254" t="s">
        <v>1310</v>
      </c>
    </row>
    <row r="59" spans="1:3">
      <c r="A59" s="257" t="s">
        <v>1311</v>
      </c>
      <c r="B59" s="1226"/>
      <c r="C59" s="254" t="s">
        <v>1312</v>
      </c>
    </row>
    <row r="60" spans="1:3">
      <c r="A60" s="253" t="s">
        <v>1313</v>
      </c>
      <c r="B60" s="1226"/>
      <c r="C60" s="255" t="s">
        <v>1314</v>
      </c>
    </row>
    <row r="61" spans="1:3">
      <c r="A61" s="253" t="s">
        <v>1315</v>
      </c>
      <c r="B61" s="1226"/>
      <c r="C61" s="254" t="s">
        <v>1316</v>
      </c>
    </row>
    <row r="62" spans="1:3">
      <c r="A62" s="253" t="s">
        <v>1317</v>
      </c>
      <c r="B62" s="1226"/>
      <c r="C62" s="254" t="s">
        <v>1318</v>
      </c>
    </row>
    <row r="63" spans="1:3">
      <c r="A63" s="257" t="s">
        <v>1319</v>
      </c>
      <c r="B63" s="1226"/>
      <c r="C63" s="255" t="s">
        <v>1320</v>
      </c>
    </row>
    <row r="64" spans="1:3">
      <c r="A64" s="253" t="s">
        <v>1321</v>
      </c>
      <c r="B64" s="1226"/>
      <c r="C64" s="254" t="s">
        <v>1322</v>
      </c>
    </row>
    <row r="65" spans="1:3">
      <c r="A65" s="257" t="s">
        <v>1323</v>
      </c>
      <c r="B65" s="1226"/>
      <c r="C65" s="254" t="s">
        <v>1324</v>
      </c>
    </row>
    <row r="66" spans="1:3">
      <c r="A66" s="253" t="s">
        <v>1325</v>
      </c>
      <c r="B66" s="1226"/>
      <c r="C66" s="254" t="s">
        <v>1326</v>
      </c>
    </row>
    <row r="67" spans="1:3">
      <c r="A67" s="253" t="s">
        <v>1327</v>
      </c>
      <c r="B67" s="1226"/>
      <c r="C67" s="255" t="s">
        <v>1328</v>
      </c>
    </row>
    <row r="68" spans="1:3">
      <c r="A68" s="257" t="s">
        <v>1329</v>
      </c>
      <c r="B68" s="1226"/>
      <c r="C68" s="254" t="s">
        <v>1330</v>
      </c>
    </row>
    <row r="69" spans="1:3">
      <c r="A69" s="253" t="s">
        <v>1331</v>
      </c>
      <c r="B69" s="1226"/>
      <c r="C69" s="254" t="s">
        <v>1332</v>
      </c>
    </row>
    <row r="70" spans="1:3">
      <c r="A70" s="253" t="s">
        <v>1333</v>
      </c>
      <c r="B70" s="1226"/>
      <c r="C70" s="254" t="s">
        <v>1334</v>
      </c>
    </row>
    <row r="71" spans="1:3">
      <c r="A71" s="257" t="s">
        <v>1335</v>
      </c>
      <c r="B71" s="1226"/>
      <c r="C71" s="256" t="s">
        <v>1336</v>
      </c>
    </row>
    <row r="72" spans="1:3">
      <c r="A72" s="253" t="s">
        <v>1337</v>
      </c>
      <c r="B72" s="1226"/>
      <c r="C72" s="258" t="s">
        <v>1338</v>
      </c>
    </row>
    <row r="73" spans="1:3">
      <c r="A73" s="253" t="s">
        <v>1339</v>
      </c>
      <c r="B73" s="1226"/>
      <c r="C73" s="255" t="s">
        <v>1340</v>
      </c>
    </row>
    <row r="74" spans="1:3">
      <c r="A74" s="253" t="s">
        <v>1341</v>
      </c>
      <c r="B74" s="1226"/>
      <c r="C74" s="254" t="s">
        <v>1342</v>
      </c>
    </row>
    <row r="75" spans="1:3">
      <c r="A75" s="257" t="s">
        <v>1343</v>
      </c>
      <c r="B75" s="1226"/>
      <c r="C75" s="254" t="s">
        <v>1344</v>
      </c>
    </row>
    <row r="76" spans="1:3">
      <c r="A76" s="253" t="s">
        <v>1345</v>
      </c>
      <c r="B76" s="1226"/>
      <c r="C76" s="254" t="s">
        <v>1346</v>
      </c>
    </row>
    <row r="77" spans="1:3">
      <c r="A77" s="253" t="s">
        <v>1347</v>
      </c>
      <c r="B77" s="1226"/>
      <c r="C77" s="255" t="s">
        <v>1348</v>
      </c>
    </row>
    <row r="78" spans="1:3">
      <c r="A78" s="257" t="s">
        <v>1349</v>
      </c>
      <c r="B78" s="1226"/>
      <c r="C78" s="254" t="s">
        <v>1350</v>
      </c>
    </row>
    <row r="79" spans="1:3">
      <c r="A79" s="253" t="s">
        <v>1351</v>
      </c>
      <c r="B79" s="1226"/>
      <c r="C79" s="254" t="s">
        <v>1352</v>
      </c>
    </row>
    <row r="80" spans="1:3">
      <c r="A80" s="257" t="s">
        <v>1353</v>
      </c>
      <c r="B80" s="1226"/>
      <c r="C80" s="254" t="s">
        <v>1354</v>
      </c>
    </row>
    <row r="81" spans="1:3">
      <c r="A81" s="253" t="s">
        <v>1355</v>
      </c>
      <c r="B81" s="1226"/>
      <c r="C81" s="254" t="s">
        <v>1356</v>
      </c>
    </row>
    <row r="82" spans="1:3">
      <c r="A82" s="253" t="s">
        <v>1357</v>
      </c>
      <c r="B82" s="1226"/>
      <c r="C82" s="254" t="s">
        <v>1358</v>
      </c>
    </row>
    <row r="83" spans="1:3">
      <c r="A83" s="253" t="s">
        <v>1359</v>
      </c>
      <c r="B83" s="1226"/>
      <c r="C83" s="255" t="s">
        <v>1360</v>
      </c>
    </row>
    <row r="84" spans="1:3">
      <c r="A84" s="253" t="s">
        <v>1361</v>
      </c>
      <c r="B84" s="1226"/>
      <c r="C84" s="254" t="s">
        <v>1362</v>
      </c>
    </row>
    <row r="85" spans="1:3">
      <c r="A85" s="253" t="s">
        <v>1363</v>
      </c>
      <c r="B85" s="1226"/>
      <c r="C85" s="255" t="s">
        <v>1364</v>
      </c>
    </row>
    <row r="86" spans="1:3">
      <c r="A86" s="259"/>
      <c r="B86" s="1227"/>
      <c r="C86" s="345" t="s">
        <v>1365</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DAE7B93C5F314FA1CEFD647E6BAE84" ma:contentTypeVersion="5" ma:contentTypeDescription="Crée un document." ma:contentTypeScope="" ma:versionID="f79f055249af3b956191cc4137c86143">
  <xsd:schema xmlns:xsd="http://www.w3.org/2001/XMLSchema" xmlns:xs="http://www.w3.org/2001/XMLSchema" xmlns:p="http://schemas.microsoft.com/office/2006/metadata/properties" xmlns:ns2="61a24af3-ddbd-4460-b4be-61901fa599dd" targetNamespace="http://schemas.microsoft.com/office/2006/metadata/properties" ma:root="true" ma:fieldsID="127c4ac23fa06785653b84c604d4ffb1" ns2:_="">
    <xsd:import namespace="61a24af3-ddbd-4460-b4be-61901fa599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a24af3-ddbd-4460-b4be-61901fa59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schemas.microsoft.com/office/2006/metadata/properties"/>
    <ds:schemaRef ds:uri="http://purl.org/dc/terms/"/>
    <ds:schemaRef ds:uri="http://schemas.openxmlformats.org/package/2006/metadata/core-properties"/>
    <ds:schemaRef ds:uri="61a24af3-ddbd-4460-b4be-61901fa599dd"/>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ADADCF1E-2B2A-498C-A95F-3376023B43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a24af3-ddbd-4460-b4be-61901fa599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58</vt:i4>
      </vt:variant>
      <vt:variant>
        <vt:lpstr>Plages nommées</vt:lpstr>
      </vt:variant>
      <vt:variant>
        <vt:i4>52</vt:i4>
      </vt:variant>
    </vt:vector>
  </HeadingPairs>
  <TitlesOfParts>
    <vt:vector size="110"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'Codes activités'!Zone_d_impression</vt:lpstr>
      <vt:lpstr>'COMPTE DE RESULTAT'!Zone_d_impression</vt:lpstr>
      <vt:lpstr>'Dirigeants R3'!Zone_d_impression</vt:lpstr>
      <vt:lpstr>'Fiche de renseignement R1'!Zone_d_impression</vt:lpstr>
      <vt:lpstr>'FLUX DE TRESORERIE'!Zone_d_impression</vt:lpstr>
      <vt:lpstr>'Note 10'!Zone_d_impression</vt:lpstr>
      <vt:lpstr>'Note 11'!Zone_d_impression</vt:lpstr>
      <vt:lpstr>'Note 12'!Zone_d_impression</vt:lpstr>
      <vt:lpstr>'Note 13'!Zone_d_impression</vt:lpstr>
      <vt:lpstr>'Note 14'!Zone_d_impression</vt:lpstr>
      <vt:lpstr>'Note 15A'!Zone_d_impression</vt:lpstr>
      <vt:lpstr>'Note 15B'!Zone_d_impression</vt:lpstr>
      <vt:lpstr>'Note 16A'!Zone_d_impression</vt:lpstr>
      <vt:lpstr>'Note 16B'!Zone_d_impression</vt:lpstr>
      <vt:lpstr>'Note 16B bis'!Zone_d_impression</vt:lpstr>
      <vt:lpstr>'Note 16C'!Zone_d_impression</vt:lpstr>
      <vt:lpstr>'Note 17'!Zone_d_impression</vt:lpstr>
      <vt:lpstr>'Note 18'!Zone_d_impression</vt:lpstr>
      <vt:lpstr>'Note 19'!Zone_d_impression</vt:lpstr>
      <vt:lpstr>'Note 20'!Zone_d_impression</vt:lpstr>
      <vt:lpstr>'Note 22'!Zone_d_impression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36'!Zone_d_impression</vt:lpstr>
      <vt:lpstr>'Note 3A'!Zone_d_impression</vt:lpstr>
      <vt:lpstr>'Note 3B'!Zone_d_impression</vt:lpstr>
      <vt:lpstr>'Note 3C'!Zone_d_impression</vt:lpstr>
      <vt:lpstr>'Note 3C Bis'!Zone_d_impression</vt:lpstr>
      <vt:lpstr>'Note 3D'!Zone_d_impression</vt:lpstr>
      <vt:lpstr>'Note 3E'!Zone_d_impression</vt:lpstr>
      <vt:lpstr>'Note 4'!Zone_d_impression</vt:lpstr>
      <vt:lpstr>'Note 5'!Zone_d_impression</vt:lpstr>
      <vt:lpstr>'Note 6'!Zone_d_impression</vt:lpstr>
      <vt:lpstr>'Note 7'!Zone_d_impression</vt:lpstr>
      <vt:lpstr>'Note 8'!Zone_d_impression</vt:lpstr>
      <vt:lpstr>'Note 8A'!Zone_d_impression</vt:lpstr>
      <vt:lpstr>'Note 8B'!Zone_d_impression</vt:lpstr>
      <vt:lpstr>'Note 8C'!Zone_d_impression</vt:lpstr>
      <vt:lpstr>'Note 9'!Zone_d_impression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Diagne, Pape Ousmane</cp:lastModifiedBy>
  <cp:lastPrinted>2023-04-10T19:43:56Z</cp:lastPrinted>
  <dcterms:modified xsi:type="dcterms:W3CDTF">2023-04-19T18:22:50Z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0x0101007CDAE7B93C5F314FA1CEFD647E6BAE84</vt:lpwstr>
  </property>
</Properties>
</file>