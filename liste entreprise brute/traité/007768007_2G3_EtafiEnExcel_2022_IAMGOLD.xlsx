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thumbnail.w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mc:Choice Requires="x15">
      <x15ac:absPath xmlns:x15ac="http://schemas.microsoft.com/office/spreadsheetml/2010/11/ac" url="https://onedrive-global.kpmg.com/personal/hawaaw_kpmg_sn/Documents/Desktop/SAISON 2022 2023/IAMGOLD BOTO/Rapports/EFs/"/>
    </mc:Choice>
  </mc:AlternateContent>
  <xr:revisionPtr revIDLastSave="2" documentId="11_05D331F838074E81442CCA5E75C4FFD1FC0EF58C" xr6:coauthVersionLast="47" xr6:coauthVersionMax="47" xr10:uidLastSave="{7F390905-F672-4CFE-BCC7-B5C5CA350DE0}"/>
  <workbookProtection lockStructure="true"/>
  <bookViews>
    <workbookView xWindow="-110" yWindow="-110" windowWidth="19420" windowHeight="10420" tabRatio="903" firstSheet="15" activeTab="28"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C Bis" sheetId="70" r:id="rId14"/>
    <sheet name="Note 3D" sheetId="23" r:id="rId15"/>
    <sheet name="Note 3E" sheetId="24" r:id="rId16"/>
    <sheet name="Note 4" sheetId="25" r:id="rId17"/>
    <sheet name="Note 5" sheetId="26" r:id="rId18"/>
    <sheet name="Note 6" sheetId="27" r:id="rId19"/>
    <sheet name="Note 7" sheetId="28" r:id="rId20"/>
    <sheet name="Note 8" sheetId="29" r:id="rId21"/>
    <sheet name="Note 8A" sheetId="30" r:id="rId22"/>
    <sheet name="Note 8B" sheetId="71" r:id="rId23"/>
    <sheet name="Note 8C" sheetId="72" r:id="rId24"/>
    <sheet name="Note 9" sheetId="31" r:id="rId25"/>
    <sheet name="Note 10" sheetId="32" r:id="rId26"/>
    <sheet name="Note 11" sheetId="33" r:id="rId27"/>
    <sheet name="Note 12" sheetId="34" r:id="rId28"/>
    <sheet name="Note 13" sheetId="35" r:id="rId29"/>
    <sheet name="Note 14" sheetId="36" r:id="rId30"/>
    <sheet name="Note 15A" sheetId="37" r:id="rId31"/>
    <sheet name="Note 15B" sheetId="38" r:id="rId32"/>
    <sheet name="Note 16A" sheetId="39" r:id="rId33"/>
    <sheet name="Note 16B" sheetId="40" r:id="rId34"/>
    <sheet name="Note 16B bis" sheetId="41" r:id="rId35"/>
    <sheet name="Note 16C" sheetId="42" r:id="rId36"/>
    <sheet name="Note 17" sheetId="43" r:id="rId37"/>
    <sheet name="Note 18" sheetId="44" r:id="rId38"/>
    <sheet name="Note 19" sheetId="45" r:id="rId39"/>
    <sheet name="Note 20" sheetId="46" r:id="rId40"/>
    <sheet name="Note 21" sheetId="47" r:id="rId41"/>
    <sheet name="Note 22" sheetId="48" r:id="rId42"/>
    <sheet name="Note 23" sheetId="49" r:id="rId43"/>
    <sheet name="Note 24" sheetId="50" r:id="rId44"/>
    <sheet name="Note 25" sheetId="51" r:id="rId45"/>
    <sheet name="Note 26" sheetId="52" r:id="rId46"/>
    <sheet name="Note 27A" sheetId="53" r:id="rId47"/>
    <sheet name="Note 27B" sheetId="54" r:id="rId48"/>
    <sheet name="Note 28" sheetId="55" r:id="rId49"/>
    <sheet name="Note 29" sheetId="56" r:id="rId50"/>
    <sheet name="Note 30" sheetId="57" r:id="rId51"/>
    <sheet name="Note 31" sheetId="58" r:id="rId52"/>
    <sheet name="Note 32" sheetId="59" r:id="rId53"/>
    <sheet name="Note 33" sheetId="60" r:id="rId54"/>
    <sheet name="Note 34" sheetId="61" r:id="rId55"/>
    <sheet name="Note 35" sheetId="62" r:id="rId56"/>
    <sheet name="Note 36" sheetId="63" r:id="rId57"/>
    <sheet name="Codes activités" sheetId="64" r:id="rId58"/>
  </sheets>
  <definedNames>
    <definedName name="_xlnm.Database" localSheetId="7">#REF!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2">#REF!</definedName>
    <definedName name="_xlnm.Database" localSheetId="53">#REF!</definedName>
    <definedName name="_xlnm.Database" localSheetId="54">#REF!</definedName>
    <definedName name="_xlnm.Database" localSheetId="56">#REF!</definedName>
    <definedName name="_xlnm.Database">#REF!</definedName>
    <definedName name="_xlnm.Print_Area" localSheetId="2">'Activités de l''entreprise R2'!$A$1:$T$60</definedName>
    <definedName name="_xlnm.Print_Area" localSheetId="5">'BILAN PAYSAGE'!$A$1:$L$31</definedName>
    <definedName name="_xlnm.Print_Area" localSheetId="6">'COMPTE DE RESULTAT'!$A$1:$F$43</definedName>
    <definedName name="_xlnm.Print_Area" localSheetId="3">'Dirigeants R3'!$A$1:$F$46</definedName>
    <definedName name="_xlnm.Print_Area" localSheetId="1">'Fiche de renseignement R1'!$A$1:$AN$83</definedName>
    <definedName name="_xlnm.Print_Area" localSheetId="7">'FLUX DE TRESORERIE'!$A$1:$F$31</definedName>
    <definedName name="_xlnm.Print_Area" localSheetId="30">'Note 15A'!$A$1:$H$33</definedName>
    <definedName name="_xlnm.Print_Area" localSheetId="31">'Note 15B'!$A$1:$G$25</definedName>
    <definedName name="_xlnm.Print_Area" localSheetId="36">'Note 17'!$A$1:$H$31</definedName>
    <definedName name="_xlnm.Print_Area" localSheetId="37">'Note 18'!$A$1:$H$33</definedName>
    <definedName name="_xlnm.Print_Area" localSheetId="38">'Note 19'!$A$1:$H$42</definedName>
    <definedName name="_xlnm.Print_Area" localSheetId="55">'Note 35'!$A$1:$D$28</definedName>
    <definedName name="_xlnm.Print_Area" localSheetId="17">'Note 5'!$A:$H</definedName>
    <definedName name="_xlnm.Print_Area" localSheetId="20">'Note 8'!$A$1:$G$27</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54" l="1"/>
  <c r="A4" i="72"/>
  <c r="A4" i="71"/>
  <c r="A4" i="26"/>
  <c r="A4" i="25"/>
  <c r="A4" i="70"/>
  <c r="Q23" i="54" l="1"/>
  <c r="C45" i="61" l="1"/>
  <c r="B45" i="61"/>
  <c r="B23" i="55"/>
  <c r="C23" i="55"/>
  <c r="D23" i="55"/>
  <c r="E23" i="55"/>
  <c r="F23" i="55"/>
  <c r="G23" i="55"/>
  <c r="H23" i="55"/>
  <c r="I23" i="55"/>
  <c r="I17" i="54"/>
  <c r="P12" i="54" l="1"/>
  <c r="P13" i="54"/>
  <c r="E12" i="43"/>
  <c r="J3" i="12" l="1"/>
  <c r="D31" i="12" s="1"/>
  <c r="V9" i="12"/>
  <c r="U15" i="12" s="1"/>
  <c r="AD6" i="12"/>
  <c r="AE31" i="12" s="1"/>
  <c r="J6" i="12"/>
  <c r="J9" i="12"/>
  <c r="N5" i="13" l="1"/>
  <c r="F3" i="14" s="1"/>
  <c r="B3" i="13"/>
  <c r="B2" i="14" s="1"/>
  <c r="L5" i="13"/>
  <c r="D3" i="14" s="1"/>
  <c r="D33" i="18"/>
  <c r="E4" i="18"/>
  <c r="C54" i="61"/>
  <c r="B54" i="61"/>
  <c r="I13" i="55"/>
  <c r="I25" i="55" s="1"/>
  <c r="H13" i="55"/>
  <c r="H25" i="55" s="1"/>
  <c r="G13" i="55"/>
  <c r="F13" i="55"/>
  <c r="F25" i="55" s="1"/>
  <c r="E13" i="55"/>
  <c r="E25" i="55" s="1"/>
  <c r="D13" i="55"/>
  <c r="D25" i="55" s="1"/>
  <c r="C13" i="55"/>
  <c r="B13" i="55"/>
  <c r="B25" i="55" s="1"/>
  <c r="I28" i="54"/>
  <c r="I27" i="54"/>
  <c r="K25" i="54"/>
  <c r="J25" i="54"/>
  <c r="H25" i="54"/>
  <c r="G25" i="54"/>
  <c r="F25" i="54"/>
  <c r="E25" i="54"/>
  <c r="D25" i="54"/>
  <c r="C25" i="54"/>
  <c r="I24" i="54"/>
  <c r="I23" i="54"/>
  <c r="I22" i="54"/>
  <c r="P17" i="54"/>
  <c r="O14" i="54"/>
  <c r="N14" i="54"/>
  <c r="M14" i="54"/>
  <c r="L14" i="54"/>
  <c r="K14" i="54"/>
  <c r="J14" i="54"/>
  <c r="H14" i="54"/>
  <c r="G14" i="54"/>
  <c r="F14" i="54"/>
  <c r="E14" i="54"/>
  <c r="D14" i="54"/>
  <c r="C14" i="54"/>
  <c r="I13" i="54"/>
  <c r="I12" i="54"/>
  <c r="P11" i="54"/>
  <c r="I11" i="54"/>
  <c r="P10" i="54"/>
  <c r="I10" i="54"/>
  <c r="F43" i="18"/>
  <c r="E43" i="18"/>
  <c r="F33" i="18"/>
  <c r="E33" i="18"/>
  <c r="C33" i="18"/>
  <c r="F22" i="18"/>
  <c r="E22" i="18"/>
  <c r="D22" i="18"/>
  <c r="C22" i="18"/>
  <c r="F15" i="18"/>
  <c r="E15" i="18"/>
  <c r="D15" i="18"/>
  <c r="C15" i="18"/>
  <c r="L54" i="13"/>
  <c r="M43" i="13" s="1"/>
  <c r="C1" i="13"/>
  <c r="A4" i="55"/>
  <c r="B1" i="14"/>
  <c r="D4" i="24" l="1"/>
  <c r="M5" i="54"/>
  <c r="E4" i="70"/>
  <c r="D4" i="31"/>
  <c r="F4" i="71"/>
  <c r="F4" i="72"/>
  <c r="P14" i="54"/>
  <c r="F30" i="54"/>
  <c r="D30" i="54"/>
  <c r="D5" i="41"/>
  <c r="G30" i="54"/>
  <c r="H30" i="54"/>
  <c r="C30" i="54"/>
  <c r="I25" i="54"/>
  <c r="E30" i="54"/>
  <c r="F4" i="29"/>
  <c r="D4" i="33"/>
  <c r="D4" i="42"/>
  <c r="I14" i="54"/>
  <c r="I16" i="54" s="1"/>
  <c r="F4" i="37"/>
  <c r="A4" i="36"/>
  <c r="H4" i="60"/>
  <c r="D34" i="18"/>
  <c r="D4" i="46"/>
  <c r="A4" i="28"/>
  <c r="H4" i="55"/>
  <c r="E34" i="18"/>
  <c r="D4" i="50"/>
  <c r="E4" i="23"/>
  <c r="G25" i="55"/>
  <c r="C34" i="18"/>
  <c r="C25" i="55"/>
  <c r="F34" i="18"/>
  <c r="B5" i="18"/>
  <c r="B5" i="13"/>
  <c r="B3" i="14" s="1"/>
  <c r="L4" i="59"/>
  <c r="G4" i="25"/>
  <c r="H4" i="21"/>
  <c r="G4" i="26"/>
  <c r="F4" i="30"/>
  <c r="F4" i="34"/>
  <c r="F4" i="38"/>
  <c r="G4" i="43"/>
  <c r="D4" i="47"/>
  <c r="D4" i="51"/>
  <c r="D4" i="57"/>
  <c r="E4" i="58"/>
  <c r="F4" i="20"/>
  <c r="C5" i="62"/>
  <c r="D4" i="27"/>
  <c r="F4" i="35"/>
  <c r="F4" i="39"/>
  <c r="G4" i="44"/>
  <c r="D4" i="48"/>
  <c r="D4" i="52"/>
  <c r="D4" i="19"/>
  <c r="D4" i="61"/>
  <c r="D4" i="56"/>
  <c r="E4" i="22"/>
  <c r="G4" i="28"/>
  <c r="D4" i="32"/>
  <c r="F4" i="36"/>
  <c r="E4" i="40"/>
  <c r="G4" i="45"/>
  <c r="D4" i="49"/>
  <c r="D4" i="53"/>
  <c r="M49" i="13"/>
  <c r="M31" i="13"/>
  <c r="M37" i="13"/>
  <c r="M3" i="13"/>
  <c r="E2" i="14" s="1"/>
  <c r="A4" i="35"/>
  <c r="A4" i="42"/>
  <c r="M46" i="13"/>
  <c r="M40" i="13"/>
  <c r="M34" i="13"/>
  <c r="A4" i="34"/>
  <c r="E3" i="18"/>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D3" i="32" l="1"/>
  <c r="F3" i="72"/>
  <c r="F3" i="71"/>
  <c r="E3" i="70"/>
  <c r="D3" i="31"/>
  <c r="D3" i="24"/>
  <c r="N3" i="54"/>
  <c r="B5" i="57"/>
  <c r="B5" i="71"/>
  <c r="B5" i="70"/>
  <c r="B5" i="31"/>
  <c r="B5" i="72"/>
  <c r="B5" i="22"/>
  <c r="C5" i="54"/>
  <c r="B5" i="2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35"/>
  <c r="B5" i="42"/>
  <c r="B5" i="47"/>
  <c r="I30" i="54"/>
  <c r="F3" i="29"/>
  <c r="L3" i="59"/>
  <c r="H3" i="55"/>
  <c r="F3" i="38"/>
  <c r="D3" i="33"/>
  <c r="F3" i="35"/>
  <c r="F3" i="30"/>
  <c r="F3" i="20"/>
  <c r="G3" i="26"/>
  <c r="D3" i="50"/>
  <c r="D3" i="48"/>
  <c r="M54" i="13"/>
  <c r="C3" i="62"/>
  <c r="D3" i="57"/>
  <c r="D3" i="51"/>
  <c r="G3" i="43"/>
  <c r="C3" i="61"/>
  <c r="H3" i="21"/>
  <c r="D3" i="53"/>
  <c r="D3" i="49"/>
  <c r="F3" i="39"/>
  <c r="G3" i="28"/>
  <c r="D3" i="41"/>
  <c r="E3" i="22"/>
  <c r="G3" i="25"/>
  <c r="D3" i="56"/>
  <c r="D3" i="46"/>
  <c r="E3" i="58"/>
  <c r="D3" i="27"/>
  <c r="E3" i="23"/>
  <c r="E3" i="40"/>
</calcChain>
</file>

<file path=xl/sharedStrings.xml><?xml version="1.0" encoding="utf-8"?>
<sst xmlns="http://schemas.openxmlformats.org/spreadsheetml/2006/main" count="2516" uniqueCount="1631">
  <si>
    <t xml:space="preserve">REPUBLIQUE </t>
  </si>
  <si>
    <t>DU SENEGAL</t>
  </si>
  <si>
    <t>MINISTERE</t>
  </si>
  <si>
    <t>DES FINANCES ET DU BUDGET</t>
  </si>
  <si>
    <t>DIRECTION</t>
  </si>
  <si>
    <t>DIRECTION GENERALE DES IMÔTS ET DES DOMAINES</t>
  </si>
  <si>
    <t>ETATS FINANCIERS NORMALISES DU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</si>
  <si>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</si>
  <si>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</si>
  <si>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</si>
  <si>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</si>
  <si>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</si>
  <si>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</si>
  <si>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</si>
  <si>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</si>
  <si>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</si>
  <si>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</si>
  <si>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</si>
  <si>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</si>
  <si>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</si>
  <si>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</si>
  <si>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</si>
  <si>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</si>
  <si>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</si>
  <si>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</si>
  <si>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</si>
  <si>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</si>
  <si>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</si>
  <si>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</si>
  <si>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</si>
  <si>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</si>
  <si>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N° d'identification</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</si>
  <si>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</si>
  <si>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</si>
  <si>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</si>
  <si>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</si>
  <si>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</si>
  <si>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</si>
  <si>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</si>
  <si>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</si>
  <si>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</si>
  <si>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</si>
  <si>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</si>
  <si>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</si>
  <si>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</si>
  <si>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</si>
  <si>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</si>
  <si>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</si>
  <si>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</si>
  <si>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N° de sécurité sociale</t>
  </si>
  <si>
    <t>N° Code employeur</t>
  </si>
  <si>
    <t>Code activité principale</t>
  </si>
  <si>
    <t>ZF</t>
  </si>
  <si>
    <t>Sigle</t>
  </si>
  <si>
    <t>ZG</t>
  </si>
  <si>
    <t>N° de téléphone</t>
  </si>
  <si>
    <t>Télécopie</t>
  </si>
  <si>
    <t>Code</t>
  </si>
  <si>
    <t>Boîte postale</t>
  </si>
  <si>
    <t>Ville</t>
  </si>
  <si>
    <t>ZH</t>
  </si>
  <si>
    <t>Adresse géographique complète (Immeuble, rue, quartier, ville, pays)</t>
  </si>
  <si>
    <t>ZI</t>
  </si>
  <si>
    <t>Désignation précise de l'activité principale exercée par l'entreprise</t>
  </si>
  <si>
    <t>% capacité production utilisée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</si>
  <si>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</si>
  <si>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</si>
  <si>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</si>
  <si>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</si>
  <si>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</si>
  <si>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</si>
  <si>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</si>
  <si>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</si>
  <si>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</si>
  <si>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</si>
  <si>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</si>
  <si>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</si>
  <si>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</si>
  <si>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</si>
  <si>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</si>
  <si>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</si>
  <si>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</si>
  <si>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</si>
  <si>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</si>
  <si>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</si>
  <si>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</si>
  <si>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</si>
  <si>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</si>
  <si>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</si>
  <si>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</si>
  <si>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</si>
  <si>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</si>
  <si>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</si>
  <si>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</si>
  <si>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</si>
  <si>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</si>
  <si>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</si>
  <si>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</si>
  <si>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</si>
  <si>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</si>
  <si>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</si>
  <si>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</si>
  <si>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</si>
  <si>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</si>
  <si>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</si>
  <si>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</si>
  <si>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</si>
  <si>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</si>
  <si>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</si>
  <si>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</si>
  <si>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</si>
  <si>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</si>
  <si>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</si>
  <si>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</si>
  <si>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</si>
  <si>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</si>
  <si>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</si>
  <si>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</si>
  <si>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</si>
  <si>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</si>
  <si>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</si>
  <si>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</si>
  <si>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</si>
  <si>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</si>
  <si>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</si>
  <si>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</si>
  <si>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</si>
  <si>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</si>
  <si>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</si>
  <si>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</si>
  <si>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</si>
  <si>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</si>
  <si>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</si>
  <si>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</si>
  <si>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</si>
  <si>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</si>
  <si>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</si>
  <si>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</si>
  <si>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</si>
  <si>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</si>
  <si>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</si>
  <si>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</si>
  <si>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</si>
  <si>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</si>
  <si>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3F</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</si>
  <si>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</si>
  <si>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</si>
  <si>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</si>
  <si>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</si>
  <si>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</si>
  <si>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</si>
  <si>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</si>
  <si>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</si>
  <si>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</si>
  <si>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</si>
  <si>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</si>
  <si>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</si>
  <si>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</si>
  <si>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</si>
  <si>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</si>
  <si>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</si>
  <si>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</si>
  <si>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</si>
  <si>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</si>
  <si>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</si>
  <si>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</si>
  <si>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</si>
  <si>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</si>
  <si>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</si>
  <si>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</si>
  <si>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</si>
  <si>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</si>
  <si>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</si>
  <si>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</si>
  <si>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</si>
  <si>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</si>
  <si>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</si>
  <si>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</si>
  <si>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</si>
  <si>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</si>
  <si>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</si>
  <si>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</si>
  <si>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</si>
  <si>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</si>
  <si>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</si>
  <si>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</si>
  <si>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</si>
  <si>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</si>
  <si>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</si>
  <si>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</si>
  <si>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</si>
  <si>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</si>
  <si>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</si>
  <si>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</si>
  <si>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</si>
  <si>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</si>
  <si>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</si>
  <si>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</si>
  <si>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</si>
  <si>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</si>
  <si>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</si>
  <si>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</si>
  <si>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</si>
  <si>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</si>
  <si>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</si>
  <si>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</si>
  <si>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</si>
  <si>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</si>
  <si>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</si>
  <si>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</si>
  <si>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</si>
  <si>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</si>
  <si>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</si>
  <si>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</si>
  <si>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</si>
  <si>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</si>
  <si>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</si>
  <si>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</si>
  <si>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</si>
  <si>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</si>
  <si>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</si>
  <si>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</si>
  <si>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</si>
  <si>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</si>
  <si>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</si>
  <si>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</si>
  <si>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</si>
  <si>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</si>
  <si>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</si>
  <si>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</si>
  <si>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</si>
  <si>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</si>
  <si>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</si>
  <si>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</si>
  <si>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</si>
  <si>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</si>
  <si>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</si>
  <si>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</si>
  <si>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</si>
  <si>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</si>
  <si>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</si>
  <si>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</si>
  <si>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</si>
  <si>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</si>
  <si>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</si>
  <si>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</si>
  <si>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</si>
  <si>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</si>
  <si>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</si>
  <si>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</si>
  <si>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</si>
  <si>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</si>
  <si>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</si>
  <si>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</si>
  <si>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vertAlign val="superscript"/>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</si>
  <si>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</si>
  <si>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</si>
  <si>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</si>
  <si>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</si>
  <si>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</si>
  <si>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</si>
  <si>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</si>
  <si>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</si>
  <si>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</si>
  <si>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</si>
  <si>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</si>
  <si>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</si>
  <si>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</si>
  <si>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</si>
  <si>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</si>
  <si>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</si>
  <si>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</si>
  <si>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</si>
  <si>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</si>
  <si>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</si>
  <si>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</si>
  <si>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</si>
  <si>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</si>
  <si>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</si>
  <si>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</si>
  <si>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</si>
  <si>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</si>
  <si>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</si>
  <si>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</si>
  <si>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</si>
  <si>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</si>
  <si>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</si>
  <si>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</si>
  <si>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</si>
  <si>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</si>
  <si>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</si>
  <si>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</si>
  <si>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</si>
  <si>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</si>
  <si>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</si>
  <si>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</si>
  <si>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</si>
  <si>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</si>
  <si>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</si>
  <si>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</si>
  <si>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</si>
  <si>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</si>
  <si>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</si>
  <si>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</si>
  <si>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</si>
  <si>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</si>
  <si>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</si>
  <si>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</si>
  <si>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</si>
  <si>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</si>
  <si>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</si>
  <si>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</si>
  <si>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</si>
  <si>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</si>
  <si>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</si>
  <si>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</si>
  <si>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</si>
  <si>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</si>
  <si>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</si>
  <si>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</si>
  <si>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</si>
  <si>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</si>
  <si>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</si>
  <si>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</si>
  <si>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</si>
  <si>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</si>
  <si>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</si>
  <si>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</si>
  <si>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</si>
  <si>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</si>
  <si>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</si>
  <si>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</si>
  <si>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</si>
  <si>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</si>
  <si>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</si>
  <si>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</si>
  <si>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</si>
  <si>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</si>
  <si>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</si>
  <si>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</si>
  <si>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</si>
  <si>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</si>
  <si>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</si>
  <si>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</si>
  <si>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</si>
  <si>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</si>
  <si>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</si>
  <si>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</si>
  <si>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</si>
  <si>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</si>
  <si>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</si>
  <si>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</si>
  <si>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</si>
  <si>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</si>
  <si>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</si>
  <si>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</si>
  <si>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</si>
  <si>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</si>
  <si>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</si>
  <si>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</si>
  <si>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</si>
  <si>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</si>
  <si>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</si>
  <si>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</si>
  <si>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</si>
  <si>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</si>
  <si>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</si>
  <si>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</si>
  <si>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</si>
  <si>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</si>
  <si>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</si>
  <si>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</si>
  <si>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</si>
  <si>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</si>
  <si>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</si>
  <si>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</si>
  <si>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</si>
  <si>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</si>
  <si>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</si>
  <si>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</si>
  <si>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</si>
  <si>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</si>
  <si>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</si>
  <si>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</si>
  <si>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</si>
  <si>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</si>
  <si>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</si>
  <si>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</si>
  <si>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</si>
  <si>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</si>
  <si>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</si>
  <si>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</si>
  <si>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</si>
  <si>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</si>
  <si>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</si>
  <si>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</si>
  <si>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</si>
  <si>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</si>
  <si>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</si>
  <si>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</si>
  <si>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</si>
  <si>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</si>
  <si>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</si>
  <si>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</si>
  <si>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</si>
  <si>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</si>
  <si>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</si>
  <si>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</si>
  <si>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</si>
  <si>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</si>
  <si>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</si>
  <si>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</si>
  <si>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</si>
  <si>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</si>
  <si>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</si>
  <si>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</si>
  <si>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</si>
  <si>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</si>
  <si>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</si>
  <si>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</si>
  <si>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</si>
  <si>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</si>
  <si>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</si>
  <si>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</si>
  <si>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</si>
  <si>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</si>
  <si>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</si>
  <si>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</si>
  <si>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</si>
  <si>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</si>
  <si>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</si>
  <si>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</si>
  <si>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</si>
  <si>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</si>
  <si>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</si>
  <si>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</si>
  <si>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vertAlign val="superscript"/>
        <sz val="10"/>
        <rFont val="Cambria"/>
        <family val="1"/>
      </rPr>
      <t>(1)</t>
    </r>
  </si>
  <si>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</si>
  <si>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</si>
  <si>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</si>
  <si>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</si>
  <si>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</si>
  <si>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</si>
  <si>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</si>
  <si>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</si>
  <si>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</si>
  <si>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</si>
  <si>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</si>
  <si>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</si>
  <si>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</si>
  <si>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</si>
  <si>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</si>
  <si>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</si>
  <si>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</si>
  <si>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</si>
  <si>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</si>
  <si>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</si>
  <si>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</si>
  <si>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</si>
  <si>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</si>
  <si>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</si>
  <si>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</si>
  <si>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</si>
  <si>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</si>
  <si>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</si>
  <si>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</si>
  <si>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</si>
  <si>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</si>
  <si>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</si>
  <si>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</si>
  <si>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</si>
  <si>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</si>
  <si>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</si>
  <si>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</si>
  <si>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</si>
  <si>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</si>
  <si>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</si>
  <si>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</si>
  <si>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</si>
  <si>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</si>
  <si>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</si>
  <si>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</si>
  <si>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</si>
  <si>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</si>
  <si>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</si>
  <si>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</si>
  <si>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</si>
  <si>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</si>
  <si>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</si>
  <si>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</si>
  <si>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</si>
  <si>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</si>
  <si>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</si>
  <si>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</si>
  <si>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</si>
  <si>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</si>
  <si>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</si>
  <si>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</si>
  <si>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</si>
  <si>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</si>
  <si>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Emprunts et dette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</si>
  <si>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</si>
  <si>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</si>
  <si>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</si>
  <si>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</si>
  <si>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</si>
  <si>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</si>
  <si>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</si>
  <si>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</si>
  <si>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</si>
  <si>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</si>
  <si>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</si>
  <si>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</si>
  <si>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</si>
  <si>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</si>
  <si>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</si>
  <si>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</si>
  <si>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</si>
  <si>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</si>
  <si>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</si>
  <si>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</si>
  <si>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</si>
  <si>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</si>
  <si>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</si>
  <si>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</si>
  <si>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</si>
  <si>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</si>
  <si>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</si>
  <si>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</si>
  <si>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</si>
  <si>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</si>
  <si>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</si>
  <si>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</si>
  <si>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</si>
  <si>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</si>
  <si>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</si>
  <si>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</si>
  <si>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</si>
  <si>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</si>
  <si>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</si>
  <si>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</si>
  <si>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</si>
  <si>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</si>
  <si>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</si>
  <si>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</si>
  <si>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</si>
  <si>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</si>
  <si>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</si>
  <si>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</si>
  <si>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</si>
  <si>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</si>
  <si>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</si>
  <si>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</si>
  <si>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Immobilisations incorporelles</t>
  </si>
  <si>
    <t>Immoblisations corporelles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</si>
  <si>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</si>
  <si>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</si>
  <si>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</si>
  <si>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</si>
  <si>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</si>
  <si>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</si>
  <si>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</si>
  <si>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</si>
  <si>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</si>
  <si>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</si>
  <si>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</si>
  <si>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</si>
  <si>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</si>
  <si>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</si>
  <si>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</si>
  <si>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</si>
  <si>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</si>
  <si>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</si>
  <si>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</si>
  <si>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</si>
  <si>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</si>
  <si>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</si>
  <si>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</si>
  <si>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</si>
  <si>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</si>
  <si>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</si>
  <si>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</si>
  <si>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</si>
  <si>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</si>
  <si>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</si>
  <si>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</si>
  <si>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</si>
  <si>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</si>
  <si>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</si>
  <si>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</si>
  <si>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</si>
  <si>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</si>
  <si>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</si>
  <si>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</si>
  <si>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</si>
  <si>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</si>
  <si>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</si>
  <si>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</si>
  <si>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</si>
  <si>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</si>
  <si>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</si>
  <si>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</si>
  <si>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</si>
  <si>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</si>
  <si>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2019</t>
  </si>
  <si>
    <t>ANNEE 2018</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</si>
  <si>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</si>
  <si>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</si>
  <si>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</si>
  <si>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</si>
  <si>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</si>
  <si>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</si>
  <si>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</si>
  <si>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</si>
  <si>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</si>
  <si>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</si>
  <si>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</si>
  <si>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</si>
  <si>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</si>
  <si>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</si>
  <si>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</si>
  <si>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</si>
  <si>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</si>
  <si>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</si>
  <si>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</si>
  <si>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</si>
  <si>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</si>
  <si>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</si>
  <si>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</si>
  <si>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</si>
  <si>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</si>
  <si>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</si>
  <si>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</si>
  <si>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</si>
  <si>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</si>
  <si>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</si>
  <si>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</si>
  <si>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</si>
  <si>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</si>
  <si>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</si>
  <si>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</si>
  <si>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</si>
  <si>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</si>
  <si>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</si>
  <si>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</si>
  <si>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</si>
  <si>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</si>
  <si>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</si>
  <si>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</si>
  <si>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</si>
  <si>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</si>
  <si>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</si>
  <si>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</si>
  <si>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</si>
  <si>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</si>
  <si>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</si>
  <si>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</si>
  <si>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</si>
  <si>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</si>
  <si>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</si>
  <si>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</si>
  <si>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</si>
  <si>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</si>
  <si>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</si>
  <si>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NOTE 7 : CLIENTS PRODUITS A RECEVOIR</t>
  </si>
  <si>
    <t>Clients (hors réserves de propriété Groupe)</t>
  </si>
  <si>
    <t>Clients effets à recevoir (hors réserves de propriété Groupe)</t>
  </si>
  <si>
    <t>Clients effets à recevoir avec réserves de propriété Groupe</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</si>
  <si>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</si>
  <si>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</si>
  <si>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</si>
  <si>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</si>
  <si>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</si>
  <si>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</si>
  <si>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</si>
  <si>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</si>
  <si>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</si>
  <si>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</si>
  <si>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</si>
  <si>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</si>
  <si>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</si>
  <si>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</si>
  <si>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</si>
  <si>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</si>
  <si>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</si>
  <si>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</si>
  <si>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</si>
  <si>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</si>
  <si>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</si>
  <si>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</si>
  <si>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</si>
  <si>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</si>
  <si>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</si>
  <si>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</si>
  <si>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</si>
  <si>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</si>
  <si>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</si>
  <si>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NOTE 8 : TABLEAU D'ETALEMENT DES CHARGES IMMOBILISEES</t>
  </si>
  <si>
    <t>Frais d'établissement</t>
  </si>
  <si>
    <t>Charges à répartir sur plusiers exercices</t>
  </si>
  <si>
    <t>Primes de remboursement des obligations</t>
  </si>
  <si>
    <t>Montant global à étaler au 1er janvier 2018</t>
  </si>
  <si>
    <t>Durée d'étalement</t>
  </si>
  <si>
    <t>Comptes</t>
  </si>
  <si>
    <t>Montants</t>
  </si>
  <si>
    <t>Exercice 2018</t>
  </si>
  <si>
    <t>60…</t>
  </si>
  <si>
    <t>61…</t>
  </si>
  <si>
    <t>62…</t>
  </si>
  <si>
    <t>63…</t>
  </si>
  <si>
    <t>64…</t>
  </si>
  <si>
    <t>65…</t>
  </si>
  <si>
    <t>66…</t>
  </si>
  <si>
    <t>67…</t>
  </si>
  <si>
    <t>68…</t>
  </si>
  <si>
    <t>69…</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</si>
  <si>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</si>
  <si>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</si>
  <si>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</si>
  <si>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</si>
  <si>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</si>
  <si>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</si>
  <si>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</si>
  <si>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</si>
  <si>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</si>
  <si>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</si>
  <si>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</si>
  <si>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</si>
  <si>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</si>
  <si>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</si>
  <si>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</si>
  <si>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</si>
  <si>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</si>
  <si>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</si>
  <si>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</si>
  <si>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</si>
  <si>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</si>
  <si>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</si>
  <si>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</si>
  <si>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</si>
  <si>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</si>
  <si>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</si>
  <si>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</si>
  <si>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</si>
  <si>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</si>
  <si>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</si>
  <si>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</si>
  <si>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</si>
  <si>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</si>
  <si>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</si>
  <si>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</si>
  <si>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</si>
  <si>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</si>
  <si>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</si>
  <si>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</si>
  <si>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</si>
  <si>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</si>
  <si>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</si>
  <si>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</si>
  <si>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</si>
  <si>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</si>
  <si>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</si>
  <si>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</si>
  <si>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</si>
  <si>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</si>
  <si>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</si>
  <si>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</si>
  <si>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</si>
  <si>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</si>
  <si>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</si>
  <si>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</si>
  <si>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</si>
  <si>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</si>
  <si>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</si>
  <si>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</si>
  <si>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</si>
  <si>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</si>
  <si>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</si>
  <si>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</si>
  <si>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</si>
  <si>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</si>
  <si>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</si>
  <si>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</si>
  <si>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</si>
  <si>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</si>
  <si>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</si>
  <si>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</si>
  <si>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</si>
  <si>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</si>
  <si>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</si>
  <si>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</si>
  <si>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</si>
  <si>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</si>
  <si>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</si>
  <si>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</si>
  <si>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</si>
  <si>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</si>
  <si>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</si>
  <si>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</si>
  <si>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</si>
  <si>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</si>
  <si>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</si>
  <si>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</si>
  <si>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</si>
  <si>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</si>
  <si>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</si>
  <si>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</si>
  <si>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</si>
  <si>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</si>
  <si>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</si>
  <si>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</si>
  <si>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</si>
  <si>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</si>
  <si>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</si>
  <si>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</si>
  <si>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</si>
  <si>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</si>
  <si>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</si>
  <si>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</si>
  <si>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</si>
  <si>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</si>
  <si>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</si>
  <si>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</si>
  <si>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</si>
  <si>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</si>
  <si>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</si>
  <si>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</si>
  <si>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</si>
  <si>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</si>
  <si>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</si>
  <si>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Pour les provisions réglementées, indiquer le texte de référence, les obligation.</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</si>
  <si>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</si>
  <si>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</si>
  <si>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</si>
  <si>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</si>
  <si>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</si>
  <si>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(1) : Le cas échéant, une rubrique "Autres fonds propre"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</si>
  <si>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</si>
  <si>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</si>
  <si>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</si>
  <si>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</si>
  <si>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</si>
  <si>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</si>
  <si>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</si>
  <si>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</si>
  <si>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</si>
  <si>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</si>
  <si>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</si>
  <si>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</si>
  <si>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</si>
  <si>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</si>
  <si>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</si>
  <si>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</si>
  <si>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</si>
  <si>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</si>
  <si>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</si>
  <si>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</si>
  <si>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</si>
  <si>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</si>
  <si>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</si>
  <si>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</si>
  <si>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</si>
  <si>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</si>
  <si>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</si>
  <si>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</si>
  <si>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</si>
  <si>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</si>
  <si>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</si>
  <si>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</si>
  <si>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</si>
  <si>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</si>
  <si>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</si>
  <si>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</si>
  <si>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</si>
  <si>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</si>
  <si>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</si>
  <si>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</si>
  <si>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</si>
  <si>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</si>
  <si>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</si>
  <si>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</si>
  <si>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</si>
  <si>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</si>
  <si>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</si>
  <si>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</si>
  <si>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</si>
  <si>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</si>
  <si>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</si>
  <si>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</si>
  <si>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</si>
  <si>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</si>
  <si>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</si>
  <si>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</si>
  <si>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</si>
  <si>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</si>
  <si>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</si>
  <si>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</si>
  <si>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</si>
  <si>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</si>
  <si>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</si>
  <si>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</si>
  <si>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</si>
  <si>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</si>
  <si>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</si>
  <si>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</si>
  <si>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</si>
  <si>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</si>
  <si>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</si>
  <si>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</si>
  <si>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r>
      <t>·</t>
    </r>
    <r>
      <rPr>
        <sz val="10"/>
        <color theme="1"/>
        <rFont val="Calibri"/>
        <family val="2"/>
      </rPr>
      <t> Indiquer l'impact des variations obtenues sur lemontant des engagements de retraite.</t>
    </r>
  </si>
  <si>
    <t>NOTE 16B bis : ENGAGEMENTS DE RETRAITE ET AVANTAGES  ASSIMILES (METHODE ACTURIELLE)</t>
  </si>
  <si>
    <t>Excercice clos le :  =</t>
  </si>
  <si>
    <t>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</si>
  <si>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</si>
  <si>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</si>
  <si>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</si>
  <si>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</si>
  <si>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</si>
  <si>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</si>
  <si>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</si>
  <si>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</si>
  <si>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</si>
  <si>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</si>
  <si>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</si>
  <si>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ACTIF EVENTUEL</t>
  </si>
  <si>
    <t>Litiges</t>
  </si>
  <si>
    <t>…………………………..</t>
  </si>
  <si>
    <t>PASSIF EVENTUEL</t>
  </si>
  <si>
    <r>
      <t>·</t>
    </r>
    <r>
      <rPr>
        <sz val="10"/>
        <color theme="1"/>
        <rFont val="Calibri"/>
        <family val="2"/>
      </rPr>
      <t> Décrire les pricipales caractéristiques des actifs / actifs éventuels, l'horizon de temps auquel</t>
    </r>
  </si>
  <si>
    <t>les encaissements / décaissements sont attendus et les éventuels remboursements à percevoir.</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</si>
  <si>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</si>
  <si>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</si>
  <si>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</si>
  <si>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</si>
  <si>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</si>
  <si>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</si>
  <si>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</si>
  <si>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</si>
  <si>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</si>
  <si>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</si>
  <si>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</si>
  <si>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</si>
  <si>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</si>
  <si>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</si>
  <si>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</si>
  <si>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</si>
  <si>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</si>
  <si>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</si>
  <si>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</si>
  <si>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</si>
  <si>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</si>
  <si>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</si>
  <si>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</si>
  <si>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</si>
  <si>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</si>
  <si>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</si>
  <si>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</si>
  <si>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</si>
  <si>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</si>
  <si>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</si>
  <si>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</si>
  <si>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</si>
  <si>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</si>
  <si>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</si>
  <si>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</si>
  <si>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</si>
  <si>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</si>
  <si>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</si>
  <si>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</si>
  <si>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</si>
  <si>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</si>
  <si>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</si>
  <si>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</si>
  <si>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</si>
  <si>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</si>
  <si>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</si>
  <si>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</si>
  <si>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</si>
  <si>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Auttres banques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</si>
  <si>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</si>
  <si>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</si>
  <si>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</si>
  <si>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</si>
  <si>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</si>
  <si>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</si>
  <si>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</si>
  <si>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</si>
  <si>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</si>
  <si>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</si>
  <si>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PRODUITS FABRIQUES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</si>
  <si>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</si>
  <si>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</si>
  <si>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</si>
  <si>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</si>
  <si>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</si>
  <si>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</si>
  <si>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</si>
  <si>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</si>
  <si>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</si>
  <si>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</si>
  <si>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</si>
  <si>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</si>
  <si>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</si>
  <si>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</si>
  <si>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</si>
  <si>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</si>
  <si>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</si>
  <si>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</si>
  <si>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 et équipements</t>
  </si>
  <si>
    <t>Achats d'emballages</t>
  </si>
  <si>
    <t>Remise, rabais, remises et ristournes</t>
  </si>
  <si>
    <t>TOTAL AUTRES ACHATS</t>
  </si>
  <si>
    <t>NOTE 23 : TRANSPORTS</t>
  </si>
  <si>
    <t>Transports sur ventes</t>
  </si>
  <si>
    <t>Transports pour le compte de tiers</t>
  </si>
  <si>
    <t>Transport du personnel</t>
  </si>
  <si>
    <t>Transport  de plis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</si>
  <si>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</si>
  <si>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</si>
  <si>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</si>
  <si>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</si>
  <si>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</si>
  <si>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</si>
  <si>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</si>
  <si>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</si>
  <si>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</si>
  <si>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</si>
  <si>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</si>
  <si>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</si>
  <si>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</si>
  <si>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</si>
  <si>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</si>
  <si>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</si>
  <si>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</si>
  <si>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NOTE 25 : IMPOTS ET TAXES</t>
  </si>
  <si>
    <t>Impôts et taxes directs</t>
  </si>
  <si>
    <t>Impôts et taxes indirects</t>
  </si>
  <si>
    <t>Droits d'enregistrement</t>
  </si>
  <si>
    <t>Pénalités et amendes fiscales</t>
  </si>
  <si>
    <t>Autres impôts et taxes</t>
  </si>
  <si>
    <t>TOTAL IMPOTS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</si>
  <si>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</si>
  <si>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</si>
  <si>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</si>
  <si>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</si>
  <si>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</si>
  <si>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</si>
  <si>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</si>
  <si>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</si>
  <si>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</si>
  <si>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</si>
  <si>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</si>
  <si>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r>
      <t>·</t>
    </r>
    <r>
      <rPr>
        <sz val="10"/>
        <color theme="1"/>
        <rFont val="Calibri"/>
        <family val="2"/>
      </rPr>
      <t> Indiquer la date du PV de l'AGO ou du CA qui fixe les rémunérationsdes administrateurs</t>
    </r>
  </si>
  <si>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</si>
  <si>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</si>
  <si>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</si>
  <si>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</si>
  <si>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</si>
  <si>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</si>
  <si>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</si>
  <si>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</si>
  <si>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</si>
  <si>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</si>
  <si>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</si>
  <si>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</si>
  <si>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</si>
  <si>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</si>
  <si>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</si>
  <si>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</si>
  <si>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</si>
  <si>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</si>
  <si>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</si>
  <si>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</si>
  <si>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</si>
  <si>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</si>
  <si>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</si>
  <si>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</si>
  <si>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</si>
  <si>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</si>
  <si>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</si>
  <si>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</si>
  <si>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</si>
  <si>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</si>
  <si>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</si>
  <si>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</si>
  <si>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</si>
  <si>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</si>
  <si>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</si>
  <si>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</si>
  <si>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</si>
  <si>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</si>
  <si>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</si>
  <si>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</si>
  <si>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</si>
  <si>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</si>
  <si>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</si>
  <si>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</si>
  <si>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</si>
  <si>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</si>
  <si>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</si>
  <si>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</si>
  <si>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</si>
  <si>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</si>
  <si>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</si>
  <si>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</si>
  <si>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</si>
  <si>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</si>
  <si>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</si>
  <si>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</si>
  <si>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</si>
  <si>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</si>
  <si>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</si>
  <si>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</si>
  <si>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</si>
  <si>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</si>
  <si>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</si>
  <si>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 Dépréciations titres de placement</t>
  </si>
  <si>
    <t>9. Dépréciations valeurs à encaisser</t>
  </si>
  <si>
    <t>10. Dépréciations disponibilité</t>
  </si>
  <si>
    <t>11. Dépréciations et provisions pour risques à court terme exploitation</t>
  </si>
  <si>
    <t>12. Dépréciations et provisions pour risques à court terme à caractère financier</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</si>
  <si>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</si>
  <si>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</si>
  <si>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</si>
  <si>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</si>
  <si>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</si>
  <si>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Intérêts dans loyers de location acquisition</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</si>
  <si>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</si>
  <si>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</si>
  <si>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</si>
  <si>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</si>
  <si>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</si>
  <si>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</si>
  <si>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</si>
  <si>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</si>
  <si>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</si>
  <si>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</si>
  <si>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</si>
  <si>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</si>
  <si>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</si>
  <si>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</si>
  <si>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</si>
  <si>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</si>
  <si>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</si>
  <si>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</si>
  <si>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</si>
  <si>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</si>
  <si>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</si>
  <si>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</si>
  <si>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</si>
  <si>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</si>
  <si>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</si>
  <si>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</si>
  <si>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</si>
  <si>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</si>
  <si>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</si>
  <si>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</si>
  <si>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</si>
  <si>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</si>
  <si>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</si>
  <si>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</si>
  <si>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</si>
  <si>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</si>
  <si>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</si>
  <si>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</si>
  <si>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</si>
  <si>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</si>
  <si>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</si>
  <si>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</si>
  <si>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</si>
  <si>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</si>
  <si>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</si>
  <si>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9"/>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</si>
  <si>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</si>
  <si>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</si>
  <si>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</si>
  <si>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POLITIQUES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</si>
  <si>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</si>
  <si>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</si>
  <si>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</si>
  <si>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</si>
  <si>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</si>
  <si>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</si>
  <si>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</si>
  <si>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</si>
  <si>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</si>
  <si>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</si>
  <si>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</si>
  <si>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</si>
  <si>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</si>
  <si>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</si>
  <si>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</si>
  <si>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</si>
  <si>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</si>
  <si>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</si>
  <si>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</si>
  <si>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</si>
  <si>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</si>
  <si>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</si>
  <si>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</si>
  <si>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</si>
  <si>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</si>
  <si>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</si>
  <si>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</si>
  <si>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</si>
  <si>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</si>
  <si>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</si>
  <si>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</si>
  <si>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</si>
  <si>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</si>
  <si>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</si>
  <si>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</si>
  <si>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</si>
  <si>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</si>
  <si>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</si>
  <si>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</si>
  <si>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</si>
  <si>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</si>
  <si>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</si>
  <si>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</si>
  <si>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</si>
  <si>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</si>
  <si>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</si>
  <si>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</si>
  <si>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</si>
  <si>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</si>
  <si>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</si>
  <si>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</si>
  <si>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</si>
  <si>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</si>
  <si>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</si>
  <si>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</si>
  <si>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</si>
  <si>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</si>
  <si>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</si>
  <si>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</si>
  <si>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</si>
  <si>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</si>
  <si>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</si>
  <si>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</si>
  <si>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</si>
  <si>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</si>
  <si>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</si>
  <si>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</si>
  <si>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</si>
  <si>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</si>
  <si>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</si>
  <si>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</si>
  <si>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</si>
  <si>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</si>
  <si>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</si>
  <si>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</si>
  <si>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</si>
  <si>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</si>
  <si>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</si>
  <si>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</si>
  <si>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</si>
  <si>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</si>
  <si>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</si>
  <si>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</si>
  <si>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</si>
  <si>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</si>
  <si>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</si>
  <si>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</si>
  <si>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</si>
  <si>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</si>
  <si>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</si>
  <si>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</si>
  <si>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</si>
  <si>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</si>
  <si>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</si>
  <si>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</si>
  <si>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</si>
  <si>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</si>
  <si>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</si>
  <si>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</si>
  <si>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</si>
  <si>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</si>
  <si>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</si>
  <si>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</si>
  <si>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</si>
  <si>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</si>
  <si>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</si>
  <si>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</si>
  <si>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</si>
  <si>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</si>
  <si>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</si>
  <si>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</si>
  <si>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</si>
  <si>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</si>
  <si>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</si>
  <si>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</si>
  <si>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</si>
  <si>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</si>
  <si>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</si>
  <si>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</si>
  <si>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</si>
  <si>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</si>
  <si>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</si>
  <si>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</si>
  <si>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</si>
  <si>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</si>
  <si>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</si>
  <si>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</si>
  <si>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</si>
  <si>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</si>
  <si>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</si>
  <si>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</si>
  <si>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</si>
  <si>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</si>
  <si>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</si>
  <si>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</si>
  <si>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</si>
  <si>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</si>
  <si>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</si>
  <si>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l'entreprise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</si>
  <si>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</si>
  <si>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</si>
  <si>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</si>
  <si>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</si>
  <si>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</si>
  <si>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</si>
  <si>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</si>
  <si>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</si>
  <si>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</si>
  <si>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</si>
  <si>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</si>
  <si>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</si>
  <si>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</si>
  <si>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</si>
  <si>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</si>
  <si>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</si>
  <si>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</si>
  <si>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</si>
  <si>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</si>
  <si>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</si>
  <si>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</si>
  <si>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</si>
  <si>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</si>
  <si>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</si>
  <si>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</si>
  <si>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</si>
  <si>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</si>
  <si>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</si>
  <si>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</si>
  <si>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</si>
  <si>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</si>
  <si>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</si>
  <si>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</si>
  <si>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</si>
  <si>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</si>
  <si>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</si>
  <si>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</si>
  <si>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</si>
  <si>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</si>
  <si>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</si>
  <si>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</si>
  <si>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</si>
  <si>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</si>
  <si>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</si>
  <si>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</si>
  <si>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</si>
  <si>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</si>
  <si>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</si>
  <si>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</si>
  <si>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</si>
  <si>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</si>
  <si>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</si>
  <si>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</si>
  <si>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</si>
  <si>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</si>
  <si>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</si>
  <si>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</si>
  <si>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</si>
  <si>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</si>
  <si>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</si>
  <si>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</si>
  <si>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</si>
  <si>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</si>
  <si>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</si>
  <si>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</si>
  <si>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</si>
  <si>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</si>
  <si>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</si>
  <si>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</si>
  <si>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</si>
  <si>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</si>
  <si>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</si>
  <si>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</si>
  <si>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</si>
  <si>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</si>
  <si>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</si>
  <si>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</si>
  <si>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</si>
  <si>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</si>
  <si>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</si>
  <si>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</si>
  <si>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</si>
  <si>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</si>
  <si>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</si>
  <si>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</si>
  <si>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</si>
  <si>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</si>
  <si>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</si>
  <si>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</si>
  <si>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</si>
  <si>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</si>
  <si>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</si>
  <si>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</si>
  <si>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</si>
  <si>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</si>
  <si>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</si>
  <si>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</si>
  <si>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</si>
  <si>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</si>
  <si>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</si>
  <si>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</si>
  <si>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</si>
  <si>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</si>
  <si>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</si>
  <si>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</si>
  <si>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</si>
  <si>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</si>
  <si>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</si>
  <si>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</si>
  <si>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</si>
  <si>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</si>
  <si>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</si>
  <si>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</si>
  <si>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</si>
  <si>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</si>
  <si>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</si>
  <si>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</si>
  <si>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</si>
  <si>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</si>
  <si>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</si>
  <si>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</si>
  <si>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</si>
  <si>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</si>
  <si>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</si>
  <si>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</si>
  <si>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</si>
  <si>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</si>
  <si>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</si>
  <si>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</si>
  <si>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</si>
  <si>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</si>
  <si>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</si>
  <si>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</si>
  <si>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</si>
  <si>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</si>
  <si>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</si>
  <si>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</si>
  <si>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</si>
  <si>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</si>
  <si>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</si>
  <si>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</si>
  <si>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</si>
  <si>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</si>
  <si>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</si>
  <si>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</si>
  <si>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</si>
  <si>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</si>
  <si>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</si>
  <si>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</si>
  <si>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</si>
  <si>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</si>
  <si>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</si>
  <si>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</si>
  <si>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</si>
  <si>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</si>
  <si>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</si>
  <si>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</si>
  <si>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</si>
  <si>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</si>
  <si>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</si>
  <si>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</si>
  <si>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</si>
  <si>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</si>
  <si>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</si>
  <si>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</si>
  <si>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</si>
  <si>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</si>
  <si>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</si>
  <si>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</si>
  <si>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Créances sur le concédant</t>
  </si>
  <si>
    <t>Créances rattachées à des avances et participations à des GIE</t>
  </si>
  <si>
    <t>Immobilisations financières diverse</t>
  </si>
  <si>
    <t>Marchandises HAO</t>
  </si>
  <si>
    <t>Emballages</t>
  </si>
  <si>
    <t>Clients et effets à recevoir Etat, Collectivités, et organismes internationaux</t>
  </si>
  <si>
    <t>Clients chèques et valeurs impayés</t>
  </si>
  <si>
    <t>Clients avec réserve de propriété</t>
  </si>
  <si>
    <t>Fournisseurs sous-traitants</t>
  </si>
  <si>
    <t>Fournisseurs réserve de propriété</t>
  </si>
  <si>
    <t>Fournisseurs retenues de garantie</t>
  </si>
  <si>
    <t>Fournisseurs acquisition courantes immobilisation</t>
  </si>
  <si>
    <t>Personnel congés à payer</t>
  </si>
  <si>
    <t>Autre personnel</t>
  </si>
  <si>
    <t>Mutuelle de santé</t>
  </si>
  <si>
    <t>Assurance retraite</t>
  </si>
  <si>
    <t>Autres charges sociales à payer</t>
  </si>
  <si>
    <t>Intermédiaires-opérations faites pour comptes de tiers</t>
  </si>
  <si>
    <t>Produits constatés d’avance</t>
  </si>
  <si>
    <t>Ventes dans l'Etat partie</t>
  </si>
  <si>
    <t>Ventes dans les autres Etats parties de la région</t>
  </si>
  <si>
    <t xml:space="preserve"> Rabais, remises, ristournes accordés</t>
  </si>
  <si>
    <t>Frais sur achats (en cas d'option)</t>
  </si>
  <si>
    <t>Voyages et déplacements</t>
  </si>
  <si>
    <t>Transport entre établissement ou chantier</t>
  </si>
  <si>
    <t>Transport administratif</t>
  </si>
  <si>
    <t>Rabais remises et ristournes obtenus</t>
  </si>
  <si>
    <t>Redevances versées au concédant (concession service public)</t>
  </si>
  <si>
    <t>Rémunération de personnel extérieur à l’entité</t>
  </si>
  <si>
    <t>Pertes de change financiére</t>
  </si>
  <si>
    <t>Intérêts dans loyers de location-financement</t>
  </si>
  <si>
    <t>Charges liées aux opérations de restructuration</t>
  </si>
  <si>
    <t>Pertes sur créances HAO</t>
  </si>
  <si>
    <t>charges pour dépréciations et provisions our risques à court terme HAO</t>
  </si>
  <si>
    <t>Charges liées aux opérations de liquidation</t>
  </si>
  <si>
    <t>Reprises de provisions et d’amortissements et de dépréciation HAO</t>
  </si>
  <si>
    <t>Subvention d’équilibre</t>
  </si>
  <si>
    <t>Produits liés aux opérations de liquidation</t>
  </si>
  <si>
    <t>Produits liés aux opérations de restructuration</t>
  </si>
  <si>
    <t xml:space="preserve">Indémnités et subventions HAO (Entités agricoles) </t>
  </si>
  <si>
    <t>- Change HAO</t>
  </si>
  <si>
    <t>NOTE 3C : IMMOBILISATIONS (DEPRECIATIONS)</t>
  </si>
  <si>
    <t>Avances et accomptes versé sur immobilisations incorporelles</t>
  </si>
  <si>
    <t>Avances et accomptes versé sur immobilisations corporelles</t>
  </si>
  <si>
    <t>SOUS TOTAL : AVANCES ET ACCOMPTES  VERSES</t>
  </si>
  <si>
    <t>Titres de participations</t>
  </si>
  <si>
    <t>Autres immobilisations financiéres</t>
  </si>
  <si>
    <t>791 Reprises de procisions et dépréciations d'exploitation</t>
  </si>
  <si>
    <t>Compte transitoire à solder: 4752 compte transitoire, ajustement spécial lié à la révision</t>
  </si>
  <si>
    <t>NOTE 8B : TABLEAU D'ETALEMENT DES PROVISIONS POUR CHARGES A REPARTIR</t>
  </si>
  <si>
    <t>6911 Dotations aux provisions pour risques et charges</t>
  </si>
  <si>
    <t>Dakar</t>
  </si>
  <si>
    <t>Exercice au 31/12/N</t>
  </si>
  <si>
    <t>Exercice au 31/12/N-1</t>
  </si>
  <si>
    <t>31/12/N</t>
  </si>
  <si>
    <t>31/12/N-1</t>
  </si>
  <si>
    <t>CENTRE DE DEPOT : DIRECTION DES GRANDES ENTREPRISES</t>
  </si>
  <si>
    <t>IAMGOLD BOTO SA</t>
  </si>
  <si>
    <t>PARCELLE 08 ZONE 7 ALMADIES DERRIERE HOTEL LODGE</t>
  </si>
  <si>
    <t>007768007</t>
  </si>
  <si>
    <t>SN-DKR-2020-B 3772</t>
  </si>
  <si>
    <t>006 002</t>
  </si>
  <si>
    <t>33 859 55 12</t>
  </si>
  <si>
    <t>EXTRACTIONS DE MINERAIS METALLIQUES</t>
  </si>
  <si>
    <t>AWA GUEYE DIAW</t>
  </si>
  <si>
    <t>KPMG SENEGAL 2, Place de l’Indépendance | Sis Immeuble Ex-Hôtel de l’Indépendance (10e)</t>
  </si>
  <si>
    <t>SEBASTIEN PERREAULT</t>
  </si>
  <si>
    <t>DIRECTEUR GENERAL</t>
  </si>
  <si>
    <t>BICIS</t>
  </si>
  <si>
    <t>SN0100152800060230008232</t>
  </si>
  <si>
    <t>BOA SENEGAL</t>
  </si>
  <si>
    <t>SN1000100300254657000785</t>
  </si>
  <si>
    <t>EXTRACTION DE MINERAIS METALLIQUES</t>
  </si>
  <si>
    <t>PERREAULT</t>
  </si>
  <si>
    <t>SEBASTIEN</t>
  </si>
  <si>
    <t>CANADA</t>
  </si>
  <si>
    <t>TOGUYENI</t>
  </si>
  <si>
    <t>GUEYE</t>
  </si>
  <si>
    <t>SARR</t>
  </si>
  <si>
    <t>GILLES</t>
  </si>
  <si>
    <t xml:space="preserve">CRAIG </t>
  </si>
  <si>
    <t>OUMAR</t>
  </si>
  <si>
    <t>IBRAHIMA</t>
  </si>
  <si>
    <t>BASSIROU</t>
  </si>
  <si>
    <t>FERLATTE</t>
  </si>
  <si>
    <t>MACDOUGAL</t>
  </si>
  <si>
    <t>PRESIDENT DU CONSEIL D'ADMINISTRATION</t>
  </si>
  <si>
    <t>ADMINISTRATEUR</t>
  </si>
  <si>
    <t>DAKAR</t>
  </si>
  <si>
    <t/>
  </si>
  <si>
    <t xml:space="preserve">Cette augmentation des immobilisations est principalement expliquée par la comptabilisation des frais de recherche dans les immobilisations corporelles suite à la validation en Mars 2022 par </t>
  </si>
  <si>
    <t>le Ministère des Mines et de la Géologie , de ces dépenses , à hauteur de 42 908 812 972 FCFA sur les 44 312 076 640 engagés.</t>
  </si>
  <si>
    <t xml:space="preserve">Type d'immobilisation </t>
  </si>
  <si>
    <t>Methode damortissement</t>
  </si>
  <si>
    <t>Durée</t>
  </si>
  <si>
    <t>Linéaire</t>
  </si>
  <si>
    <t>3 ans</t>
  </si>
  <si>
    <t>Bâtiments, agencements et Installations techniques</t>
  </si>
  <si>
    <t>Durée de vie de la mine</t>
  </si>
  <si>
    <t>Equipements informatiques et Logiciels</t>
  </si>
  <si>
    <t>Matériels et mobiliers</t>
  </si>
  <si>
    <t>5 ans</t>
  </si>
  <si>
    <t>Matériels de transport</t>
  </si>
  <si>
    <t>Engins lourds miniers</t>
  </si>
  <si>
    <t>Il s'agit de cautions versées pour le branchement au réseaux d'eau et electrique au niveau du siège social</t>
  </si>
  <si>
    <t>Le stock est relatif aux approvisionnements en carburant.</t>
  </si>
  <si>
    <t>L'inventaire a été effectué au 31/12/2022, la méthode PEPS (Premier entré Premier sorti) a été utilisée.</t>
  </si>
  <si>
    <t>ANNEE 2022</t>
  </si>
  <si>
    <t>ANNEE 2021</t>
  </si>
  <si>
    <t>La créance sur le personnel correspond à des avances de salaire et au paiement de la quote part employé de frais médicaux.</t>
  </si>
  <si>
    <t>La créance sur l'Etat est quant elle due à une retenue BNC versée par erreur.</t>
  </si>
  <si>
    <t>La créance sur les Apporteurs, associés et groupe est due à la refacturation des charges communes à des sociétés liées et établies au Sénégal.</t>
  </si>
  <si>
    <t xml:space="preserve">Le solde du compte de banque s'explique par les  avances de fonds reçues de l'associé principal dans le cadre de la convention de prêt qui nous lie et dont le but est de </t>
  </si>
  <si>
    <t xml:space="preserve">soutenir les activités de la société dans cette phase où la production n'a pas encore démarrée.La diminution notée au niveau du solde est principalement due à la baisse notable des </t>
  </si>
  <si>
    <t>activités en 2022.</t>
  </si>
  <si>
    <t>Charges communes</t>
  </si>
  <si>
    <t>Paiement pour compte</t>
  </si>
  <si>
    <t>USD</t>
  </si>
  <si>
    <t>IAMGOLD CORPORATION</t>
  </si>
  <si>
    <t>ETAT DU SENEGAL</t>
  </si>
  <si>
    <t>CANADIENNE</t>
  </si>
  <si>
    <t>SENEGALAISE</t>
  </si>
  <si>
    <t xml:space="preserve">En fin 2022 des négociations ont été entamées en vue de la cession des parts de l'associé principal à savoir Iamgold Corporation. Ce changement devrait intervenir </t>
  </si>
  <si>
    <t>courant 2023. Le Minstère des Mines ayant déjà donné son accord.</t>
  </si>
  <si>
    <t>Année 202</t>
  </si>
  <si>
    <t xml:space="preserve">Une convention de prêt avec le principal associé, IAMGOLD CORPORATION, a été signée dans le but de financer les activités de la société, de combler ses besoins en fonds de roulement </t>
  </si>
  <si>
    <t xml:space="preserve">et aussi à des fins générales de l'entreprise. Le déboursement du prêt se fait mensuellement sous forme d'avance de fonds. Le montant total de l'emprunt est estimé à 87 Millions USD et la durée de </t>
  </si>
  <si>
    <t>remboursement s'étale sur 6 ans à partir du début de la production commerciale. La dette étant libée en USD , une provision pour perte de change a été constituée.</t>
  </si>
  <si>
    <t xml:space="preserve">Selon l'article 20 de la convention minière, les dépenses de recherche non utilisées comme apport en nature dans la constitution du capital de la société d'exploitation doivent être considérées </t>
  </si>
  <si>
    <t xml:space="preserve">comme prêts d'actionnaires. Après l'audit demandé par l'Etat du Sénégal et suite à la validation par le Ministère des Mines et de la Géologie par lettre daté du 07 Mars 2022, 42 908 812 972 F CFA </t>
  </si>
  <si>
    <t>ont été validés sur les 44 312 076 640 F CFA présentés. Ces dépenses ont été transférées sous forme de prêt à IAMGOLD BOTO SA. Ce qui explique l'augmentation considérable notée sur</t>
  </si>
  <si>
    <t>au niveau des Emrpunts.</t>
  </si>
  <si>
    <t>La dette fournisseur a baissé de façon globale grâce aux paiements réguliers effectués mais aussi du fait de la baisse des activités en 2022.</t>
  </si>
  <si>
    <t>Les dettes fiscales correspondent aux dettes issues de l'exploitation normale de l'entité. L'augmentation du poste est due au montant provisionné des bonus de 2022 à payer sur 2023.</t>
  </si>
  <si>
    <t>Cette baisse est relative aux remboursements du compte courant.</t>
  </si>
  <si>
    <t xml:space="preserve">Ce montant correspond à la contrepartie de la capitaliation des dépenses liées au développement du projet. La dimunition notée sur les différents postes est fortement </t>
  </si>
  <si>
    <t>liée à la baisse d'activité notée en 2022.</t>
  </si>
  <si>
    <t>La baisse des Achats est liée à la sous activité notée en 2022.</t>
  </si>
  <si>
    <t>De façon globale nous notons une forte baisse sur ce poste. Celle-ci confirme la baisse d'activité constatée en 2022.</t>
  </si>
  <si>
    <t xml:space="preserve">Ce poste a connu une nette augmentation cette année car beaucoup de projets communautaires ont été bouclés courant 2022. Cette évolution s'explique également par le </t>
  </si>
  <si>
    <t>démarrage du projet de reconstruction du village devant abriter une partie de la population impactée par le projet.</t>
  </si>
  <si>
    <t>Cette baisse des charges salariales est liée aux départs notés parmi les salariés expatriés qui constituaient une part importante de la masse salariale.</t>
  </si>
  <si>
    <t>La provision est essentiellement constituée par la provision pour pertes de change liée à l'emprunt et à la provision pour départ à la retraite.</t>
  </si>
  <si>
    <t>La hausse des pertes de change est non seulement liée à l'arrêt des paiements par l'agent payeur mais aussi au remboursement du compte courant associé.</t>
  </si>
  <si>
    <t>CAPITATLISATION DES DEPENSES DE DEVELOPPEMENT</t>
  </si>
  <si>
    <t>Année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</si>
</sst>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00\ _€_-;\-* #,##0.00\ _€_-;_-* &quot;-&quot;??\ _€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74">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b/>
      <i/>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b/>
      <sz val="11"/>
      <color theme="0"/>
      <name val="Cambria"/>
      <family val="1"/>
    </font>
    <font>
      <sz val="11"/>
      <color theme="1"/>
      <name val="Cambria"/>
      <family val="1"/>
    </font>
    <font>
      <sz val="11"/>
      <color theme="0"/>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vertAlign val="superscript"/>
      <sz val="9"/>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sz val="10"/>
      <color theme="4" tint="-0.249977111117893"/>
      <name val="Calibri"/>
      <family val="2"/>
      <scheme val="minor"/>
    </font>
    <font>
      <b/>
      <sz val="9"/>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47">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style="thin">
        <color indexed="9"/>
      </right>
      <top style="hair">
        <color indexed="8"/>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bottom style="thick">
        <color theme="9" tint="-0.2499465926084170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0">
    <xf numFmtId="0" fontId="0" fillId="0" borderId="0"/>
    <xf numFmtId="164" fontId="5" fillId="0" borderId="0" applyFont="0" applyFill="0" applyBorder="0" applyAlignment="0" applyProtection="0"/>
    <xf numFmtId="166" fontId="5" fillId="0" borderId="0" applyFont="0" applyFill="0" applyBorder="0" applyAlignment="0" applyProtection="0"/>
    <xf numFmtId="0" fontId="4" fillId="0" borderId="0"/>
    <xf numFmtId="164" fontId="4" fillId="0" borderId="0" applyFont="0" applyFill="0" applyBorder="0" applyAlignment="0" applyProtection="0"/>
    <xf numFmtId="0" fontId="15" fillId="0" borderId="0" applyNumberFormat="0" applyFill="0" applyBorder="0" applyProtection="0">
      <alignment vertical="top" wrapText="1"/>
    </xf>
    <xf numFmtId="0" fontId="20" fillId="0" borderId="0"/>
    <xf numFmtId="0" fontId="13" fillId="0" borderId="0"/>
    <xf numFmtId="0" fontId="39" fillId="5" borderId="0" applyNumberFormat="0" applyBorder="0" applyAlignment="0" applyProtection="0"/>
    <xf numFmtId="0" fontId="39" fillId="6" borderId="0" applyNumberFormat="0" applyBorder="0" applyAlignment="0" applyProtection="0"/>
    <xf numFmtId="0" fontId="3" fillId="0" borderId="0"/>
    <xf numFmtId="0" fontId="57" fillId="0" borderId="0"/>
    <xf numFmtId="0" fontId="5" fillId="0" borderId="0"/>
    <xf numFmtId="0" fontId="2" fillId="0" borderId="0"/>
    <xf numFmtId="165" fontId="13" fillId="0" borderId="0" applyFont="0" applyFill="0" applyBorder="0" applyAlignment="0" applyProtection="0"/>
    <xf numFmtId="9" fontId="13" fillId="0" borderId="0" applyFont="0" applyFill="0" applyBorder="0" applyAlignment="0" applyProtection="0"/>
    <xf numFmtId="0" fontId="1" fillId="0" borderId="0"/>
    <xf numFmtId="173" fontId="1" fillId="0" borderId="0" applyFont="0" applyFill="0" applyBorder="0" applyAlignment="0" applyProtection="0"/>
    <xf numFmtId="0" fontId="1" fillId="0" borderId="0"/>
    <xf numFmtId="164" fontId="1" fillId="0" borderId="0" applyFont="0" applyFill="0" applyBorder="0" applyAlignment="0" applyProtection="0"/>
  </cellStyleXfs>
  <cellXfs count="1076">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6" fillId="3" borderId="18" xfId="0" applyNumberFormat="1" applyFont="1" applyFill="1" applyBorder="1" applyAlignment="1">
      <alignment vertical="center"/>
    </xf>
    <xf numFmtId="0" fontId="8" fillId="0" borderId="0" xfId="0" applyFont="1" applyAlignment="1">
      <alignment vertical="center"/>
    </xf>
    <xf numFmtId="0" fontId="8" fillId="0" borderId="0" xfId="0" applyNumberFormat="1" applyFont="1" applyAlignment="1">
      <alignment vertical="center" wrapText="1"/>
    </xf>
    <xf numFmtId="0" fontId="8" fillId="0" borderId="18" xfId="0" applyFont="1" applyBorder="1" applyAlignment="1">
      <alignment horizontal="center" vertical="center"/>
    </xf>
    <xf numFmtId="0" fontId="8" fillId="0" borderId="18" xfId="0" applyNumberFormat="1" applyFont="1" applyBorder="1" applyAlignment="1">
      <alignment vertical="center"/>
    </xf>
    <xf numFmtId="0" fontId="8" fillId="0" borderId="0" xfId="0" applyFont="1" applyAlignment="1">
      <alignment horizontal="center" vertical="center"/>
    </xf>
    <xf numFmtId="0" fontId="7" fillId="0" borderId="0" xfId="0" applyNumberFormat="1" applyFont="1" applyAlignment="1">
      <alignment vertical="center"/>
    </xf>
    <xf numFmtId="0" fontId="7" fillId="0" borderId="0" xfId="0" applyFont="1" applyAlignment="1">
      <alignment vertical="center"/>
    </xf>
    <xf numFmtId="0" fontId="6" fillId="3" borderId="4" xfId="0" applyNumberFormat="1" applyFont="1" applyFill="1" applyBorder="1" applyAlignment="1">
      <alignment horizontal="center" vertical="center" wrapText="1"/>
    </xf>
    <xf numFmtId="0" fontId="6" fillId="3" borderId="5" xfId="0" applyNumberFormat="1" applyFont="1" applyFill="1" applyBorder="1" applyAlignment="1">
      <alignment horizontal="center" vertical="center"/>
    </xf>
    <xf numFmtId="0" fontId="6" fillId="3" borderId="5" xfId="0" applyNumberFormat="1" applyFont="1" applyFill="1" applyBorder="1" applyAlignment="1">
      <alignment horizontal="center" vertical="center" wrapText="1"/>
    </xf>
    <xf numFmtId="0" fontId="6" fillId="3" borderId="21" xfId="0" applyNumberFormat="1" applyFont="1" applyFill="1" applyBorder="1" applyAlignment="1">
      <alignment horizontal="center" vertical="center" wrapText="1"/>
    </xf>
    <xf numFmtId="0" fontId="6" fillId="3" borderId="15" xfId="0" applyNumberFormat="1" applyFont="1" applyFill="1" applyBorder="1" applyAlignment="1">
      <alignment horizontal="center" vertical="center" wrapText="1"/>
    </xf>
    <xf numFmtId="0" fontId="6" fillId="3" borderId="8" xfId="0" applyNumberFormat="1" applyFont="1" applyFill="1" applyBorder="1" applyAlignment="1">
      <alignment horizontal="center" vertical="center" wrapText="1"/>
    </xf>
    <xf numFmtId="0" fontId="6" fillId="3" borderId="7" xfId="0" applyNumberFormat="1" applyFont="1" applyFill="1" applyBorder="1" applyAlignment="1">
      <alignment horizontal="center" vertical="center" wrapText="1"/>
    </xf>
    <xf numFmtId="0" fontId="6" fillId="3" borderId="9" xfId="0" applyNumberFormat="1"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5" xfId="0" applyFont="1" applyFill="1" applyBorder="1" applyAlignment="1">
      <alignment vertical="center" wrapText="1"/>
    </xf>
    <xf numFmtId="0" fontId="7" fillId="3" borderId="15" xfId="0" applyNumberFormat="1" applyFont="1" applyFill="1" applyBorder="1" applyAlignment="1">
      <alignment horizontal="center" vertical="center" wrapText="1"/>
    </xf>
    <xf numFmtId="0" fontId="6" fillId="3" borderId="18" xfId="0" applyFont="1" applyFill="1" applyBorder="1" applyAlignment="1">
      <alignment horizontal="center" vertical="center"/>
    </xf>
    <xf numFmtId="0" fontId="6" fillId="3" borderId="18" xfId="1" applyNumberFormat="1" applyFont="1" applyFill="1" applyBorder="1" applyAlignment="1">
      <alignment vertical="center"/>
    </xf>
    <xf numFmtId="0" fontId="7" fillId="4" borderId="18" xfId="0" applyNumberFormat="1" applyFont="1" applyFill="1" applyBorder="1" applyAlignment="1">
      <alignment vertical="center"/>
    </xf>
    <xf numFmtId="0" fontId="7" fillId="4" borderId="18" xfId="0" applyFont="1" applyFill="1" applyBorder="1" applyAlignment="1">
      <alignment horizontal="center" vertical="center"/>
    </xf>
    <xf numFmtId="3" fontId="8" fillId="0" borderId="0" xfId="0" applyNumberFormat="1" applyFont="1" applyAlignment="1">
      <alignment vertical="center" wrapText="1"/>
    </xf>
    <xf numFmtId="0" fontId="14" fillId="0" borderId="0" xfId="0" applyFont="1" applyAlignment="1">
      <alignment vertical="center" wrapText="1"/>
    </xf>
    <xf numFmtId="3" fontId="7" fillId="4" borderId="15" xfId="0" applyNumberFormat="1" applyFont="1" applyFill="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3"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2" xfId="0" applyNumberFormat="1" applyFont="1" applyBorder="1" applyAlignment="1" applyProtection="1">
      <alignment vertical="center" wrapText="1"/>
      <protection hidden="1"/>
    </xf>
    <xf numFmtId="3" fontId="8" fillId="0" borderId="24" xfId="0" applyNumberFormat="1" applyFont="1" applyBorder="1" applyAlignment="1" applyProtection="1">
      <alignment vertical="center" wrapText="1"/>
      <protection hidden="1"/>
    </xf>
    <xf numFmtId="3" fontId="8" fillId="0" borderId="23"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8" fillId="0" borderId="5" xfId="0" applyNumberFormat="1" applyFont="1" applyBorder="1" applyAlignment="1" applyProtection="1">
      <alignment vertical="center" wrapText="1"/>
      <protection hidden="1"/>
    </xf>
    <xf numFmtId="3" fontId="7" fillId="4" borderId="18" xfId="0" applyNumberFormat="1" applyFont="1" applyFill="1" applyBorder="1" applyAlignment="1" applyProtection="1">
      <alignment vertical="center" wrapText="1"/>
      <protection hidden="1"/>
    </xf>
    <xf numFmtId="3" fontId="6" fillId="3" borderId="18" xfId="0" applyNumberFormat="1" applyFont="1" applyFill="1" applyBorder="1" applyAlignment="1" applyProtection="1">
      <alignment vertical="center" wrapText="1"/>
      <protection hidden="1"/>
    </xf>
    <xf numFmtId="3" fontId="8" fillId="2" borderId="18" xfId="0" applyNumberFormat="1" applyFont="1" applyFill="1" applyBorder="1" applyAlignment="1" applyProtection="1">
      <alignment vertical="center" wrapText="1"/>
      <protection hidden="1"/>
    </xf>
    <xf numFmtId="3" fontId="6" fillId="3" borderId="19" xfId="0" applyNumberFormat="1" applyFont="1" applyFill="1" applyBorder="1" applyAlignment="1" applyProtection="1">
      <alignment vertical="center" wrapText="1"/>
      <protection hidden="1"/>
    </xf>
    <xf numFmtId="0" fontId="7" fillId="4" borderId="15" xfId="0" applyFont="1" applyFill="1" applyBorder="1" applyAlignment="1" applyProtection="1">
      <alignment horizontal="center" vertical="center" wrapText="1"/>
      <protection hidden="1"/>
    </xf>
    <xf numFmtId="0" fontId="7" fillId="4" borderId="16" xfId="0" applyFont="1" applyFill="1" applyBorder="1" applyAlignment="1" applyProtection="1">
      <alignment vertical="center"/>
      <protection hidden="1"/>
    </xf>
    <xf numFmtId="0" fontId="7" fillId="4" borderId="17" xfId="0" applyFont="1" applyFill="1" applyBorder="1" applyAlignment="1" applyProtection="1">
      <alignment horizontal="center" vertical="center" wrapText="1"/>
      <protection hidden="1"/>
    </xf>
    <xf numFmtId="0" fontId="8" fillId="0" borderId="18" xfId="0" applyFont="1" applyBorder="1" applyAlignment="1" applyProtection="1">
      <alignment horizontal="center" vertical="center" wrapText="1"/>
      <protection hidden="1"/>
    </xf>
    <xf numFmtId="0" fontId="8" fillId="0" borderId="5" xfId="0" applyFont="1" applyBorder="1" applyAlignment="1" applyProtection="1">
      <alignment vertical="center"/>
      <protection hidden="1"/>
    </xf>
    <xf numFmtId="0" fontId="8" fillId="0" borderId="11" xfId="0" applyFont="1" applyBorder="1" applyAlignment="1" applyProtection="1">
      <alignment horizontal="center" vertical="center" wrapText="1"/>
      <protection hidden="1"/>
    </xf>
    <xf numFmtId="0" fontId="8" fillId="0" borderId="12" xfId="0" applyFont="1" applyBorder="1" applyAlignment="1" applyProtection="1">
      <alignment vertical="center"/>
      <protection hidden="1"/>
    </xf>
    <xf numFmtId="0" fontId="8" fillId="0" borderId="13" xfId="0" applyFont="1" applyBorder="1" applyAlignment="1" applyProtection="1">
      <alignment horizontal="center" vertical="center" wrapText="1"/>
      <protection hidden="1"/>
    </xf>
    <xf numFmtId="0" fontId="9" fillId="0" borderId="18" xfId="0" applyFont="1" applyBorder="1" applyAlignment="1" applyProtection="1">
      <alignment horizontal="center" vertical="center" wrapText="1"/>
      <protection hidden="1"/>
    </xf>
    <xf numFmtId="0" fontId="9" fillId="0" borderId="5" xfId="0" applyFont="1" applyBorder="1" applyAlignment="1" applyProtection="1">
      <alignment vertical="center"/>
      <protection hidden="1"/>
    </xf>
    <xf numFmtId="3" fontId="9" fillId="0" borderId="18" xfId="0" applyNumberFormat="1" applyFont="1" applyBorder="1" applyAlignment="1" applyProtection="1">
      <alignment vertical="center" wrapText="1"/>
      <protection hidden="1"/>
    </xf>
    <xf numFmtId="0" fontId="8" fillId="0" borderId="19" xfId="0" applyFont="1" applyBorder="1" applyAlignment="1" applyProtection="1">
      <alignment horizontal="center" vertical="center" wrapText="1"/>
      <protection hidden="1"/>
    </xf>
    <xf numFmtId="0" fontId="8" fillId="0" borderId="10" xfId="0" applyFont="1" applyBorder="1" applyAlignment="1" applyProtection="1">
      <alignment horizontal="center" vertical="center" wrapText="1"/>
      <protection hidden="1"/>
    </xf>
    <xf numFmtId="0" fontId="8" fillId="0" borderId="0" xfId="0" applyFont="1" applyBorder="1" applyAlignment="1" applyProtection="1">
      <alignment vertical="center" wrapText="1"/>
      <protection hidden="1"/>
    </xf>
    <xf numFmtId="0" fontId="8" fillId="0" borderId="20" xfId="0" applyFont="1" applyBorder="1" applyAlignment="1" applyProtection="1">
      <alignment vertical="center"/>
      <protection hidden="1"/>
    </xf>
    <xf numFmtId="0" fontId="8" fillId="0" borderId="18" xfId="0" applyFont="1" applyBorder="1" applyAlignment="1" applyProtection="1">
      <alignment vertical="center"/>
      <protection hidden="1"/>
    </xf>
    <xf numFmtId="0" fontId="7" fillId="4" borderId="18" xfId="0" applyFont="1" applyFill="1" applyBorder="1" applyAlignment="1" applyProtection="1">
      <alignment horizontal="center" vertical="center" wrapText="1"/>
      <protection hidden="1"/>
    </xf>
    <xf numFmtId="0" fontId="7" fillId="4" borderId="18" xfId="0" applyFont="1" applyFill="1" applyBorder="1" applyAlignment="1" applyProtection="1">
      <alignment vertical="center"/>
      <protection hidden="1"/>
    </xf>
    <xf numFmtId="0" fontId="8" fillId="4" borderId="18" xfId="0" applyFont="1" applyFill="1" applyBorder="1" applyAlignment="1" applyProtection="1">
      <alignment horizontal="center" vertical="center" wrapText="1"/>
      <protection hidden="1"/>
    </xf>
    <xf numFmtId="3" fontId="7" fillId="4" borderId="18" xfId="0" applyNumberFormat="1" applyFont="1" applyFill="1" applyBorder="1" applyAlignment="1" applyProtection="1">
      <alignment vertical="center"/>
      <protection hidden="1"/>
    </xf>
    <xf numFmtId="0" fontId="8" fillId="0" borderId="4" xfId="0" applyFont="1" applyBorder="1" applyAlignment="1" applyProtection="1">
      <alignment vertical="center"/>
      <protection hidden="1"/>
    </xf>
    <xf numFmtId="0" fontId="7" fillId="4" borderId="5" xfId="0" applyFont="1" applyFill="1" applyBorder="1" applyAlignment="1" applyProtection="1">
      <alignment vertical="center"/>
      <protection hidden="1"/>
    </xf>
    <xf numFmtId="0" fontId="9" fillId="0" borderId="19" xfId="0" applyFont="1" applyBorder="1" applyAlignment="1" applyProtection="1">
      <alignment horizontal="center" vertical="center" wrapText="1"/>
      <protection hidden="1"/>
    </xf>
    <xf numFmtId="0" fontId="9" fillId="0" borderId="4" xfId="0" applyFont="1" applyBorder="1" applyAlignment="1" applyProtection="1">
      <alignment vertical="center"/>
      <protection hidden="1"/>
    </xf>
    <xf numFmtId="0" fontId="7" fillId="4" borderId="4" xfId="0" applyFont="1" applyFill="1" applyBorder="1" applyAlignment="1" applyProtection="1">
      <alignment vertical="center"/>
      <protection hidden="1"/>
    </xf>
    <xf numFmtId="0" fontId="6" fillId="3" borderId="18" xfId="0" applyFont="1" applyFill="1" applyBorder="1" applyAlignment="1" applyProtection="1">
      <alignment horizontal="center" vertical="center" wrapText="1"/>
      <protection hidden="1"/>
    </xf>
    <xf numFmtId="0" fontId="6" fillId="3" borderId="5" xfId="0" applyFont="1" applyFill="1" applyBorder="1" applyAlignment="1" applyProtection="1">
      <alignment vertical="center"/>
      <protection hidden="1"/>
    </xf>
    <xf numFmtId="0" fontId="12" fillId="3" borderId="19" xfId="0" applyFont="1" applyFill="1" applyBorder="1" applyAlignment="1" applyProtection="1">
      <alignment horizontal="center" vertical="center" wrapText="1"/>
      <protection hidden="1"/>
    </xf>
    <xf numFmtId="0" fontId="12" fillId="3" borderId="18" xfId="0" applyFont="1" applyFill="1" applyBorder="1" applyAlignment="1" applyProtection="1">
      <alignment horizontal="center" vertical="center"/>
      <protection hidden="1"/>
    </xf>
    <xf numFmtId="3" fontId="6" fillId="3" borderId="18" xfId="0" applyNumberFormat="1" applyFont="1" applyFill="1" applyBorder="1" applyAlignment="1" applyProtection="1">
      <alignment vertical="center"/>
      <protection hidden="1"/>
    </xf>
    <xf numFmtId="0" fontId="7" fillId="0" borderId="18" xfId="0" applyFont="1" applyBorder="1" applyAlignment="1" applyProtection="1">
      <alignment horizontal="center" vertical="center" wrapText="1"/>
      <protection hidden="1"/>
    </xf>
    <xf numFmtId="0" fontId="7" fillId="0" borderId="4" xfId="0" applyFont="1" applyBorder="1" applyAlignment="1" applyProtection="1">
      <alignment vertical="center"/>
      <protection hidden="1"/>
    </xf>
    <xf numFmtId="3" fontId="7" fillId="0" borderId="18" xfId="0" applyNumberFormat="1" applyFont="1" applyBorder="1" applyAlignment="1" applyProtection="1">
      <alignment vertical="center" wrapText="1"/>
      <protection hidden="1"/>
    </xf>
    <xf numFmtId="0" fontId="6" fillId="3" borderId="5"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5" xfId="0" applyFont="1" applyFill="1" applyBorder="1" applyAlignment="1" applyProtection="1">
      <alignment horizontal="center" vertical="center" wrapText="1"/>
      <protection hidden="1"/>
    </xf>
    <xf numFmtId="0" fontId="7" fillId="3" borderId="15" xfId="0" applyFont="1" applyFill="1" applyBorder="1" applyAlignment="1" applyProtection="1">
      <alignment vertical="center" wrapText="1"/>
      <protection hidden="1"/>
    </xf>
    <xf numFmtId="3" fontId="7" fillId="3" borderId="15" xfId="0" applyNumberFormat="1" applyFont="1" applyFill="1" applyBorder="1" applyAlignment="1" applyProtection="1">
      <alignment horizontal="center" vertical="center" wrapText="1"/>
      <protection hidden="1"/>
    </xf>
    <xf numFmtId="0" fontId="8" fillId="0" borderId="11" xfId="0" applyFont="1" applyBorder="1" applyAlignment="1" applyProtection="1">
      <alignment horizontal="center" vertical="center"/>
      <protection hidden="1"/>
    </xf>
    <xf numFmtId="0" fontId="8" fillId="0" borderId="11" xfId="0" applyFont="1" applyBorder="1" applyAlignment="1" applyProtection="1">
      <alignment vertical="center"/>
      <protection hidden="1"/>
    </xf>
    <xf numFmtId="3" fontId="8" fillId="0" borderId="11" xfId="0" applyNumberFormat="1" applyFont="1" applyBorder="1" applyAlignment="1" applyProtection="1">
      <alignment vertical="center"/>
      <protection hidden="1"/>
    </xf>
    <xf numFmtId="0" fontId="8" fillId="0" borderId="18" xfId="0" applyFont="1" applyBorder="1" applyAlignment="1" applyProtection="1">
      <alignment horizontal="center" vertical="center"/>
      <protection hidden="1"/>
    </xf>
    <xf numFmtId="3" fontId="8" fillId="0" borderId="18" xfId="0" applyNumberFormat="1" applyFont="1" applyBorder="1" applyAlignment="1" applyProtection="1">
      <alignment vertical="center"/>
      <protection hidden="1"/>
    </xf>
    <xf numFmtId="0" fontId="8" fillId="0" borderId="18" xfId="0" quotePrefix="1" applyFont="1" applyBorder="1" applyAlignment="1" applyProtection="1">
      <alignment vertical="center"/>
      <protection hidden="1"/>
    </xf>
    <xf numFmtId="0" fontId="8" fillId="0" borderId="18" xfId="0" quotePrefix="1" applyFont="1" applyBorder="1" applyAlignment="1" applyProtection="1">
      <alignment horizontal="center" vertical="center"/>
      <protection hidden="1"/>
    </xf>
    <xf numFmtId="0" fontId="6" fillId="3" borderId="18" xfId="0" applyFont="1" applyFill="1" applyBorder="1" applyAlignment="1" applyProtection="1">
      <alignment horizontal="center" vertical="center"/>
      <protection hidden="1"/>
    </xf>
    <xf numFmtId="0" fontId="6" fillId="3" borderId="18" xfId="0" applyFont="1" applyFill="1" applyBorder="1" applyAlignment="1" applyProtection="1">
      <alignment vertical="center"/>
      <protection hidden="1"/>
    </xf>
    <xf numFmtId="0" fontId="9" fillId="0" borderId="18" xfId="0" applyFont="1" applyBorder="1" applyAlignment="1" applyProtection="1">
      <alignment horizontal="center" vertical="center"/>
      <protection hidden="1"/>
    </xf>
    <xf numFmtId="0" fontId="9" fillId="0" borderId="18" xfId="0" applyFont="1" applyBorder="1" applyAlignment="1" applyProtection="1">
      <alignment vertical="center"/>
      <protection hidden="1"/>
    </xf>
    <xf numFmtId="3" fontId="9" fillId="0" borderId="18" xfId="0" applyNumberFormat="1" applyFont="1" applyBorder="1" applyAlignment="1" applyProtection="1">
      <alignment vertical="center"/>
      <protection hidden="1"/>
    </xf>
    <xf numFmtId="0" fontId="8" fillId="0" borderId="0" xfId="0" applyNumberFormat="1" applyFont="1" applyAlignment="1" applyProtection="1">
      <alignment vertical="center"/>
      <protection hidden="1"/>
    </xf>
    <xf numFmtId="0" fontId="7" fillId="4" borderId="18"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NumberFormat="1" applyFont="1" applyAlignment="1" applyProtection="1">
      <alignment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6" fillId="0" borderId="26" xfId="5" applyNumberFormat="1" applyFont="1" applyBorder="1" applyAlignment="1" applyProtection="1">
      <alignment vertical="center"/>
      <protection hidden="1"/>
    </xf>
    <xf numFmtId="0" fontId="16" fillId="0" borderId="0" xfId="5" applyNumberFormat="1" applyFont="1" applyAlignment="1" applyProtection="1">
      <protection hidden="1"/>
    </xf>
    <xf numFmtId="1" fontId="16" fillId="0" borderId="27" xfId="5" applyNumberFormat="1" applyFont="1" applyBorder="1" applyAlignment="1" applyProtection="1">
      <alignment vertical="center"/>
      <protection hidden="1"/>
    </xf>
    <xf numFmtId="0" fontId="18" fillId="0" borderId="27" xfId="5" applyNumberFormat="1" applyFont="1" applyBorder="1" applyAlignment="1" applyProtection="1">
      <alignment vertical="center"/>
      <protection hidden="1"/>
    </xf>
    <xf numFmtId="1" fontId="18" fillId="0" borderId="27" xfId="5" applyNumberFormat="1" applyFont="1" applyBorder="1" applyAlignment="1" applyProtection="1">
      <alignment vertical="center"/>
      <protection hidden="1"/>
    </xf>
    <xf numFmtId="1" fontId="16" fillId="0" borderId="29" xfId="5" applyNumberFormat="1" applyFont="1" applyBorder="1" applyAlignment="1" applyProtection="1">
      <alignment vertical="center"/>
      <protection hidden="1"/>
    </xf>
    <xf numFmtId="1" fontId="16" fillId="0" borderId="30" xfId="5" applyNumberFormat="1" applyFont="1" applyBorder="1" applyAlignment="1" applyProtection="1">
      <alignment vertical="center"/>
      <protection hidden="1"/>
    </xf>
    <xf numFmtId="1" fontId="18" fillId="0" borderId="58" xfId="5" applyNumberFormat="1" applyFont="1" applyBorder="1" applyAlignment="1" applyProtection="1">
      <alignment vertical="center"/>
      <protection hidden="1"/>
    </xf>
    <xf numFmtId="20" fontId="16" fillId="0" borderId="27" xfId="5" applyNumberFormat="1" applyFont="1" applyBorder="1" applyAlignment="1" applyProtection="1">
      <alignment vertical="center"/>
      <protection hidden="1"/>
    </xf>
    <xf numFmtId="0" fontId="16" fillId="0" borderId="27" xfId="5" applyNumberFormat="1" applyFont="1" applyBorder="1" applyAlignment="1" applyProtection="1">
      <alignment vertical="center"/>
      <protection hidden="1"/>
    </xf>
    <xf numFmtId="1" fontId="16" fillId="0" borderId="31" xfId="5" applyNumberFormat="1" applyFont="1" applyBorder="1" applyAlignment="1" applyProtection="1">
      <alignment vertical="center"/>
      <protection hidden="1"/>
    </xf>
    <xf numFmtId="1" fontId="16" fillId="0" borderId="32" xfId="5" applyNumberFormat="1" applyFont="1" applyBorder="1" applyAlignment="1" applyProtection="1">
      <alignment vertical="center"/>
      <protection hidden="1"/>
    </xf>
    <xf numFmtId="1" fontId="16" fillId="0" borderId="33" xfId="5" applyNumberFormat="1" applyFont="1" applyBorder="1" applyAlignment="1" applyProtection="1">
      <alignment vertical="center"/>
      <protection hidden="1"/>
    </xf>
    <xf numFmtId="1" fontId="16" fillId="0" borderId="34"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6" fillId="0" borderId="36" xfId="5" applyNumberFormat="1" applyFont="1" applyBorder="1" applyAlignment="1" applyProtection="1">
      <alignment vertical="center"/>
      <protection hidden="1"/>
    </xf>
    <xf numFmtId="1" fontId="16" fillId="0" borderId="37" xfId="5" applyNumberFormat="1" applyFont="1" applyBorder="1" applyAlignment="1" applyProtection="1">
      <alignment vertical="center"/>
      <protection hidden="1"/>
    </xf>
    <xf numFmtId="0" fontId="17" fillId="0" borderId="38" xfId="5" applyNumberFormat="1" applyFont="1" applyBorder="1" applyAlignment="1" applyProtection="1">
      <alignment vertical="center"/>
      <protection hidden="1"/>
    </xf>
    <xf numFmtId="1" fontId="16" fillId="0" borderId="18" xfId="5" applyNumberFormat="1" applyFont="1" applyBorder="1" applyAlignment="1" applyProtection="1">
      <alignment vertical="center"/>
      <protection hidden="1"/>
    </xf>
    <xf numFmtId="1" fontId="17" fillId="0" borderId="38" xfId="5" applyNumberFormat="1" applyFont="1" applyBorder="1" applyAlignment="1" applyProtection="1">
      <alignment vertical="center"/>
      <protection hidden="1"/>
    </xf>
    <xf numFmtId="1" fontId="16" fillId="0" borderId="38" xfId="5" applyNumberFormat="1" applyFont="1" applyBorder="1" applyAlignment="1" applyProtection="1">
      <alignment vertical="center"/>
      <protection hidden="1"/>
    </xf>
    <xf numFmtId="1" fontId="16" fillId="0" borderId="39" xfId="5" applyNumberFormat="1" applyFont="1" applyBorder="1" applyAlignment="1" applyProtection="1">
      <alignment vertical="center"/>
      <protection hidden="1"/>
    </xf>
    <xf numFmtId="1" fontId="16" fillId="0" borderId="40" xfId="5" applyNumberFormat="1" applyFont="1" applyBorder="1" applyAlignment="1" applyProtection="1">
      <alignment vertical="center"/>
      <protection hidden="1"/>
    </xf>
    <xf numFmtId="0" fontId="16" fillId="0" borderId="33" xfId="5" applyNumberFormat="1" applyFont="1" applyBorder="1" applyAlignment="1" applyProtection="1">
      <alignment vertical="center"/>
      <protection hidden="1"/>
    </xf>
    <xf numFmtId="0" fontId="16" fillId="0" borderId="39" xfId="5" applyNumberFormat="1" applyFont="1" applyBorder="1" applyAlignment="1" applyProtection="1">
      <alignment vertical="center"/>
      <protection hidden="1"/>
    </xf>
    <xf numFmtId="0" fontId="16" fillId="0" borderId="0" xfId="5" applyFont="1" applyAlignment="1" applyProtection="1">
      <alignment vertical="top" wrapText="1"/>
      <protection hidden="1"/>
    </xf>
    <xf numFmtId="0" fontId="29" fillId="0" borderId="27" xfId="5" applyFont="1" applyBorder="1" applyAlignment="1" applyProtection="1">
      <alignment vertical="center"/>
      <protection hidden="1"/>
    </xf>
    <xf numFmtId="0" fontId="29" fillId="0" borderId="0" xfId="5" applyNumberFormat="1" applyFont="1" applyAlignment="1" applyProtection="1">
      <protection hidden="1"/>
    </xf>
    <xf numFmtId="1" fontId="30" fillId="0" borderId="27" xfId="5" applyNumberFormat="1" applyFont="1" applyBorder="1" applyAlignment="1" applyProtection="1">
      <alignment horizontal="right" vertical="center"/>
      <protection hidden="1"/>
    </xf>
    <xf numFmtId="1" fontId="32" fillId="0" borderId="29" xfId="5" applyNumberFormat="1" applyFont="1" applyBorder="1" applyAlignment="1" applyProtection="1">
      <alignment horizontal="center" vertical="center"/>
      <protection hidden="1"/>
    </xf>
    <xf numFmtId="3" fontId="30" fillId="0" borderId="29" xfId="5" applyNumberFormat="1" applyFont="1" applyBorder="1" applyAlignment="1" applyProtection="1">
      <alignment horizontal="center" vertical="center"/>
      <protection hidden="1"/>
    </xf>
    <xf numFmtId="0" fontId="29" fillId="0" borderId="29" xfId="5" applyFont="1" applyBorder="1" applyAlignment="1" applyProtection="1">
      <alignment vertical="center"/>
      <protection hidden="1"/>
    </xf>
    <xf numFmtId="0" fontId="29" fillId="0" borderId="31" xfId="5" applyFont="1" applyBorder="1" applyAlignment="1" applyProtection="1">
      <alignment vertical="center"/>
      <protection hidden="1"/>
    </xf>
    <xf numFmtId="1" fontId="29" fillId="0" borderId="31" xfId="5" applyNumberFormat="1" applyFont="1" applyBorder="1" applyAlignment="1" applyProtection="1">
      <alignment horizontal="center" vertical="center"/>
      <protection hidden="1"/>
    </xf>
    <xf numFmtId="1" fontId="30" fillId="0" borderId="48" xfId="5" applyNumberFormat="1" applyFont="1" applyBorder="1" applyAlignment="1" applyProtection="1">
      <alignment horizontal="right" vertical="center" wrapText="1"/>
      <protection hidden="1"/>
    </xf>
    <xf numFmtId="1" fontId="33" fillId="0" borderId="33" xfId="5" applyNumberFormat="1" applyFont="1" applyBorder="1" applyAlignment="1" applyProtection="1">
      <alignment vertical="center"/>
      <protection hidden="1"/>
    </xf>
    <xf numFmtId="1" fontId="30" fillId="0" borderId="34" xfId="5" applyNumberFormat="1" applyFont="1" applyBorder="1" applyAlignment="1" applyProtection="1">
      <alignment horizontal="right" vertical="center"/>
      <protection hidden="1"/>
    </xf>
    <xf numFmtId="1" fontId="29" fillId="0" borderId="36" xfId="5" applyNumberFormat="1" applyFont="1" applyBorder="1" applyAlignment="1" applyProtection="1">
      <alignment vertical="center"/>
      <protection hidden="1"/>
    </xf>
    <xf numFmtId="1" fontId="29" fillId="0" borderId="42" xfId="5" applyNumberFormat="1" applyFont="1" applyBorder="1" applyAlignment="1" applyProtection="1">
      <alignment vertical="center"/>
      <protection hidden="1"/>
    </xf>
    <xf numFmtId="0" fontId="29" fillId="0" borderId="38" xfId="5" applyFont="1" applyBorder="1" applyAlignment="1" applyProtection="1">
      <alignment vertical="center"/>
      <protection hidden="1"/>
    </xf>
    <xf numFmtId="1" fontId="33" fillId="0" borderId="38" xfId="5" applyNumberFormat="1" applyFont="1" applyBorder="1" applyAlignment="1" applyProtection="1">
      <alignment vertical="center"/>
      <protection hidden="1"/>
    </xf>
    <xf numFmtId="1" fontId="29" fillId="0" borderId="27"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left" vertical="center"/>
      <protection hidden="1"/>
    </xf>
    <xf numFmtId="1" fontId="30" fillId="0" borderId="34" xfId="5" applyNumberFormat="1" applyFont="1" applyBorder="1" applyAlignment="1" applyProtection="1">
      <alignment horizontal="right" vertical="center" wrapText="1"/>
      <protection hidden="1"/>
    </xf>
    <xf numFmtId="1" fontId="29" fillId="0" borderId="34" xfId="5" applyNumberFormat="1" applyFont="1" applyBorder="1" applyAlignment="1" applyProtection="1">
      <alignment vertical="center"/>
      <protection hidden="1"/>
    </xf>
    <xf numFmtId="1" fontId="29" fillId="0" borderId="35" xfId="5" applyNumberFormat="1" applyFont="1" applyBorder="1" applyAlignment="1" applyProtection="1">
      <alignment vertical="center"/>
      <protection hidden="1"/>
    </xf>
    <xf numFmtId="0" fontId="29" fillId="0" borderId="38" xfId="5" applyNumberFormat="1" applyFont="1" applyBorder="1" applyAlignment="1" applyProtection="1">
      <alignment vertical="center"/>
      <protection hidden="1"/>
    </xf>
    <xf numFmtId="0" fontId="29" fillId="0" borderId="27" xfId="5" applyNumberFormat="1" applyFont="1" applyBorder="1" applyAlignment="1" applyProtection="1">
      <alignment vertical="center"/>
      <protection hidden="1"/>
    </xf>
    <xf numFmtId="1" fontId="29" fillId="0" borderId="27" xfId="5" applyNumberFormat="1" applyFont="1" applyBorder="1" applyAlignment="1" applyProtection="1">
      <alignment vertical="center"/>
      <protection hidden="1"/>
    </xf>
    <xf numFmtId="1" fontId="29" fillId="0" borderId="32" xfId="5" applyNumberFormat="1" applyFont="1" applyBorder="1" applyAlignment="1" applyProtection="1">
      <alignment vertical="center"/>
      <protection hidden="1"/>
    </xf>
    <xf numFmtId="0" fontId="29" fillId="0" borderId="49" xfId="5" applyNumberFormat="1" applyFont="1" applyBorder="1" applyAlignment="1" applyProtection="1">
      <alignment horizontal="center" vertical="center"/>
      <protection hidden="1"/>
    </xf>
    <xf numFmtId="1" fontId="29" fillId="0" borderId="37" xfId="5" applyNumberFormat="1" applyFont="1" applyBorder="1" applyAlignment="1" applyProtection="1">
      <alignment vertical="center"/>
      <protection hidden="1"/>
    </xf>
    <xf numFmtId="1" fontId="29" fillId="0" borderId="38" xfId="5" applyNumberFormat="1" applyFont="1" applyBorder="1" applyAlignment="1" applyProtection="1">
      <alignment vertical="center"/>
      <protection hidden="1"/>
    </xf>
    <xf numFmtId="1" fontId="33" fillId="0" borderId="27" xfId="5" applyNumberFormat="1" applyFont="1" applyBorder="1" applyAlignment="1" applyProtection="1">
      <alignment vertical="center"/>
      <protection hidden="1"/>
    </xf>
    <xf numFmtId="1" fontId="29" fillId="0" borderId="27" xfId="5" applyNumberFormat="1" applyFont="1" applyBorder="1" applyAlignment="1" applyProtection="1">
      <alignment horizontal="left" vertical="center"/>
      <protection hidden="1"/>
    </xf>
    <xf numFmtId="0" fontId="34" fillId="0" borderId="49" xfId="5" applyNumberFormat="1" applyFont="1" applyBorder="1" applyAlignment="1" applyProtection="1">
      <alignment horizontal="center" vertical="center"/>
      <protection hidden="1"/>
    </xf>
    <xf numFmtId="1" fontId="33" fillId="0" borderId="39" xfId="5" applyNumberFormat="1" applyFont="1" applyBorder="1" applyAlignment="1" applyProtection="1">
      <alignment vertical="center"/>
      <protection hidden="1"/>
    </xf>
    <xf numFmtId="1" fontId="29" fillId="0" borderId="31" xfId="5" applyNumberFormat="1" applyFont="1" applyBorder="1" applyAlignment="1" applyProtection="1">
      <alignment vertical="center"/>
      <protection hidden="1"/>
    </xf>
    <xf numFmtId="1" fontId="29" fillId="0" borderId="40" xfId="5" applyNumberFormat="1" applyFont="1" applyBorder="1" applyAlignment="1" applyProtection="1">
      <alignment vertical="center"/>
      <protection hidden="1"/>
    </xf>
    <xf numFmtId="1" fontId="29" fillId="0" borderId="39" xfId="5" applyNumberFormat="1" applyFont="1" applyBorder="1" applyAlignment="1" applyProtection="1">
      <alignment vertical="center"/>
      <protection hidden="1"/>
    </xf>
    <xf numFmtId="0" fontId="29" fillId="0" borderId="34" xfId="5" applyFont="1" applyBorder="1" applyAlignment="1" applyProtection="1">
      <alignment vertical="center"/>
      <protection hidden="1"/>
    </xf>
    <xf numFmtId="1" fontId="33" fillId="0" borderId="32" xfId="5" applyNumberFormat="1" applyFont="1" applyBorder="1" applyAlignment="1" applyProtection="1">
      <alignment vertical="center"/>
      <protection hidden="1"/>
    </xf>
    <xf numFmtId="0" fontId="34" fillId="0" borderId="18" xfId="5" applyNumberFormat="1" applyFont="1" applyBorder="1" applyAlignment="1" applyProtection="1">
      <alignment horizontal="center" vertical="center"/>
      <protection hidden="1"/>
    </xf>
    <xf numFmtId="0" fontId="35" fillId="0" borderId="18" xfId="5" applyNumberFormat="1" applyFont="1" applyBorder="1" applyAlignment="1" applyProtection="1">
      <alignment horizontal="center" vertical="center" wrapText="1"/>
      <protection hidden="1"/>
    </xf>
    <xf numFmtId="0" fontId="29" fillId="0" borderId="32" xfId="5" applyFont="1" applyBorder="1" applyAlignment="1" applyProtection="1">
      <alignment vertical="center"/>
      <protection hidden="1"/>
    </xf>
    <xf numFmtId="1" fontId="29" fillId="0" borderId="50" xfId="5" applyNumberFormat="1" applyFont="1" applyBorder="1" applyAlignment="1" applyProtection="1">
      <alignment vertical="center"/>
      <protection hidden="1"/>
    </xf>
    <xf numFmtId="1" fontId="29" fillId="0" borderId="33" xfId="5" applyNumberFormat="1" applyFont="1" applyBorder="1" applyAlignment="1" applyProtection="1">
      <alignment vertical="center"/>
      <protection hidden="1"/>
    </xf>
    <xf numFmtId="2" fontId="29" fillId="0" borderId="37" xfId="5" applyNumberFormat="1" applyFont="1" applyBorder="1" applyAlignment="1" applyProtection="1">
      <alignment vertical="center"/>
      <protection hidden="1"/>
    </xf>
    <xf numFmtId="0" fontId="29" fillId="0" borderId="37" xfId="5" applyNumberFormat="1" applyFont="1" applyBorder="1" applyAlignment="1" applyProtection="1">
      <alignment vertical="center"/>
      <protection hidden="1"/>
    </xf>
    <xf numFmtId="0" fontId="29" fillId="0" borderId="77" xfId="5" applyNumberFormat="1" applyFont="1" applyBorder="1" applyAlignment="1" applyProtection="1">
      <alignment horizontal="center" vertical="center"/>
      <protection hidden="1"/>
    </xf>
    <xf numFmtId="1" fontId="29" fillId="0" borderId="70" xfId="5" applyNumberFormat="1" applyFont="1" applyBorder="1" applyAlignment="1" applyProtection="1">
      <alignment vertical="center"/>
      <protection hidden="1"/>
    </xf>
    <xf numFmtId="168" fontId="29" fillId="0" borderId="32" xfId="5" applyNumberFormat="1" applyFont="1" applyBorder="1" applyAlignment="1" applyProtection="1">
      <alignment vertical="center"/>
      <protection hidden="1"/>
    </xf>
    <xf numFmtId="9" fontId="29" fillId="0" borderId="37" xfId="5" applyNumberFormat="1" applyFont="1" applyBorder="1" applyAlignment="1" applyProtection="1">
      <alignment vertical="center"/>
      <protection hidden="1"/>
    </xf>
    <xf numFmtId="1" fontId="29" fillId="0" borderId="51" xfId="5" applyNumberFormat="1" applyFont="1" applyBorder="1" applyAlignment="1" applyProtection="1">
      <alignment vertical="center"/>
      <protection hidden="1"/>
    </xf>
    <xf numFmtId="1" fontId="29" fillId="0" borderId="52" xfId="5" applyNumberFormat="1" applyFont="1" applyBorder="1" applyAlignment="1" applyProtection="1">
      <alignment vertical="center"/>
      <protection hidden="1"/>
    </xf>
    <xf numFmtId="1" fontId="29" fillId="0" borderId="53" xfId="5" applyNumberFormat="1" applyFont="1" applyBorder="1" applyAlignment="1" applyProtection="1">
      <alignment vertical="center"/>
      <protection hidden="1"/>
    </xf>
    <xf numFmtId="1" fontId="29" fillId="0" borderId="53" xfId="5" applyNumberFormat="1" applyFont="1" applyBorder="1" applyAlignment="1" applyProtection="1">
      <alignment horizontal="center" vertical="center"/>
      <protection hidden="1"/>
    </xf>
    <xf numFmtId="1" fontId="29" fillId="0" borderId="49" xfId="5" applyNumberFormat="1" applyFont="1" applyBorder="1" applyAlignment="1" applyProtection="1">
      <alignment vertical="center"/>
      <protection hidden="1"/>
    </xf>
    <xf numFmtId="0" fontId="29" fillId="0" borderId="50" xfId="5" applyNumberFormat="1" applyFont="1" applyBorder="1" applyAlignment="1" applyProtection="1">
      <alignment vertical="center"/>
      <protection hidden="1"/>
    </xf>
    <xf numFmtId="0" fontId="34" fillId="0" borderId="34" xfId="5" applyNumberFormat="1" applyFont="1" applyBorder="1" applyAlignment="1" applyProtection="1">
      <alignment horizontal="right" vertical="center"/>
      <protection hidden="1"/>
    </xf>
    <xf numFmtId="168" fontId="29" fillId="0" borderId="35" xfId="5" applyNumberFormat="1" applyFont="1" applyBorder="1" applyAlignment="1" applyProtection="1">
      <alignment vertical="center"/>
      <protection hidden="1"/>
    </xf>
    <xf numFmtId="9" fontId="29" fillId="0" borderId="49" xfId="5" applyNumberFormat="1" applyFont="1" applyBorder="1" applyAlignment="1" applyProtection="1">
      <alignment vertical="center"/>
      <protection hidden="1"/>
    </xf>
    <xf numFmtId="0" fontId="29" fillId="0" borderId="27" xfId="5" applyNumberFormat="1" applyFont="1" applyBorder="1" applyAlignment="1" applyProtection="1">
      <alignment horizontal="right" vertical="center"/>
      <protection hidden="1"/>
    </xf>
    <xf numFmtId="0" fontId="29" fillId="0" borderId="0" xfId="5" applyFont="1" applyAlignment="1" applyProtection="1">
      <alignment vertical="top" wrapText="1"/>
      <protection hidden="1"/>
    </xf>
    <xf numFmtId="0" fontId="29" fillId="0" borderId="29" xfId="5" applyNumberFormat="1" applyFont="1" applyBorder="1" applyAlignment="1" applyProtection="1">
      <alignment vertical="center"/>
      <protection hidden="1"/>
    </xf>
    <xf numFmtId="0" fontId="34" fillId="0" borderId="56" xfId="5" applyNumberFormat="1" applyFont="1" applyBorder="1" applyAlignment="1" applyProtection="1">
      <alignment horizontal="center" vertical="center"/>
      <protection hidden="1"/>
    </xf>
    <xf numFmtId="1" fontId="38" fillId="0" borderId="56" xfId="5" applyNumberFormat="1" applyFont="1" applyBorder="1" applyAlignment="1" applyProtection="1">
      <alignment horizontal="center" vertical="center"/>
      <protection hidden="1"/>
    </xf>
    <xf numFmtId="0" fontId="29" fillId="0" borderId="29" xfId="5" applyNumberFormat="1" applyFont="1" applyBorder="1" applyAlignment="1" applyProtection="1">
      <alignment horizontal="center" vertical="center" wrapText="1"/>
      <protection hidden="1"/>
    </xf>
    <xf numFmtId="0" fontId="29" fillId="0" borderId="29" xfId="5" applyNumberFormat="1" applyFont="1" applyBorder="1" applyAlignment="1" applyProtection="1">
      <alignment horizontal="center" vertical="center"/>
      <protection hidden="1"/>
    </xf>
    <xf numFmtId="0" fontId="29" fillId="0" borderId="18" xfId="5" applyNumberFormat="1" applyFont="1" applyBorder="1" applyAlignment="1" applyProtection="1">
      <alignment horizontal="center" vertical="center"/>
      <protection hidden="1"/>
    </xf>
    <xf numFmtId="0" fontId="33" fillId="0" borderId="18" xfId="5" applyNumberFormat="1" applyFont="1" applyBorder="1" applyAlignment="1" applyProtection="1">
      <alignment horizontal="center" vertical="center" wrapText="1"/>
      <protection hidden="1"/>
    </xf>
    <xf numFmtId="0" fontId="29" fillId="0" borderId="34" xfId="5" applyNumberFormat="1" applyFont="1" applyBorder="1" applyAlignment="1" applyProtection="1">
      <alignment vertical="center"/>
      <protection hidden="1"/>
    </xf>
    <xf numFmtId="0" fontId="29" fillId="0" borderId="32" xfId="5" applyNumberFormat="1" applyFont="1" applyBorder="1" applyAlignment="1" applyProtection="1">
      <alignment vertical="center"/>
      <protection hidden="1"/>
    </xf>
    <xf numFmtId="0" fontId="40" fillId="3" borderId="78" xfId="8" applyFont="1" applyFill="1" applyBorder="1" applyAlignment="1" applyProtection="1">
      <alignment vertical="center"/>
      <protection locked="0" hidden="1"/>
    </xf>
    <xf numFmtId="0" fontId="40" fillId="4" borderId="78" xfId="9" applyFont="1" applyFill="1" applyBorder="1" applyAlignment="1" applyProtection="1">
      <alignment horizontal="center" vertical="center" wrapText="1"/>
      <protection locked="0" hidden="1"/>
    </xf>
    <xf numFmtId="0" fontId="41" fillId="0" borderId="0" xfId="10" applyFont="1" applyAlignment="1" applyProtection="1">
      <alignment vertical="center"/>
      <protection locked="0" hidden="1"/>
    </xf>
    <xf numFmtId="0" fontId="40" fillId="3" borderId="0" xfId="8" applyFont="1" applyFill="1" applyAlignment="1" applyProtection="1">
      <alignment vertical="center"/>
      <protection locked="0" hidden="1"/>
    </xf>
    <xf numFmtId="0" fontId="42" fillId="4" borderId="0" xfId="9" applyFont="1" applyFill="1" applyAlignment="1" applyProtection="1">
      <alignment vertical="center" wrapText="1"/>
      <protection locked="0" hidden="1"/>
    </xf>
    <xf numFmtId="0" fontId="41" fillId="0" borderId="0" xfId="10" applyFont="1" applyAlignment="1" applyProtection="1">
      <alignment vertical="center" wrapText="1"/>
      <protection locked="0" hidden="1"/>
    </xf>
    <xf numFmtId="0" fontId="44" fillId="0" borderId="0" xfId="10" applyFont="1" applyProtection="1">
      <protection locked="0" hidden="1"/>
    </xf>
    <xf numFmtId="0" fontId="45" fillId="4" borderId="82" xfId="10" applyFont="1" applyFill="1" applyBorder="1" applyAlignment="1" applyProtection="1">
      <alignment vertical="center"/>
      <protection locked="0" hidden="1"/>
    </xf>
    <xf numFmtId="0" fontId="44" fillId="0" borderId="82" xfId="10" applyFont="1" applyBorder="1" applyAlignment="1" applyProtection="1">
      <alignment vertical="center" wrapText="1"/>
      <protection locked="0" hidden="1"/>
    </xf>
    <xf numFmtId="0" fontId="44" fillId="0" borderId="82" xfId="10" applyFont="1" applyBorder="1" applyAlignment="1" applyProtection="1">
      <alignment vertical="center"/>
      <protection locked="0" hidden="1"/>
    </xf>
    <xf numFmtId="0" fontId="44" fillId="7" borderId="82" xfId="10" applyFont="1" applyFill="1" applyBorder="1" applyAlignment="1" applyProtection="1">
      <alignment vertical="center"/>
      <protection locked="0" hidden="1"/>
    </xf>
    <xf numFmtId="0" fontId="45" fillId="7" borderId="82" xfId="10" applyFont="1" applyFill="1" applyBorder="1" applyAlignment="1" applyProtection="1">
      <alignment vertical="center"/>
      <protection locked="0" hidden="1"/>
    </xf>
    <xf numFmtId="0" fontId="46" fillId="3" borderId="82" xfId="10" applyFont="1" applyFill="1" applyBorder="1" applyAlignment="1" applyProtection="1">
      <alignment vertical="center"/>
      <protection locked="0" hidden="1"/>
    </xf>
    <xf numFmtId="0" fontId="46" fillId="3" borderId="85" xfId="10" applyFont="1" applyFill="1" applyBorder="1" applyAlignment="1" applyProtection="1">
      <alignment vertical="center"/>
      <protection locked="0" hidden="1"/>
    </xf>
    <xf numFmtId="0" fontId="46" fillId="3" borderId="86" xfId="10" applyFont="1" applyFill="1" applyBorder="1" applyAlignment="1" applyProtection="1">
      <alignment vertical="center"/>
      <protection locked="0" hidden="1"/>
    </xf>
    <xf numFmtId="0" fontId="46" fillId="3" borderId="82" xfId="10" applyFont="1" applyFill="1" applyBorder="1" applyAlignment="1" applyProtection="1">
      <alignment horizontal="center" vertical="center" wrapText="1"/>
      <protection locked="0" hidden="1"/>
    </xf>
    <xf numFmtId="0" fontId="45" fillId="0" borderId="0" xfId="10" applyFont="1" applyProtection="1">
      <protection locked="0" hidden="1"/>
    </xf>
    <xf numFmtId="0" fontId="47" fillId="0" borderId="0" xfId="10" applyFont="1" applyAlignment="1" applyProtection="1">
      <alignment horizontal="left" vertical="center" indent="2"/>
      <protection locked="0" hidden="1"/>
    </xf>
    <xf numFmtId="0" fontId="44" fillId="0" borderId="0" xfId="10" applyFont="1" applyAlignment="1" applyProtection="1">
      <alignment horizontal="right"/>
      <protection locked="0" hidden="1"/>
    </xf>
    <xf numFmtId="0" fontId="45" fillId="3" borderId="82" xfId="10" applyFont="1" applyFill="1" applyBorder="1" applyAlignment="1" applyProtection="1">
      <alignment vertical="center"/>
      <protection locked="0" hidden="1"/>
    </xf>
    <xf numFmtId="0" fontId="47" fillId="0" borderId="0" xfId="10" quotePrefix="1" applyFont="1" applyAlignment="1" applyProtection="1">
      <alignment horizontal="left" vertical="center" indent="4"/>
      <protection locked="0" hidden="1"/>
    </xf>
    <xf numFmtId="0" fontId="44" fillId="0" borderId="0" xfId="10" applyFont="1" applyAlignment="1" applyProtection="1">
      <alignment horizontal="right" vertical="center"/>
      <protection locked="0" hidden="1"/>
    </xf>
    <xf numFmtId="0" fontId="44" fillId="0" borderId="0" xfId="10" applyFont="1" applyAlignment="1" applyProtection="1">
      <protection locked="0" hidden="1"/>
    </xf>
    <xf numFmtId="0" fontId="44" fillId="0" borderId="0" xfId="10" applyFont="1" applyBorder="1" applyProtection="1">
      <protection locked="0" hidden="1"/>
    </xf>
    <xf numFmtId="0" fontId="45" fillId="0" borderId="0" xfId="10" applyFont="1" applyBorder="1" applyAlignment="1" applyProtection="1">
      <protection locked="0" hidden="1"/>
    </xf>
    <xf numFmtId="0" fontId="45" fillId="0" borderId="0" xfId="10" applyFont="1" applyBorder="1" applyAlignment="1" applyProtection="1">
      <alignment vertical="center"/>
      <protection locked="0" hidden="1"/>
    </xf>
    <xf numFmtId="0" fontId="44" fillId="0" borderId="0" xfId="10" applyFont="1" applyBorder="1" applyAlignment="1" applyProtection="1">
      <protection locked="0" hidden="1"/>
    </xf>
    <xf numFmtId="0" fontId="46" fillId="3" borderId="81" xfId="10" applyFont="1" applyFill="1" applyBorder="1" applyAlignment="1" applyProtection="1">
      <alignment vertical="top"/>
      <protection locked="0" hidden="1"/>
    </xf>
    <xf numFmtId="0" fontId="46" fillId="3" borderId="83" xfId="10" applyFont="1" applyFill="1" applyBorder="1" applyAlignment="1" applyProtection="1">
      <alignment vertical="top"/>
      <protection locked="0" hidden="1"/>
    </xf>
    <xf numFmtId="0" fontId="46" fillId="3" borderId="90" xfId="10" applyFont="1" applyFill="1" applyBorder="1" applyAlignment="1" applyProtection="1">
      <alignment vertical="top"/>
      <protection locked="0" hidden="1"/>
    </xf>
    <xf numFmtId="0" fontId="45" fillId="0" borderId="61" xfId="10" applyFont="1" applyBorder="1" applyProtection="1">
      <protection locked="0" hidden="1"/>
    </xf>
    <xf numFmtId="0" fontId="45" fillId="0" borderId="62" xfId="10" applyFont="1" applyBorder="1" applyProtection="1">
      <protection locked="0" hidden="1"/>
    </xf>
    <xf numFmtId="0" fontId="45" fillId="0" borderId="64" xfId="10" applyFont="1" applyBorder="1" applyProtection="1">
      <protection locked="0" hidden="1"/>
    </xf>
    <xf numFmtId="0" fontId="46" fillId="3" borderId="84" xfId="10" applyFont="1" applyFill="1" applyBorder="1" applyAlignment="1" applyProtection="1">
      <alignment vertical="center" wrapText="1"/>
      <protection locked="0" hidden="1"/>
    </xf>
    <xf numFmtId="0" fontId="46" fillId="3" borderId="85" xfId="10" applyFont="1" applyFill="1" applyBorder="1" applyAlignment="1" applyProtection="1">
      <alignment vertical="center" wrapText="1"/>
      <protection locked="0" hidden="1"/>
    </xf>
    <xf numFmtId="0" fontId="44" fillId="0" borderId="0" xfId="10" applyFont="1" applyBorder="1" applyAlignment="1" applyProtection="1">
      <alignment vertical="center" wrapText="1"/>
      <protection locked="0" hidden="1"/>
    </xf>
    <xf numFmtId="0" fontId="44" fillId="0" borderId="0" xfId="10" applyFont="1" applyBorder="1" applyAlignment="1" applyProtection="1">
      <alignment horizontal="left" vertical="center" wrapText="1"/>
      <protection locked="0" hidden="1"/>
    </xf>
    <xf numFmtId="0" fontId="46" fillId="3" borderId="81" xfId="10" applyFont="1" applyFill="1" applyBorder="1" applyAlignment="1" applyProtection="1">
      <alignment horizontal="right" vertical="top"/>
      <protection locked="0" hidden="1"/>
    </xf>
    <xf numFmtId="0" fontId="46" fillId="3" borderId="90" xfId="10" applyFont="1" applyFill="1" applyBorder="1" applyAlignment="1" applyProtection="1">
      <alignment horizontal="right" vertical="top"/>
      <protection locked="0" hidden="1"/>
    </xf>
    <xf numFmtId="0" fontId="50" fillId="0" borderId="0" xfId="10" applyFont="1" applyAlignment="1" applyProtection="1">
      <alignment horizontal="left" vertical="center" indent="3"/>
      <protection locked="0" hidden="1"/>
    </xf>
    <xf numFmtId="0" fontId="44" fillId="7" borderId="86" xfId="10" applyFont="1" applyFill="1" applyBorder="1" applyAlignment="1" applyProtection="1">
      <alignment horizontal="center" vertical="center"/>
      <protection locked="0" hidden="1"/>
    </xf>
    <xf numFmtId="0" fontId="44" fillId="0" borderId="0" xfId="10" applyFont="1" applyAlignment="1" applyProtection="1">
      <alignment horizontal="left" indent="3"/>
      <protection locked="0" hidden="1"/>
    </xf>
    <xf numFmtId="0" fontId="44" fillId="3" borderId="84" xfId="10" applyFont="1" applyFill="1" applyBorder="1" applyAlignment="1" applyProtection="1">
      <alignment vertical="center"/>
      <protection locked="0" hidden="1"/>
    </xf>
    <xf numFmtId="0" fontId="44" fillId="3" borderId="86" xfId="10" applyFont="1" applyFill="1" applyBorder="1" applyAlignment="1" applyProtection="1">
      <alignment vertical="center"/>
      <protection locked="0" hidden="1"/>
    </xf>
    <xf numFmtId="0" fontId="44" fillId="3" borderId="85" xfId="10" applyFont="1" applyFill="1" applyBorder="1" applyAlignment="1" applyProtection="1">
      <alignment vertical="center"/>
      <protection locked="0" hidden="1"/>
    </xf>
    <xf numFmtId="0" fontId="44" fillId="0" borderId="82" xfId="10" applyFont="1" applyBorder="1" applyProtection="1">
      <protection locked="0" hidden="1"/>
    </xf>
    <xf numFmtId="0" fontId="45" fillId="0" borderId="86" xfId="10" applyFont="1" applyBorder="1" applyAlignment="1" applyProtection="1">
      <alignment vertical="center"/>
      <protection locked="0" hidden="1"/>
    </xf>
    <xf numFmtId="0" fontId="44" fillId="7" borderId="82" xfId="10" applyFont="1" applyFill="1" applyBorder="1" applyAlignment="1" applyProtection="1">
      <alignment horizontal="center" vertical="center"/>
      <protection locked="0" hidden="1"/>
    </xf>
    <xf numFmtId="0" fontId="44" fillId="3" borderId="82" xfId="10" applyFont="1" applyFill="1" applyBorder="1" applyAlignment="1" applyProtection="1">
      <alignment vertical="center"/>
      <protection locked="0" hidden="1"/>
    </xf>
    <xf numFmtId="0" fontId="50" fillId="0" borderId="0" xfId="10" applyFont="1" applyAlignment="1" applyProtection="1">
      <alignment horizontal="left" vertical="center" indent="2"/>
      <protection locked="0" hidden="1"/>
    </xf>
    <xf numFmtId="0" fontId="44" fillId="7" borderId="91" xfId="10" applyFont="1" applyFill="1" applyBorder="1" applyAlignment="1" applyProtection="1">
      <alignment vertical="center"/>
      <protection locked="0" hidden="1"/>
    </xf>
    <xf numFmtId="0" fontId="44" fillId="7" borderId="91" xfId="10" applyFont="1" applyFill="1" applyBorder="1" applyAlignment="1" applyProtection="1">
      <alignment horizontal="center" vertical="center"/>
      <protection locked="0" hidden="1"/>
    </xf>
    <xf numFmtId="0" fontId="43" fillId="0" borderId="0" xfId="10" applyFont="1" applyFill="1" applyAlignment="1" applyProtection="1">
      <protection locked="0" hidden="1"/>
    </xf>
    <xf numFmtId="0" fontId="44" fillId="0" borderId="0" xfId="10" applyFont="1" applyFill="1" applyAlignment="1" applyProtection="1">
      <protection locked="0" hidden="1"/>
    </xf>
    <xf numFmtId="0" fontId="56" fillId="3" borderId="84" xfId="10" applyFont="1" applyFill="1" applyBorder="1" applyAlignment="1" applyProtection="1">
      <alignment vertical="center"/>
      <protection locked="0" hidden="1"/>
    </xf>
    <xf numFmtId="0" fontId="46" fillId="3" borderId="86" xfId="10" applyFont="1" applyFill="1" applyBorder="1" applyAlignment="1" applyProtection="1">
      <alignment vertical="center" wrapText="1"/>
      <protection locked="0" hidden="1"/>
    </xf>
    <xf numFmtId="0" fontId="49" fillId="0" borderId="64" xfId="10" applyFont="1" applyFill="1" applyBorder="1" applyAlignment="1" applyProtection="1">
      <alignment vertical="center" wrapText="1"/>
      <protection locked="0" hidden="1"/>
    </xf>
    <xf numFmtId="0" fontId="49" fillId="0" borderId="0" xfId="10" applyFont="1" applyFill="1" applyBorder="1" applyAlignment="1" applyProtection="1">
      <alignment vertical="center"/>
      <protection locked="0" hidden="1"/>
    </xf>
    <xf numFmtId="0" fontId="46" fillId="3" borderId="90" xfId="10" applyFont="1" applyFill="1" applyBorder="1" applyAlignment="1" applyProtection="1">
      <alignment vertical="center"/>
      <protection locked="0" hidden="1"/>
    </xf>
    <xf numFmtId="0" fontId="44" fillId="0" borderId="64" xfId="10" applyFont="1" applyFill="1" applyBorder="1" applyAlignment="1" applyProtection="1">
      <alignment vertical="center"/>
      <protection locked="0" hidden="1"/>
    </xf>
    <xf numFmtId="0" fontId="44" fillId="0" borderId="0" xfId="10" applyFont="1" applyFill="1" applyBorder="1" applyAlignment="1" applyProtection="1">
      <alignment vertical="center"/>
      <protection locked="0" hidden="1"/>
    </xf>
    <xf numFmtId="0" fontId="44" fillId="0" borderId="0" xfId="10" applyFont="1" applyAlignment="1" applyProtection="1">
      <alignment horizontal="left" vertical="center" indent="3"/>
      <protection locked="0" hidden="1"/>
    </xf>
    <xf numFmtId="0" fontId="44" fillId="0" borderId="64" xfId="10" applyFont="1" applyFill="1" applyBorder="1" applyAlignment="1" applyProtection="1">
      <alignment horizontal="center" vertical="center"/>
      <protection locked="0" hidden="1"/>
    </xf>
    <xf numFmtId="0" fontId="44" fillId="0" borderId="0" xfId="10" applyFont="1" applyFill="1" applyBorder="1" applyAlignment="1" applyProtection="1">
      <alignment horizontal="center" vertical="center"/>
      <protection locked="0" hidden="1"/>
    </xf>
    <xf numFmtId="0" fontId="49" fillId="0" borderId="64" xfId="10" applyFont="1" applyFill="1" applyBorder="1" applyAlignment="1" applyProtection="1">
      <alignment vertical="center"/>
      <protection locked="0" hidden="1"/>
    </xf>
    <xf numFmtId="0" fontId="45" fillId="7" borderId="84" xfId="10" applyFont="1" applyFill="1" applyBorder="1" applyAlignment="1" applyProtection="1">
      <alignment vertical="center" wrapText="1"/>
      <protection locked="0" hidden="1"/>
    </xf>
    <xf numFmtId="0" fontId="45" fillId="7" borderId="86" xfId="10" applyFont="1" applyFill="1" applyBorder="1" applyAlignment="1" applyProtection="1">
      <alignment vertical="center" wrapText="1"/>
      <protection locked="0" hidden="1"/>
    </xf>
    <xf numFmtId="0" fontId="44" fillId="7" borderId="82" xfId="10" applyFont="1" applyFill="1" applyBorder="1" applyAlignment="1" applyProtection="1">
      <alignment horizontal="center" vertical="center" wrapText="1"/>
      <protection locked="0" hidden="1"/>
    </xf>
    <xf numFmtId="169" fontId="22" fillId="0" borderId="0" xfId="1" applyNumberFormat="1" applyFont="1" applyAlignment="1" applyProtection="1">
      <alignment vertical="center"/>
      <protection locked="0" hidden="1"/>
    </xf>
    <xf numFmtId="169" fontId="46" fillId="3" borderId="93" xfId="1" applyNumberFormat="1" applyFont="1" applyFill="1" applyBorder="1" applyAlignment="1" applyProtection="1">
      <alignment horizontal="center" vertical="center" wrapText="1"/>
      <protection locked="0" hidden="1"/>
    </xf>
    <xf numFmtId="169" fontId="46" fillId="3" borderId="94" xfId="1" applyNumberFormat="1" applyFont="1" applyFill="1" applyBorder="1" applyAlignment="1" applyProtection="1">
      <alignment vertical="center"/>
      <protection locked="0" hidden="1"/>
    </xf>
    <xf numFmtId="169" fontId="46" fillId="3" borderId="63" xfId="1" applyNumberFormat="1" applyFont="1" applyFill="1" applyBorder="1" applyAlignment="1" applyProtection="1">
      <alignment horizontal="center" vertical="center"/>
      <protection locked="0" hidden="1"/>
    </xf>
    <xf numFmtId="3" fontId="46" fillId="3" borderId="82" xfId="1" applyNumberFormat="1" applyFont="1" applyFill="1" applyBorder="1" applyAlignment="1" applyProtection="1">
      <alignment horizontal="center" vertical="center"/>
      <protection locked="0" hidden="1"/>
    </xf>
    <xf numFmtId="3" fontId="46" fillId="3" borderId="68" xfId="1" applyNumberFormat="1" applyFont="1" applyFill="1" applyBorder="1" applyAlignment="1" applyProtection="1">
      <alignment vertical="center"/>
      <protection locked="0" hidden="1"/>
    </xf>
    <xf numFmtId="169" fontId="22" fillId="0" borderId="0" xfId="1" applyNumberFormat="1" applyFont="1" applyBorder="1" applyAlignment="1" applyProtection="1">
      <alignment vertical="center"/>
      <protection locked="0" hidden="1"/>
    </xf>
    <xf numFmtId="169" fontId="22" fillId="0" borderId="82" xfId="1" applyNumberFormat="1" applyFont="1" applyBorder="1" applyAlignment="1" applyProtection="1">
      <alignment vertical="center"/>
      <protection locked="0" hidden="1"/>
    </xf>
    <xf numFmtId="169" fontId="22" fillId="0" borderId="95" xfId="1" applyNumberFormat="1" applyFont="1" applyBorder="1" applyAlignment="1" applyProtection="1">
      <alignment horizontal="center" vertical="center"/>
      <protection locked="0" hidden="1"/>
    </xf>
    <xf numFmtId="169" fontId="22" fillId="0" borderId="86" xfId="1" applyNumberFormat="1" applyFont="1" applyBorder="1" applyAlignment="1" applyProtection="1">
      <alignment vertical="center"/>
      <protection locked="0" hidden="1"/>
    </xf>
    <xf numFmtId="3" fontId="22" fillId="0" borderId="82" xfId="1" applyNumberFormat="1" applyFont="1" applyBorder="1" applyAlignment="1" applyProtection="1">
      <alignment vertical="center"/>
      <protection locked="0" hidden="1"/>
    </xf>
    <xf numFmtId="3" fontId="58" fillId="0" borderId="82" xfId="11" applyNumberFormat="1" applyFont="1" applyBorder="1" applyAlignment="1" applyProtection="1">
      <alignment vertical="center"/>
      <protection locked="0" hidden="1"/>
    </xf>
    <xf numFmtId="169" fontId="22" fillId="0" borderId="95" xfId="1" applyNumberFormat="1" applyFont="1" applyBorder="1" applyAlignment="1" applyProtection="1">
      <alignment vertical="center"/>
      <protection locked="0" hidden="1"/>
    </xf>
    <xf numFmtId="167" fontId="22" fillId="0" borderId="82" xfId="1" applyNumberFormat="1" applyFont="1" applyBorder="1" applyAlignment="1" applyProtection="1">
      <alignment vertical="center"/>
      <protection locked="0" hidden="1"/>
    </xf>
    <xf numFmtId="3" fontId="22" fillId="0" borderId="0" xfId="1" applyNumberFormat="1" applyFont="1" applyAlignment="1" applyProtection="1">
      <alignment vertical="center"/>
      <protection locked="0" hidden="1"/>
    </xf>
    <xf numFmtId="169" fontId="22" fillId="7" borderId="96" xfId="1" applyNumberFormat="1" applyFont="1" applyFill="1" applyBorder="1" applyAlignment="1" applyProtection="1">
      <alignment vertical="center"/>
      <protection locked="0" hidden="1"/>
    </xf>
    <xf numFmtId="169" fontId="22" fillId="7" borderId="91" xfId="1" applyNumberFormat="1" applyFont="1" applyFill="1" applyBorder="1" applyAlignment="1" applyProtection="1">
      <alignment vertical="center"/>
      <protection locked="0" hidden="1"/>
    </xf>
    <xf numFmtId="169" fontId="46" fillId="3" borderId="83" xfId="1" applyNumberFormat="1" applyFont="1" applyFill="1" applyBorder="1" applyAlignment="1" applyProtection="1">
      <alignment horizontal="right" vertical="center"/>
      <protection locked="0" hidden="1"/>
    </xf>
    <xf numFmtId="169" fontId="46" fillId="3" borderId="90" xfId="1" applyNumberFormat="1" applyFont="1" applyFill="1" applyBorder="1" applyAlignment="1" applyProtection="1">
      <alignment vertical="center"/>
      <protection locked="0" hidden="1"/>
    </xf>
    <xf numFmtId="169" fontId="22" fillId="0" borderId="0" xfId="1" applyNumberFormat="1" applyFont="1" applyBorder="1" applyAlignment="1" applyProtection="1">
      <alignment vertical="center" wrapText="1"/>
      <protection locked="0" hidden="1"/>
    </xf>
    <xf numFmtId="169" fontId="5" fillId="0" borderId="0" xfId="1" applyNumberFormat="1" applyAlignment="1" applyProtection="1">
      <alignment vertical="center"/>
      <protection locked="0" hidden="1"/>
    </xf>
    <xf numFmtId="0" fontId="22" fillId="0" borderId="0" xfId="7" applyFont="1" applyAlignment="1" applyProtection="1">
      <alignment vertical="center"/>
      <protection locked="0" hidden="1"/>
    </xf>
    <xf numFmtId="0" fontId="22" fillId="0" borderId="0" xfId="7" applyFont="1" applyBorder="1" applyAlignment="1" applyProtection="1">
      <alignment vertical="center"/>
      <protection locked="0" hidden="1"/>
    </xf>
    <xf numFmtId="3" fontId="22" fillId="0" borderId="0" xfId="1" applyNumberFormat="1" applyFont="1" applyBorder="1" applyAlignment="1" applyProtection="1">
      <alignment vertical="center"/>
      <protection locked="0" hidden="1"/>
    </xf>
    <xf numFmtId="0" fontId="51" fillId="3" borderId="90" xfId="7" applyFont="1" applyFill="1" applyBorder="1" applyAlignment="1" applyProtection="1">
      <alignment horizontal="center" vertical="center"/>
      <protection locked="0" hidden="1"/>
    </xf>
    <xf numFmtId="0" fontId="45" fillId="0" borderId="79" xfId="10" applyFont="1" applyBorder="1" applyAlignment="1" applyProtection="1">
      <alignment vertical="center"/>
      <protection locked="0" hidden="1"/>
    </xf>
    <xf numFmtId="0" fontId="44" fillId="0" borderId="0" xfId="10" applyFont="1" applyAlignment="1" applyProtection="1">
      <alignment horizontal="left" indent="1"/>
      <protection locked="0" hidden="1"/>
    </xf>
    <xf numFmtId="0" fontId="66" fillId="0" borderId="0" xfId="6" applyFont="1" applyProtection="1">
      <protection locked="0" hidden="1"/>
    </xf>
    <xf numFmtId="0" fontId="66" fillId="0" borderId="97" xfId="6" applyFont="1" applyFill="1" applyBorder="1" applyAlignment="1" applyProtection="1">
      <alignment vertical="top"/>
      <protection locked="0" hidden="1"/>
    </xf>
    <xf numFmtId="0" fontId="66" fillId="0" borderId="0" xfId="6" applyFont="1" applyFill="1" applyProtection="1">
      <protection locked="0" hidden="1"/>
    </xf>
    <xf numFmtId="0" fontId="45" fillId="0" borderId="80" xfId="10" applyFont="1" applyBorder="1" applyAlignment="1" applyProtection="1">
      <protection locked="0" hidden="1"/>
    </xf>
    <xf numFmtId="0" fontId="45" fillId="0" borderId="0" xfId="10" applyFont="1" applyBorder="1" applyAlignment="1" applyProtection="1">
      <alignment horizontal="left" vertical="center"/>
      <protection locked="0" hidden="1"/>
    </xf>
    <xf numFmtId="0" fontId="23" fillId="0" borderId="61" xfId="7" applyFont="1" applyBorder="1" applyAlignment="1" applyProtection="1">
      <alignment horizontal="centerContinuous" vertical="center"/>
      <protection locked="0" hidden="1"/>
    </xf>
    <xf numFmtId="0" fontId="23" fillId="0" borderId="62" xfId="7" applyFont="1" applyBorder="1" applyAlignment="1" applyProtection="1">
      <alignment horizontal="centerContinuous" vertical="center"/>
      <protection locked="0" hidden="1"/>
    </xf>
    <xf numFmtId="0" fontId="22" fillId="0" borderId="63" xfId="7" applyFont="1" applyBorder="1" applyAlignment="1" applyProtection="1">
      <alignment vertical="center"/>
      <protection locked="0" hidden="1"/>
    </xf>
    <xf numFmtId="0" fontId="22" fillId="0" borderId="62" xfId="7" applyFont="1" applyBorder="1" applyAlignment="1" applyProtection="1">
      <alignment vertical="center"/>
      <protection locked="0" hidden="1"/>
    </xf>
    <xf numFmtId="0" fontId="22" fillId="0" borderId="64" xfId="7" applyFont="1" applyBorder="1" applyAlignment="1" applyProtection="1">
      <alignment vertical="center"/>
      <protection locked="0" hidden="1"/>
    </xf>
    <xf numFmtId="0" fontId="22" fillId="0" borderId="65" xfId="7" applyFont="1" applyBorder="1" applyAlignment="1" applyProtection="1">
      <alignment vertical="center"/>
      <protection locked="0" hidden="1"/>
    </xf>
    <xf numFmtId="0" fontId="25" fillId="0" borderId="64" xfId="7" applyFont="1" applyBorder="1" applyAlignment="1" applyProtection="1">
      <alignment vertical="center"/>
      <protection locked="0" hidden="1"/>
    </xf>
    <xf numFmtId="0" fontId="23" fillId="0" borderId="64" xfId="7" applyFont="1" applyBorder="1" applyAlignment="1" applyProtection="1">
      <alignment vertical="center"/>
      <protection locked="0" hidden="1"/>
    </xf>
    <xf numFmtId="0" fontId="27" fillId="0" borderId="0" xfId="7" applyFont="1" applyBorder="1" applyAlignment="1" applyProtection="1">
      <alignment vertical="center"/>
      <protection locked="0" hidden="1"/>
    </xf>
    <xf numFmtId="0" fontId="27" fillId="0" borderId="65" xfId="7" applyFont="1" applyBorder="1" applyAlignment="1" applyProtection="1">
      <alignment vertical="center"/>
      <protection locked="0" hidden="1"/>
    </xf>
    <xf numFmtId="0" fontId="27" fillId="0" borderId="0" xfId="7" applyFont="1" applyAlignment="1" applyProtection="1">
      <alignment vertical="center"/>
      <protection locked="0" hidden="1"/>
    </xf>
    <xf numFmtId="0" fontId="22" fillId="0" borderId="66" xfId="7" applyFont="1" applyBorder="1" applyAlignment="1" applyProtection="1">
      <alignment vertical="center"/>
      <protection locked="0" hidden="1"/>
    </xf>
    <xf numFmtId="0" fontId="22" fillId="0" borderId="67" xfId="7" applyFont="1" applyBorder="1" applyAlignment="1" applyProtection="1">
      <alignment vertical="center"/>
      <protection locked="0" hidden="1"/>
    </xf>
    <xf numFmtId="0" fontId="22" fillId="0" borderId="68" xfId="7" applyFont="1" applyBorder="1" applyAlignment="1" applyProtection="1">
      <alignment vertical="center"/>
      <protection locked="0" hidden="1"/>
    </xf>
    <xf numFmtId="0" fontId="28" fillId="0" borderId="62" xfId="7" applyFont="1" applyBorder="1" applyAlignment="1" applyProtection="1">
      <alignment horizontal="left" vertical="center"/>
      <protection locked="0" hidden="1"/>
    </xf>
    <xf numFmtId="0" fontId="28" fillId="0" borderId="0" xfId="7" applyFont="1" applyBorder="1" applyAlignment="1" applyProtection="1">
      <alignment horizontal="left" vertical="center"/>
      <protection locked="0" hidden="1"/>
    </xf>
    <xf numFmtId="0" fontId="24" fillId="0" borderId="0" xfId="7" applyFont="1" applyBorder="1" applyAlignment="1" applyProtection="1">
      <alignment horizontal="centerContinuous" vertical="center"/>
      <protection locked="0" hidden="1"/>
    </xf>
    <xf numFmtId="0" fontId="22" fillId="0" borderId="0" xfId="7" applyFont="1" applyBorder="1" applyAlignment="1" applyProtection="1">
      <alignment horizontal="left" vertical="center"/>
      <protection locked="0" hidden="1"/>
    </xf>
    <xf numFmtId="0" fontId="22" fillId="0" borderId="0" xfId="7" applyFont="1" applyAlignment="1" applyProtection="1">
      <alignment horizontal="left" vertical="center" indent="1"/>
      <protection locked="0" hidden="1"/>
    </xf>
    <xf numFmtId="3" fontId="22" fillId="0" borderId="0" xfId="7" applyNumberFormat="1" applyFont="1" applyAlignment="1" applyProtection="1">
      <alignment vertical="center"/>
      <protection locked="0" hidden="1"/>
    </xf>
    <xf numFmtId="14" fontId="22" fillId="0" borderId="0" xfId="7" applyNumberFormat="1" applyFont="1" applyAlignment="1" applyProtection="1">
      <alignment vertical="center"/>
      <protection locked="0" hidden="1"/>
    </xf>
    <xf numFmtId="0" fontId="69" fillId="0" borderId="0" xfId="6" applyFont="1" applyBorder="1" applyProtection="1">
      <protection locked="0" hidden="1"/>
    </xf>
    <xf numFmtId="0" fontId="70" fillId="0" borderId="98" xfId="6" applyFont="1" applyBorder="1" applyAlignment="1" applyProtection="1">
      <alignment vertical="top"/>
      <protection locked="0" hidden="1"/>
    </xf>
    <xf numFmtId="0" fontId="70" fillId="0" borderId="99" xfId="6" applyFont="1" applyBorder="1" applyAlignment="1" applyProtection="1">
      <alignment vertical="top"/>
      <protection locked="0" hidden="1"/>
    </xf>
    <xf numFmtId="0" fontId="70" fillId="0" borderId="100" xfId="6" applyFont="1" applyBorder="1" applyAlignment="1" applyProtection="1">
      <alignment vertical="top"/>
      <protection locked="0" hidden="1"/>
    </xf>
    <xf numFmtId="0" fontId="69" fillId="0" borderId="0" xfId="6" applyFont="1" applyProtection="1">
      <protection locked="0" hidden="1"/>
    </xf>
    <xf numFmtId="0" fontId="69" fillId="0" borderId="60" xfId="6" applyFont="1" applyBorder="1" applyAlignment="1" applyProtection="1">
      <alignment vertical="top"/>
      <protection locked="0" hidden="1"/>
    </xf>
    <xf numFmtId="0" fontId="69" fillId="0" borderId="101" xfId="6" applyFont="1" applyBorder="1" applyAlignment="1" applyProtection="1">
      <alignment vertical="top"/>
      <protection locked="0" hidden="1"/>
    </xf>
    <xf numFmtId="0" fontId="70" fillId="0" borderId="101" xfId="6" applyFont="1" applyBorder="1" applyAlignment="1" applyProtection="1">
      <alignment vertical="top"/>
      <protection locked="0" hidden="1"/>
    </xf>
    <xf numFmtId="0" fontId="70" fillId="0" borderId="101" xfId="6" applyFont="1" applyBorder="1" applyAlignment="1" applyProtection="1">
      <alignment horizontal="left" vertical="top"/>
      <protection locked="0" hidden="1"/>
    </xf>
    <xf numFmtId="0" fontId="70" fillId="0" borderId="60" xfId="6" applyFont="1" applyBorder="1" applyAlignment="1" applyProtection="1">
      <alignment vertical="top"/>
      <protection locked="0" hidden="1"/>
    </xf>
    <xf numFmtId="0" fontId="69" fillId="0" borderId="101" xfId="6" applyFont="1" applyBorder="1" applyAlignment="1" applyProtection="1">
      <alignment horizontal="left" vertical="top"/>
      <protection locked="0" hidden="1"/>
    </xf>
    <xf numFmtId="0" fontId="69" fillId="0" borderId="102" xfId="6" applyFont="1" applyBorder="1" applyAlignment="1" applyProtection="1">
      <alignment horizontal="left" vertical="top"/>
      <protection locked="0" hidden="1"/>
    </xf>
    <xf numFmtId="1" fontId="29" fillId="0" borderId="27" xfId="5" applyNumberFormat="1" applyFont="1" applyBorder="1" applyAlignment="1" applyProtection="1">
      <alignment horizontal="right" vertical="center"/>
      <protection hidden="1"/>
    </xf>
    <xf numFmtId="0" fontId="29" fillId="0" borderId="27" xfId="5" applyNumberFormat="1" applyFont="1" applyBorder="1" applyAlignment="1" applyProtection="1">
      <alignment horizontal="center" vertical="center"/>
      <protection hidden="1"/>
    </xf>
    <xf numFmtId="0" fontId="29" fillId="0" borderId="27" xfId="5" applyNumberFormat="1" applyFont="1" applyBorder="1" applyAlignment="1" applyProtection="1">
      <alignment horizontal="left" vertical="center"/>
      <protection hidden="1"/>
    </xf>
    <xf numFmtId="0" fontId="29" fillId="0" borderId="108" xfId="5" applyFont="1" applyBorder="1" applyAlignment="1" applyProtection="1">
      <alignment vertical="center"/>
      <protection hidden="1"/>
    </xf>
    <xf numFmtId="1" fontId="32" fillId="0" borderId="108" xfId="5" applyNumberFormat="1" applyFont="1" applyBorder="1" applyAlignment="1" applyProtection="1">
      <alignment horizontal="center" vertical="center"/>
      <protection hidden="1"/>
    </xf>
    <xf numFmtId="0" fontId="29" fillId="0" borderId="0" xfId="5" applyNumberFormat="1" applyFont="1" applyBorder="1" applyAlignment="1" applyProtection="1">
      <protection hidden="1"/>
    </xf>
    <xf numFmtId="0" fontId="29" fillId="0" borderId="108" xfId="5" applyNumberFormat="1" applyFont="1" applyBorder="1" applyAlignment="1" applyProtection="1">
      <alignment horizontal="left" vertical="center"/>
      <protection hidden="1"/>
    </xf>
    <xf numFmtId="1" fontId="30" fillId="0" borderId="108" xfId="5" applyNumberFormat="1" applyFont="1" applyBorder="1" applyAlignment="1" applyProtection="1">
      <alignment horizontal="center" vertical="center"/>
      <protection hidden="1"/>
    </xf>
    <xf numFmtId="3" fontId="30" fillId="0" borderId="108" xfId="5" applyNumberFormat="1" applyFont="1" applyBorder="1" applyAlignment="1" applyProtection="1">
      <alignment vertical="center"/>
      <protection hidden="1"/>
    </xf>
    <xf numFmtId="0" fontId="29" fillId="0" borderId="57" xfId="5" applyNumberFormat="1" applyFont="1" applyBorder="1" applyAlignment="1" applyProtection="1">
      <alignment vertical="center" wrapText="1"/>
      <protection hidden="1"/>
    </xf>
    <xf numFmtId="0" fontId="29" fillId="0" borderId="111" xfId="5" applyFont="1" applyBorder="1" applyAlignment="1" applyProtection="1">
      <alignment vertical="center"/>
      <protection hidden="1"/>
    </xf>
    <xf numFmtId="0" fontId="29" fillId="0" borderId="14" xfId="5" applyFont="1" applyBorder="1" applyAlignment="1" applyProtection="1">
      <alignment vertical="center"/>
      <protection hidden="1"/>
    </xf>
    <xf numFmtId="1" fontId="30" fillId="0" borderId="106" xfId="5" applyNumberFormat="1" applyFont="1" applyBorder="1" applyAlignment="1" applyProtection="1">
      <alignment horizontal="right" vertical="center"/>
      <protection hidden="1"/>
    </xf>
    <xf numFmtId="1" fontId="29" fillId="0" borderId="106" xfId="5" applyNumberFormat="1" applyFont="1" applyBorder="1" applyAlignment="1" applyProtection="1">
      <alignment horizontal="center" vertical="center"/>
      <protection hidden="1"/>
    </xf>
    <xf numFmtId="3" fontId="44" fillId="0" borderId="82" xfId="10" applyNumberFormat="1" applyFont="1" applyBorder="1" applyAlignment="1" applyProtection="1">
      <alignment vertical="center"/>
      <protection locked="0" hidden="1"/>
    </xf>
    <xf numFmtId="0" fontId="44" fillId="0" borderId="64" xfId="10" applyFont="1" applyBorder="1" applyAlignment="1" applyProtection="1">
      <alignment vertical="center" wrapText="1"/>
      <protection locked="0" hidden="1"/>
    </xf>
    <xf numFmtId="0" fontId="44" fillId="0" borderId="61" xfId="10" applyFont="1" applyBorder="1" applyAlignment="1" applyProtection="1">
      <alignment vertical="center" wrapText="1"/>
      <protection locked="0" hidden="1"/>
    </xf>
    <xf numFmtId="0" fontId="46" fillId="3" borderId="84" xfId="10" applyFont="1" applyFill="1" applyBorder="1" applyAlignment="1" applyProtection="1">
      <alignment vertical="center"/>
      <protection locked="0" hidden="1"/>
    </xf>
    <xf numFmtId="0" fontId="44" fillId="0" borderId="66" xfId="10" applyFont="1" applyBorder="1" applyAlignment="1" applyProtection="1">
      <alignment vertical="center" wrapText="1"/>
      <protection locked="0" hidden="1"/>
    </xf>
    <xf numFmtId="3" fontId="44" fillId="0" borderId="84" xfId="10" applyNumberFormat="1" applyFont="1" applyBorder="1" applyAlignment="1" applyProtection="1">
      <alignment horizontal="center" vertical="center"/>
      <protection locked="0" hidden="1"/>
    </xf>
    <xf numFmtId="0" fontId="44" fillId="7" borderId="84" xfId="10" applyFont="1" applyFill="1" applyBorder="1" applyAlignment="1" applyProtection="1">
      <alignment horizontal="center" vertical="center"/>
      <protection locked="0" hidden="1"/>
    </xf>
    <xf numFmtId="0" fontId="44" fillId="7" borderId="85" xfId="10" applyFont="1" applyFill="1" applyBorder="1" applyAlignment="1" applyProtection="1">
      <alignment horizontal="center" vertical="center"/>
      <protection locked="0" hidden="1"/>
    </xf>
    <xf numFmtId="14" fontId="44" fillId="0" borderId="0" xfId="10" applyNumberFormat="1" applyFont="1" applyProtection="1">
      <protection locked="0" hidden="1"/>
    </xf>
    <xf numFmtId="171" fontId="44" fillId="0" borderId="0" xfId="10" applyNumberFormat="1" applyFont="1" applyProtection="1">
      <protection locked="0" hidden="1"/>
    </xf>
    <xf numFmtId="171" fontId="45" fillId="4" borderId="82" xfId="10" applyNumberFormat="1" applyFont="1" applyFill="1" applyBorder="1" applyAlignment="1" applyProtection="1">
      <alignment vertical="center"/>
      <protection locked="0" hidden="1"/>
    </xf>
    <xf numFmtId="171" fontId="44" fillId="0" borderId="82" xfId="10" applyNumberFormat="1" applyFont="1" applyBorder="1" applyAlignment="1" applyProtection="1">
      <alignment vertical="center"/>
      <protection locked="0" hidden="1"/>
    </xf>
    <xf numFmtId="171" fontId="44" fillId="7" borderId="82" xfId="10" applyNumberFormat="1" applyFont="1" applyFill="1" applyBorder="1" applyAlignment="1" applyProtection="1">
      <alignment vertical="center"/>
      <protection locked="0" hidden="1"/>
    </xf>
    <xf numFmtId="171" fontId="45" fillId="7" borderId="82" xfId="10" applyNumberFormat="1" applyFont="1" applyFill="1" applyBorder="1" applyAlignment="1" applyProtection="1">
      <alignment vertical="center"/>
      <protection locked="0" hidden="1"/>
    </xf>
    <xf numFmtId="171" fontId="46" fillId="3" borderId="82" xfId="10" applyNumberFormat="1" applyFont="1" applyFill="1" applyBorder="1" applyAlignment="1" applyProtection="1">
      <alignment vertical="center"/>
      <protection locked="0" hidden="1"/>
    </xf>
    <xf numFmtId="171" fontId="46" fillId="3" borderId="86" xfId="10" applyNumberFormat="1" applyFont="1" applyFill="1" applyBorder="1" applyAlignment="1" applyProtection="1">
      <alignment vertical="center"/>
      <protection locked="0" hidden="1"/>
    </xf>
    <xf numFmtId="171" fontId="44" fillId="0" borderId="86" xfId="10" applyNumberFormat="1" applyFont="1" applyBorder="1" applyAlignment="1" applyProtection="1">
      <alignment vertical="center"/>
      <protection locked="0" hidden="1"/>
    </xf>
    <xf numFmtId="0" fontId="8" fillId="0" borderId="19" xfId="0" applyFont="1" applyBorder="1" applyAlignment="1" applyProtection="1">
      <alignment vertical="center" wrapText="1"/>
      <protection hidden="1"/>
    </xf>
    <xf numFmtId="0" fontId="7" fillId="0" borderId="23" xfId="0" applyFont="1" applyBorder="1" applyAlignment="1" applyProtection="1">
      <alignment horizontal="left" vertical="center"/>
      <protection hidden="1"/>
    </xf>
    <xf numFmtId="0" fontId="44" fillId="0" borderId="82" xfId="10" applyFont="1" applyBorder="1" applyAlignment="1" applyProtection="1">
      <alignment vertical="center" wrapText="1"/>
      <protection hidden="1"/>
    </xf>
    <xf numFmtId="0" fontId="44" fillId="0" borderId="82" xfId="10" applyFont="1" applyBorder="1" applyAlignment="1" applyProtection="1">
      <alignment vertical="center"/>
      <protection hidden="1"/>
    </xf>
    <xf numFmtId="0" fontId="45" fillId="7" borderId="82" xfId="10" applyFont="1" applyFill="1" applyBorder="1" applyAlignment="1" applyProtection="1">
      <alignment vertical="center"/>
      <protection hidden="1"/>
    </xf>
    <xf numFmtId="0" fontId="44" fillId="0" borderId="84" xfId="10" applyFont="1" applyBorder="1" applyAlignment="1" applyProtection="1">
      <alignment vertical="center"/>
      <protection hidden="1"/>
    </xf>
    <xf numFmtId="9" fontId="44" fillId="0" borderId="82" xfId="10" applyNumberFormat="1" applyFont="1" applyBorder="1" applyAlignment="1" applyProtection="1">
      <alignment vertical="center"/>
      <protection locked="0" hidden="1"/>
    </xf>
    <xf numFmtId="0" fontId="6" fillId="3" borderId="18" xfId="0" applyFont="1" applyFill="1" applyBorder="1" applyAlignment="1" applyProtection="1">
      <alignment horizontal="center" vertical="center"/>
      <protection locked="0"/>
    </xf>
    <xf numFmtId="0" fontId="6" fillId="3" borderId="18" xfId="0" applyFont="1" applyFill="1" applyBorder="1" applyAlignment="1" applyProtection="1">
      <alignment vertical="center" wrapText="1"/>
      <protection locked="0"/>
    </xf>
    <xf numFmtId="0" fontId="7" fillId="4" borderId="18" xfId="0" applyFont="1" applyFill="1" applyBorder="1" applyAlignment="1" applyProtection="1">
      <alignment horizontal="center" vertical="center"/>
      <protection locked="0"/>
    </xf>
    <xf numFmtId="0" fontId="7" fillId="4" borderId="18" xfId="0" applyFont="1" applyFill="1" applyBorder="1" applyAlignment="1" applyProtection="1">
      <alignment vertical="center"/>
      <protection locked="0"/>
    </xf>
    <xf numFmtId="0" fontId="8" fillId="0" borderId="18" xfId="0" applyFont="1" applyBorder="1" applyAlignment="1" applyProtection="1">
      <alignment horizontal="center" vertical="center"/>
      <protection locked="0"/>
    </xf>
    <xf numFmtId="0" fontId="8" fillId="0" borderId="18" xfId="0" applyFont="1" applyBorder="1" applyAlignment="1" applyProtection="1">
      <alignment vertical="center"/>
      <protection locked="0"/>
    </xf>
    <xf numFmtId="0" fontId="8" fillId="0" borderId="18" xfId="0" quotePrefix="1" applyFont="1" applyBorder="1" applyAlignment="1" applyProtection="1">
      <alignment vertical="center"/>
      <protection locked="0"/>
    </xf>
    <xf numFmtId="0" fontId="8" fillId="0" borderId="18" xfId="0" applyFont="1" applyBorder="1" applyAlignment="1" applyProtection="1">
      <alignment vertical="center" wrapText="1"/>
      <protection locked="0"/>
    </xf>
    <xf numFmtId="0" fontId="6" fillId="3" borderId="18" xfId="0" applyFont="1" applyFill="1" applyBorder="1" applyAlignment="1" applyProtection="1">
      <alignment vertical="center"/>
      <protection locked="0"/>
    </xf>
    <xf numFmtId="0" fontId="8" fillId="0" borderId="18" xfId="0" quotePrefix="1" applyFont="1" applyBorder="1" applyAlignment="1" applyProtection="1">
      <alignment horizontal="center" vertical="center"/>
      <protection locked="0"/>
    </xf>
    <xf numFmtId="0" fontId="45" fillId="7" borderId="82" xfId="10" applyFont="1" applyFill="1" applyBorder="1" applyAlignment="1" applyProtection="1">
      <alignment vertical="center" wrapText="1"/>
      <protection hidden="1"/>
    </xf>
    <xf numFmtId="0" fontId="45" fillId="3" borderId="82" xfId="10" applyFont="1" applyFill="1" applyBorder="1" applyAlignment="1" applyProtection="1">
      <alignment vertical="center"/>
      <protection hidden="1"/>
    </xf>
    <xf numFmtId="0" fontId="45" fillId="0" borderId="0" xfId="10" applyFont="1" applyProtection="1">
      <protection hidden="1"/>
    </xf>
    <xf numFmtId="0" fontId="44" fillId="0" borderId="0" xfId="10" applyFont="1" applyProtection="1">
      <protection hidden="1"/>
    </xf>
    <xf numFmtId="0" fontId="45" fillId="0" borderId="82" xfId="10" applyFont="1" applyBorder="1" applyAlignment="1" applyProtection="1">
      <alignment vertical="center" wrapText="1"/>
      <protection hidden="1"/>
    </xf>
    <xf numFmtId="0" fontId="45" fillId="3" borderId="82" xfId="10" applyFont="1" applyFill="1" applyBorder="1" applyAlignment="1" applyProtection="1">
      <alignment vertical="center" wrapText="1"/>
      <protection hidden="1"/>
    </xf>
    <xf numFmtId="0" fontId="45" fillId="7" borderId="84" xfId="10" applyFont="1" applyFill="1" applyBorder="1" applyAlignment="1" applyProtection="1">
      <alignment vertical="center" wrapText="1"/>
      <protection hidden="1"/>
    </xf>
    <xf numFmtId="169" fontId="23" fillId="7" borderId="82" xfId="1" applyNumberFormat="1" applyFont="1" applyFill="1" applyBorder="1" applyAlignment="1" applyProtection="1">
      <alignment horizontal="center" vertical="center"/>
      <protection hidden="1"/>
    </xf>
    <xf numFmtId="169" fontId="22" fillId="0" borderId="82" xfId="1" applyNumberFormat="1" applyFont="1" applyBorder="1" applyAlignment="1" applyProtection="1">
      <alignment vertical="center" wrapText="1"/>
      <protection hidden="1"/>
    </xf>
    <xf numFmtId="169" fontId="22" fillId="0" borderId="82" xfId="1" applyNumberFormat="1" applyFont="1" applyBorder="1" applyAlignment="1" applyProtection="1">
      <alignment vertical="center"/>
      <protection hidden="1"/>
    </xf>
    <xf numFmtId="169" fontId="22" fillId="0" borderId="0" xfId="1" applyNumberFormat="1" applyFont="1" applyAlignment="1" applyProtection="1">
      <alignment horizontal="center" vertical="center"/>
      <protection hidden="1"/>
    </xf>
    <xf numFmtId="169" fontId="22" fillId="0" borderId="0" xfId="1" applyNumberFormat="1" applyFont="1" applyAlignment="1" applyProtection="1">
      <alignment vertical="center"/>
      <protection hidden="1"/>
    </xf>
    <xf numFmtId="169" fontId="23" fillId="0" borderId="0" xfId="1" applyNumberFormat="1" applyFont="1" applyAlignment="1" applyProtection="1">
      <alignment vertical="center"/>
      <protection hidden="1"/>
    </xf>
    <xf numFmtId="0" fontId="6" fillId="3" borderId="1" xfId="0" applyFont="1" applyFill="1" applyBorder="1" applyAlignment="1" applyProtection="1">
      <alignment horizontal="center" vertical="center" wrapText="1"/>
    </xf>
    <xf numFmtId="0" fontId="6" fillId="3" borderId="7" xfId="0" applyFont="1" applyFill="1" applyBorder="1" applyAlignment="1" applyProtection="1">
      <alignment horizontal="center" vertical="center"/>
    </xf>
    <xf numFmtId="0" fontId="6" fillId="3" borderId="25" xfId="0" applyFont="1" applyFill="1" applyBorder="1" applyAlignment="1" applyProtection="1">
      <alignment horizontal="center" vertical="center"/>
    </xf>
    <xf numFmtId="0" fontId="6" fillId="3" borderId="8" xfId="0" applyFont="1" applyFill="1" applyBorder="1" applyAlignment="1" applyProtection="1">
      <alignment horizontal="center" vertical="center"/>
    </xf>
    <xf numFmtId="0" fontId="6" fillId="3" borderId="14" xfId="0" applyFont="1" applyFill="1" applyBorder="1" applyAlignment="1" applyProtection="1">
      <alignment horizontal="center" vertical="center"/>
    </xf>
    <xf numFmtId="172" fontId="8" fillId="0" borderId="18" xfId="14" applyNumberFormat="1" applyFont="1" applyBorder="1" applyAlignment="1" applyProtection="1">
      <alignment vertical="center" wrapText="1"/>
      <protection hidden="1"/>
    </xf>
    <xf numFmtId="172" fontId="9" fillId="0" borderId="18" xfId="14" applyNumberFormat="1" applyFont="1" applyBorder="1" applyAlignment="1" applyProtection="1">
      <alignment vertical="center" wrapText="1"/>
      <protection hidden="1"/>
    </xf>
    <xf numFmtId="172" fontId="8" fillId="0" borderId="2" xfId="14" applyNumberFormat="1" applyFont="1" applyBorder="1" applyAlignment="1" applyProtection="1">
      <alignment horizontal="left" vertical="center"/>
      <protection hidden="1"/>
    </xf>
    <xf numFmtId="172" fontId="8" fillId="0" borderId="4" xfId="14" applyNumberFormat="1" applyFont="1" applyBorder="1" applyAlignment="1" applyProtection="1">
      <alignment vertical="center" wrapText="1"/>
      <protection hidden="1"/>
    </xf>
    <xf numFmtId="3" fontId="8" fillId="0" borderId="0" xfId="0" applyNumberFormat="1" applyFont="1" applyAlignment="1">
      <alignment vertical="center"/>
    </xf>
    <xf numFmtId="172" fontId="6" fillId="3" borderId="18" xfId="14" applyNumberFormat="1" applyFont="1" applyFill="1" applyBorder="1" applyAlignment="1">
      <alignment vertical="center"/>
    </xf>
    <xf numFmtId="172" fontId="8" fillId="0" borderId="18" xfId="14" applyNumberFormat="1" applyFont="1" applyBorder="1" applyAlignment="1">
      <alignment vertical="center"/>
    </xf>
    <xf numFmtId="172" fontId="8" fillId="0" borderId="0" xfId="14" applyNumberFormat="1" applyFont="1" applyAlignment="1">
      <alignment vertical="center" wrapText="1"/>
    </xf>
    <xf numFmtId="172" fontId="44" fillId="0" borderId="82" xfId="14" applyNumberFormat="1" applyFont="1" applyBorder="1" applyAlignment="1" applyProtection="1">
      <alignment vertical="center"/>
      <protection locked="0" hidden="1"/>
    </xf>
    <xf numFmtId="172" fontId="45" fillId="7" borderId="82" xfId="14" applyNumberFormat="1" applyFont="1" applyFill="1" applyBorder="1" applyAlignment="1" applyProtection="1">
      <alignment vertical="center"/>
      <protection locked="0" hidden="1"/>
    </xf>
    <xf numFmtId="172" fontId="45" fillId="3" borderId="82" xfId="10" applyNumberFormat="1" applyFont="1" applyFill="1" applyBorder="1" applyAlignment="1" applyProtection="1">
      <alignment vertical="center"/>
      <protection locked="0" hidden="1"/>
    </xf>
    <xf numFmtId="172" fontId="45" fillId="3" borderId="82" xfId="14" applyNumberFormat="1" applyFont="1" applyFill="1" applyBorder="1" applyAlignment="1" applyProtection="1">
      <alignment vertical="center"/>
      <protection locked="0" hidden="1"/>
    </xf>
    <xf numFmtId="9" fontId="44" fillId="0" borderId="82" xfId="15" applyFont="1" applyBorder="1" applyAlignment="1" applyProtection="1">
      <alignment vertical="center"/>
      <protection locked="0" hidden="1"/>
    </xf>
    <xf numFmtId="9" fontId="45" fillId="7" borderId="82" xfId="10" applyNumberFormat="1" applyFont="1" applyFill="1" applyBorder="1" applyAlignment="1" applyProtection="1">
      <alignment vertical="center"/>
      <protection locked="0" hidden="1"/>
    </xf>
    <xf numFmtId="172" fontId="44" fillId="0" borderId="84" xfId="14" applyNumberFormat="1" applyFont="1" applyBorder="1" applyAlignment="1" applyProtection="1">
      <alignment horizontal="center" vertical="center"/>
      <protection locked="0" hidden="1"/>
    </xf>
    <xf numFmtId="172" fontId="44" fillId="7" borderId="84" xfId="14" applyNumberFormat="1" applyFont="1" applyFill="1" applyBorder="1" applyAlignment="1" applyProtection="1">
      <alignment horizontal="center" vertical="center"/>
      <protection locked="0" hidden="1"/>
    </xf>
    <xf numFmtId="172" fontId="45" fillId="7" borderId="82" xfId="10" applyNumberFormat="1" applyFont="1" applyFill="1" applyBorder="1" applyAlignment="1" applyProtection="1">
      <alignment vertical="center"/>
      <protection locked="0" hidden="1"/>
    </xf>
    <xf numFmtId="9" fontId="45" fillId="3" borderId="82" xfId="15" applyFont="1" applyFill="1" applyBorder="1" applyAlignment="1" applyProtection="1">
      <alignment vertical="center"/>
      <protection locked="0" hidden="1"/>
    </xf>
    <xf numFmtId="172" fontId="44" fillId="3" borderId="84" xfId="14" applyNumberFormat="1" applyFont="1" applyFill="1" applyBorder="1" applyAlignment="1" applyProtection="1">
      <alignment horizontal="center" vertical="center"/>
      <protection locked="0" hidden="1"/>
    </xf>
    <xf numFmtId="172" fontId="44" fillId="7" borderId="82" xfId="14" applyNumberFormat="1" applyFont="1" applyFill="1" applyBorder="1" applyAlignment="1" applyProtection="1">
      <alignment horizontal="center" vertical="center"/>
      <protection locked="0" hidden="1"/>
    </xf>
    <xf numFmtId="9" fontId="45" fillId="7" borderId="82" xfId="15" applyFont="1" applyFill="1" applyBorder="1" applyAlignment="1" applyProtection="1">
      <alignment vertical="center"/>
      <protection locked="0" hidden="1"/>
    </xf>
    <xf numFmtId="165" fontId="44" fillId="0" borderId="0" xfId="10" applyNumberFormat="1" applyFont="1" applyProtection="1">
      <protection locked="0" hidden="1"/>
    </xf>
    <xf numFmtId="172" fontId="44" fillId="3" borderId="84" xfId="10" applyNumberFormat="1" applyFont="1" applyFill="1" applyBorder="1" applyAlignment="1" applyProtection="1">
      <alignment horizontal="center" vertical="center"/>
      <protection locked="0" hidden="1"/>
    </xf>
    <xf numFmtId="9" fontId="44" fillId="0" borderId="82" xfId="15" applyFont="1" applyBorder="1" applyAlignment="1" applyProtection="1">
      <alignment horizontal="center" vertical="center"/>
      <protection locked="0" hidden="1"/>
    </xf>
    <xf numFmtId="172" fontId="44" fillId="0" borderId="0" xfId="14" applyNumberFormat="1" applyFont="1" applyProtection="1">
      <protection locked="0" hidden="1"/>
    </xf>
    <xf numFmtId="172" fontId="64" fillId="0" borderId="0" xfId="14" applyNumberFormat="1" applyFont="1" applyAlignment="1" applyProtection="1">
      <alignment horizontal="right"/>
      <protection locked="0" hidden="1"/>
    </xf>
    <xf numFmtId="172" fontId="44" fillId="0" borderId="0" xfId="14" applyNumberFormat="1" applyFont="1" applyAlignment="1" applyProtection="1">
      <alignment vertical="center"/>
      <protection locked="0" hidden="1"/>
    </xf>
    <xf numFmtId="167" fontId="8" fillId="0" borderId="18" xfId="14" applyNumberFormat="1" applyFont="1" applyBorder="1" applyAlignment="1">
      <alignment vertical="center"/>
    </xf>
    <xf numFmtId="167" fontId="6" fillId="3" borderId="18" xfId="14" applyNumberFormat="1" applyFont="1" applyFill="1" applyBorder="1" applyAlignment="1">
      <alignment vertical="center"/>
    </xf>
    <xf numFmtId="167" fontId="7" fillId="4" borderId="18" xfId="14" applyNumberFormat="1" applyFont="1" applyFill="1" applyBorder="1" applyAlignment="1">
      <alignment vertical="center"/>
    </xf>
    <xf numFmtId="1" fontId="16" fillId="0" borderId="108" xfId="5" applyNumberFormat="1" applyFont="1" applyBorder="1" applyAlignment="1" applyProtection="1">
      <alignment vertical="center"/>
      <protection hidden="1"/>
    </xf>
    <xf numFmtId="1" fontId="29" fillId="0" borderId="108" xfId="5" applyNumberFormat="1" applyFont="1" applyBorder="1" applyAlignment="1" applyProtection="1">
      <alignment vertical="center"/>
      <protection hidden="1"/>
    </xf>
    <xf numFmtId="0" fontId="6" fillId="3" borderId="109" xfId="0" applyNumberFormat="1" applyFont="1" applyFill="1" applyBorder="1" applyAlignment="1">
      <alignment horizontal="center" vertical="center" wrapText="1"/>
    </xf>
    <xf numFmtId="14" fontId="45" fillId="0" borderId="120" xfId="10" applyNumberFormat="1" applyFont="1" applyBorder="1" applyAlignment="1" applyProtection="1">
      <alignment horizontal="center" vertical="center"/>
      <protection locked="0" hidden="1"/>
    </xf>
    <xf numFmtId="172" fontId="45" fillId="0" borderId="120" xfId="14" applyNumberFormat="1" applyFont="1" applyBorder="1" applyAlignment="1" applyProtection="1">
      <protection locked="0" hidden="1"/>
    </xf>
    <xf numFmtId="0" fontId="45" fillId="0" borderId="120" xfId="10" applyFont="1" applyBorder="1" applyAlignment="1" applyProtection="1">
      <alignment vertical="center"/>
      <protection locked="0" hidden="1"/>
    </xf>
    <xf numFmtId="0" fontId="45" fillId="0" borderId="120" xfId="10" applyFont="1" applyBorder="1" applyAlignment="1" applyProtection="1">
      <protection locked="0" hidden="1"/>
    </xf>
    <xf numFmtId="14" fontId="31" fillId="0" borderId="28" xfId="5" applyNumberFormat="1" applyFont="1" applyBorder="1" applyAlignment="1" applyProtection="1">
      <alignment horizontal="center" vertical="center"/>
      <protection hidden="1"/>
    </xf>
    <xf numFmtId="14" fontId="34" fillId="0" borderId="28"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center" vertical="center"/>
      <protection hidden="1"/>
    </xf>
    <xf numFmtId="1" fontId="34" fillId="0" borderId="38" xfId="5" applyNumberFormat="1" applyFont="1" applyBorder="1" applyAlignment="1" applyProtection="1">
      <alignment horizontal="center" vertical="center"/>
      <protection hidden="1"/>
    </xf>
    <xf numFmtId="1" fontId="34" fillId="0" borderId="27" xfId="5" applyNumberFormat="1" applyFont="1" applyBorder="1" applyAlignment="1" applyProtection="1">
      <alignment horizontal="center" vertical="center"/>
      <protection hidden="1"/>
    </xf>
    <xf numFmtId="1" fontId="34" fillId="0" borderId="32" xfId="5" applyNumberFormat="1" applyFont="1" applyBorder="1" applyAlignment="1" applyProtection="1">
      <alignment horizontal="center" vertical="center"/>
      <protection hidden="1"/>
    </xf>
    <xf numFmtId="1" fontId="34" fillId="0" borderId="34" xfId="5" applyNumberFormat="1" applyFont="1" applyBorder="1" applyAlignment="1" applyProtection="1">
      <alignment horizontal="center" vertical="center"/>
      <protection hidden="1"/>
    </xf>
    <xf numFmtId="1" fontId="29" fillId="0" borderId="41" xfId="5" applyNumberFormat="1" applyFont="1" applyBorder="1" applyAlignment="1" applyProtection="1">
      <alignment horizontal="center" vertical="center"/>
      <protection hidden="1"/>
    </xf>
    <xf numFmtId="1" fontId="29" fillId="0" borderId="32"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center" vertical="center"/>
      <protection hidden="1"/>
    </xf>
    <xf numFmtId="0" fontId="8" fillId="0" borderId="9" xfId="0" applyFont="1" applyBorder="1" applyAlignment="1" applyProtection="1">
      <alignment horizontal="center" vertical="center" wrapText="1"/>
      <protection hidden="1"/>
    </xf>
    <xf numFmtId="3" fontId="8" fillId="0" borderId="9" xfId="0" applyNumberFormat="1" applyFont="1" applyBorder="1" applyAlignment="1" applyProtection="1">
      <alignment horizontal="right" vertical="center" wrapText="1"/>
      <protection hidden="1"/>
    </xf>
    <xf numFmtId="0" fontId="44" fillId="0" borderId="0" xfId="10" applyFont="1" applyAlignment="1" applyProtection="1">
      <alignment horizontal="center" vertical="center"/>
      <protection locked="0" hidden="1"/>
    </xf>
    <xf numFmtId="0" fontId="46" fillId="3" borderId="81" xfId="10" applyFont="1" applyFill="1" applyBorder="1" applyAlignment="1" applyProtection="1">
      <alignment horizontal="center" vertical="center"/>
      <protection locked="0" hidden="1"/>
    </xf>
    <xf numFmtId="0" fontId="46" fillId="3" borderId="83" xfId="10" applyFont="1" applyFill="1" applyBorder="1" applyAlignment="1" applyProtection="1">
      <alignment horizontal="center" vertical="center"/>
      <protection locked="0" hidden="1"/>
    </xf>
    <xf numFmtId="0" fontId="46" fillId="3" borderId="82" xfId="10" applyFont="1" applyFill="1" applyBorder="1" applyAlignment="1" applyProtection="1">
      <alignment horizontal="center" vertical="center"/>
      <protection locked="0" hidden="1"/>
    </xf>
    <xf numFmtId="14" fontId="45" fillId="0" borderId="120" xfId="10" applyNumberFormat="1" applyFont="1" applyBorder="1" applyAlignment="1" applyProtection="1">
      <alignment horizontal="center"/>
      <protection locked="0" hidden="1"/>
    </xf>
    <xf numFmtId="0" fontId="45" fillId="0" borderId="80" xfId="10" applyFont="1" applyBorder="1" applyAlignment="1" applyProtection="1">
      <alignment horizontal="left"/>
      <protection locked="0" hidden="1"/>
    </xf>
    <xf numFmtId="0" fontId="45" fillId="0" borderId="120" xfId="10" applyFont="1" applyBorder="1" applyAlignment="1" applyProtection="1">
      <alignment horizontal="center"/>
      <protection locked="0" hidden="1"/>
    </xf>
    <xf numFmtId="0" fontId="46" fillId="3" borderId="86"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4" xfId="10" applyFont="1" applyBorder="1" applyAlignment="1" applyProtection="1">
      <alignment vertical="center" wrapText="1"/>
      <protection hidden="1"/>
    </xf>
    <xf numFmtId="0" fontId="44" fillId="0" borderId="0" xfId="10" applyFont="1" applyAlignment="1" applyProtection="1">
      <alignment horizontal="center"/>
      <protection locked="0" hidden="1"/>
    </xf>
    <xf numFmtId="0" fontId="23" fillId="0" borderId="0" xfId="7" applyFont="1" applyBorder="1" applyAlignment="1" applyProtection="1">
      <alignment horizontal="center" vertical="center"/>
      <protection locked="0" hidden="1"/>
    </xf>
    <xf numFmtId="0" fontId="69" fillId="0" borderId="121" xfId="6" applyFont="1" applyBorder="1" applyAlignment="1" applyProtection="1">
      <alignment vertical="top"/>
      <protection locked="0" hidden="1"/>
    </xf>
    <xf numFmtId="0" fontId="72" fillId="0" borderId="82" xfId="10" applyFont="1" applyBorder="1" applyAlignment="1" applyProtection="1">
      <alignment vertical="center" wrapText="1"/>
      <protection hidden="1"/>
    </xf>
    <xf numFmtId="0" fontId="1" fillId="0" borderId="0" xfId="18"/>
    <xf numFmtId="0" fontId="44" fillId="0" borderId="0" xfId="18" applyFont="1" applyProtection="1">
      <protection locked="0" hidden="1"/>
    </xf>
    <xf numFmtId="14" fontId="45" fillId="0" borderId="120" xfId="18" applyNumberFormat="1" applyFont="1" applyBorder="1" applyAlignment="1" applyProtection="1">
      <alignment horizontal="center" vertical="center"/>
      <protection locked="0" hidden="1"/>
    </xf>
    <xf numFmtId="0" fontId="45" fillId="0" borderId="0" xfId="18" applyFont="1" applyProtection="1">
      <protection hidden="1"/>
    </xf>
    <xf numFmtId="0" fontId="47" fillId="0" borderId="0" xfId="18" applyFont="1" applyAlignment="1" applyProtection="1">
      <alignment horizontal="left" vertical="center" indent="2"/>
      <protection locked="0" hidden="1"/>
    </xf>
    <xf numFmtId="0" fontId="47" fillId="0" borderId="0" xfId="18" quotePrefix="1" applyFont="1" applyAlignment="1" applyProtection="1">
      <alignment horizontal="left" vertical="center" indent="4"/>
      <protection locked="0" hidden="1"/>
    </xf>
    <xf numFmtId="0" fontId="44" fillId="0" borderId="82" xfId="18" applyFont="1" applyBorder="1" applyAlignment="1" applyProtection="1">
      <alignment vertical="center" wrapText="1"/>
      <protection locked="0" hidden="1"/>
    </xf>
    <xf numFmtId="0" fontId="44" fillId="0" borderId="0" xfId="18" applyFont="1" applyAlignment="1" applyProtection="1">
      <alignment horizontal="right"/>
      <protection locked="0" hidden="1"/>
    </xf>
    <xf numFmtId="0" fontId="64" fillId="0" borderId="82" xfId="18" applyFont="1" applyBorder="1" applyAlignment="1" applyProtection="1">
      <alignment vertical="center" wrapText="1"/>
      <protection locked="0" hidden="1"/>
    </xf>
    <xf numFmtId="0" fontId="44" fillId="0" borderId="82" xfId="18" applyFont="1" applyBorder="1" applyAlignment="1" applyProtection="1">
      <alignment vertical="center"/>
      <protection locked="0" hidden="1"/>
    </xf>
    <xf numFmtId="0" fontId="44" fillId="4" borderId="82" xfId="18" applyFont="1" applyFill="1" applyBorder="1" applyAlignment="1" applyProtection="1">
      <alignment vertical="center"/>
      <protection locked="0" hidden="1"/>
    </xf>
    <xf numFmtId="0" fontId="45" fillId="3" borderId="82" xfId="18" applyFont="1" applyFill="1" applyBorder="1" applyAlignment="1" applyProtection="1">
      <alignment vertical="center"/>
      <protection locked="0" hidden="1"/>
    </xf>
    <xf numFmtId="0" fontId="44" fillId="3" borderId="82" xfId="18" applyFont="1" applyFill="1" applyBorder="1" applyAlignment="1" applyProtection="1">
      <alignment vertical="center"/>
      <protection locked="0" hidden="1"/>
    </xf>
    <xf numFmtId="0" fontId="16" fillId="0" borderId="0" xfId="5" applyFont="1" applyProtection="1">
      <alignment vertical="top" wrapText="1"/>
      <protection hidden="1"/>
    </xf>
    <xf numFmtId="1" fontId="30" fillId="0" borderId="29" xfId="5" applyNumberFormat="1" applyFont="1" applyBorder="1" applyAlignment="1" applyProtection="1">
      <alignment horizontal="center" vertical="center"/>
      <protection hidden="1"/>
    </xf>
    <xf numFmtId="1" fontId="30" fillId="0" borderId="107" xfId="5" applyNumberFormat="1" applyFont="1" applyBorder="1" applyAlignment="1" applyProtection="1">
      <alignment horizontal="center" vertical="center"/>
      <protection hidden="1"/>
    </xf>
    <xf numFmtId="1" fontId="32" fillId="0" borderId="107" xfId="5" applyNumberFormat="1" applyFont="1" applyBorder="1" applyAlignment="1" applyProtection="1">
      <alignment horizontal="center" vertical="center"/>
      <protection hidden="1"/>
    </xf>
    <xf numFmtId="3" fontId="30" fillId="0" borderId="107" xfId="5" applyNumberFormat="1" applyFont="1" applyBorder="1" applyAlignment="1" applyProtection="1">
      <alignment horizontal="center" vertical="center"/>
      <protection hidden="1"/>
    </xf>
    <xf numFmtId="0" fontId="29" fillId="0" borderId="107" xfId="5" applyFont="1" applyBorder="1" applyAlignment="1" applyProtection="1">
      <alignment vertical="center"/>
      <protection hidden="1"/>
    </xf>
    <xf numFmtId="3" fontId="30" fillId="0" borderId="29" xfId="5" applyNumberFormat="1" applyFont="1" applyBorder="1" applyAlignment="1" applyProtection="1">
      <alignment vertical="center"/>
      <protection hidden="1"/>
    </xf>
    <xf numFmtId="3" fontId="30" fillId="0" borderId="107" xfId="5" applyNumberFormat="1" applyFont="1" applyBorder="1" applyAlignment="1" applyProtection="1">
      <alignment vertical="center"/>
      <protection hidden="1"/>
    </xf>
    <xf numFmtId="0" fontId="29" fillId="0" borderId="105" xfId="5" applyFont="1" applyBorder="1" applyAlignment="1" applyProtection="1">
      <alignment vertical="center"/>
      <protection hidden="1"/>
    </xf>
    <xf numFmtId="1" fontId="30" fillId="0" borderId="105" xfId="5" applyNumberFormat="1" applyFont="1" applyBorder="1" applyAlignment="1" applyProtection="1">
      <alignment horizontal="center" vertical="center"/>
      <protection hidden="1"/>
    </xf>
    <xf numFmtId="0" fontId="29" fillId="0" borderId="113" xfId="5" applyFont="1" applyBorder="1" applyAlignment="1" applyProtection="1">
      <alignment vertical="center"/>
      <protection hidden="1"/>
    </xf>
    <xf numFmtId="1" fontId="32" fillId="0" borderId="113" xfId="5" applyNumberFormat="1" applyFont="1" applyBorder="1" applyAlignment="1" applyProtection="1">
      <alignment horizontal="center" vertical="center"/>
      <protection hidden="1"/>
    </xf>
    <xf numFmtId="1" fontId="29" fillId="0" borderId="113" xfId="5" applyNumberFormat="1" applyFont="1" applyBorder="1" applyAlignment="1" applyProtection="1">
      <alignment vertical="center"/>
      <protection hidden="1"/>
    </xf>
    <xf numFmtId="0" fontId="29" fillId="0" borderId="109" xfId="5" applyFont="1" applyBorder="1" applyAlignment="1" applyProtection="1">
      <alignment vertical="center"/>
      <protection hidden="1"/>
    </xf>
    <xf numFmtId="0" fontId="29" fillId="0" borderId="115" xfId="5" applyFont="1" applyBorder="1" applyAlignment="1" applyProtection="1">
      <alignment vertical="center"/>
      <protection hidden="1"/>
    </xf>
    <xf numFmtId="1" fontId="30" fillId="0" borderId="115" xfId="5" applyNumberFormat="1" applyFont="1" applyBorder="1" applyAlignment="1" applyProtection="1">
      <alignment horizontal="center" vertical="center"/>
      <protection hidden="1"/>
    </xf>
    <xf numFmtId="1" fontId="32" fillId="0" borderId="115" xfId="5" applyNumberFormat="1" applyFont="1" applyBorder="1" applyAlignment="1" applyProtection="1">
      <alignment horizontal="center" vertical="center"/>
      <protection hidden="1"/>
    </xf>
    <xf numFmtId="1" fontId="29" fillId="0" borderId="115" xfId="5" applyNumberFormat="1" applyFont="1" applyBorder="1" applyAlignment="1" applyProtection="1">
      <alignment vertical="center"/>
      <protection hidden="1"/>
    </xf>
    <xf numFmtId="0" fontId="29" fillId="0" borderId="0" xfId="5" applyFont="1" applyBorder="1" applyAlignment="1" applyProtection="1">
      <alignment vertical="center"/>
      <protection hidden="1"/>
    </xf>
    <xf numFmtId="0" fontId="16" fillId="0" borderId="0" xfId="5" applyFont="1" applyBorder="1" applyProtection="1">
      <alignment vertical="top" wrapText="1"/>
      <protection hidden="1"/>
    </xf>
    <xf numFmtId="0" fontId="29" fillId="0" borderId="114" xfId="5" applyFont="1" applyBorder="1" applyAlignment="1" applyProtection="1">
      <alignment vertical="center"/>
      <protection hidden="1"/>
    </xf>
    <xf numFmtId="0" fontId="29" fillId="0" borderId="34" xfId="5" applyNumberFormat="1" applyFont="1" applyBorder="1" applyAlignment="1" applyProtection="1">
      <alignment vertical="center" wrapText="1"/>
      <protection hidden="1"/>
    </xf>
    <xf numFmtId="0" fontId="29" fillId="0" borderId="32" xfId="5" applyNumberFormat="1" applyFont="1" applyBorder="1" applyAlignment="1" applyProtection="1">
      <alignment horizontal="right" vertical="center"/>
      <protection hidden="1"/>
    </xf>
    <xf numFmtId="1" fontId="33" fillId="0" borderId="105" xfId="5" applyNumberFormat="1" applyFont="1" applyBorder="1" applyAlignment="1" applyProtection="1">
      <alignment vertical="center"/>
      <protection hidden="1"/>
    </xf>
    <xf numFmtId="1" fontId="30" fillId="0" borderId="105" xfId="5" applyNumberFormat="1" applyFont="1" applyBorder="1" applyAlignment="1" applyProtection="1">
      <alignment vertical="center"/>
      <protection hidden="1"/>
    </xf>
    <xf numFmtId="1" fontId="29" fillId="0" borderId="105" xfId="5" applyNumberFormat="1" applyFont="1" applyBorder="1" applyAlignment="1" applyProtection="1">
      <alignment vertical="center"/>
      <protection hidden="1"/>
    </xf>
    <xf numFmtId="1" fontId="33" fillId="0" borderId="109" xfId="5" applyNumberFormat="1" applyFont="1" applyBorder="1" applyAlignment="1" applyProtection="1">
      <alignment vertical="center"/>
      <protection hidden="1"/>
    </xf>
    <xf numFmtId="1" fontId="30" fillId="0" borderId="115" xfId="5" applyNumberFormat="1" applyFont="1" applyBorder="1" applyAlignment="1" applyProtection="1">
      <alignment vertical="center"/>
      <protection hidden="1"/>
    </xf>
    <xf numFmtId="1" fontId="29" fillId="0" borderId="0" xfId="5" applyNumberFormat="1" applyFont="1" applyBorder="1" applyAlignment="1" applyProtection="1">
      <alignment vertical="center"/>
      <protection hidden="1"/>
    </xf>
    <xf numFmtId="1" fontId="30" fillId="0" borderId="37" xfId="5" applyNumberFormat="1" applyFont="1" applyBorder="1" applyAlignment="1" applyProtection="1">
      <alignment horizontal="center" vertical="center"/>
      <protection hidden="1"/>
    </xf>
    <xf numFmtId="0" fontId="29" fillId="0" borderId="37" xfId="5" applyFont="1" applyBorder="1" applyAlignment="1" applyProtection="1">
      <alignment vertical="center"/>
      <protection hidden="1"/>
    </xf>
    <xf numFmtId="0" fontId="29" fillId="0" borderId="57" xfId="5" applyFont="1" applyBorder="1" applyAlignment="1" applyProtection="1">
      <alignment vertical="center"/>
      <protection hidden="1"/>
    </xf>
    <xf numFmtId="0" fontId="29" fillId="0" borderId="47" xfId="5" applyFont="1" applyBorder="1" applyAlignment="1" applyProtection="1">
      <alignment vertical="center"/>
      <protection hidden="1"/>
    </xf>
    <xf numFmtId="0" fontId="29" fillId="0" borderId="46" xfId="5" applyFont="1" applyBorder="1" applyAlignment="1" applyProtection="1">
      <alignment vertical="center"/>
      <protection hidden="1"/>
    </xf>
    <xf numFmtId="0" fontId="29" fillId="0" borderId="59" xfId="5" applyFont="1" applyBorder="1" applyAlignment="1" applyProtection="1">
      <alignment vertical="center"/>
      <protection hidden="1"/>
    </xf>
    <xf numFmtId="0" fontId="34" fillId="0" borderId="105" xfId="5" applyFont="1" applyBorder="1" applyAlignment="1" applyProtection="1">
      <alignment vertical="center"/>
      <protection hidden="1"/>
    </xf>
    <xf numFmtId="0" fontId="29" fillId="0" borderId="110" xfId="5" applyNumberFormat="1" applyFont="1" applyBorder="1" applyAlignment="1" applyProtection="1">
      <alignment horizontal="center" vertical="center"/>
      <protection hidden="1"/>
    </xf>
    <xf numFmtId="1" fontId="29" fillId="0" borderId="107" xfId="5" applyNumberFormat="1" applyFont="1" applyBorder="1" applyAlignment="1" applyProtection="1">
      <alignment horizontal="center" vertical="center"/>
      <protection hidden="1"/>
    </xf>
    <xf numFmtId="1" fontId="29" fillId="0" borderId="111" xfId="5" applyNumberFormat="1" applyFont="1" applyBorder="1" applyAlignment="1" applyProtection="1">
      <alignment horizontal="center" vertical="center"/>
      <protection hidden="1"/>
    </xf>
    <xf numFmtId="1" fontId="30" fillId="0" borderId="38" xfId="5" applyNumberFormat="1" applyFont="1" applyBorder="1" applyAlignment="1" applyProtection="1">
      <alignment vertical="center"/>
      <protection hidden="1"/>
    </xf>
    <xf numFmtId="1" fontId="30" fillId="0" borderId="37" xfId="5" applyNumberFormat="1" applyFont="1" applyBorder="1" applyAlignment="1" applyProtection="1">
      <alignment vertical="center"/>
      <protection hidden="1"/>
    </xf>
    <xf numFmtId="0" fontId="71" fillId="0" borderId="38" xfId="5" applyNumberFormat="1" applyFont="1" applyBorder="1" applyAlignment="1" applyProtection="1">
      <alignment vertical="center"/>
      <protection hidden="1"/>
    </xf>
    <xf numFmtId="1" fontId="29" fillId="0" borderId="18" xfId="5" applyNumberFormat="1" applyFont="1" applyBorder="1" applyAlignment="1" applyProtection="1">
      <alignment horizontal="center" vertical="center"/>
      <protection hidden="1"/>
    </xf>
    <xf numFmtId="1" fontId="71" fillId="0" borderId="32" xfId="5" applyNumberFormat="1" applyFont="1" applyBorder="1" applyAlignment="1" applyProtection="1">
      <alignment horizontal="left" vertical="center" wrapText="1"/>
      <protection hidden="1"/>
    </xf>
    <xf numFmtId="0" fontId="29" fillId="0" borderId="18" xfId="5" applyFont="1" applyBorder="1" applyAlignment="1" applyProtection="1">
      <alignment horizontal="center" vertical="center"/>
      <protection hidden="1"/>
    </xf>
    <xf numFmtId="1" fontId="29" fillId="0" borderId="57" xfId="5" applyNumberFormat="1" applyFont="1" applyBorder="1" applyAlignment="1" applyProtection="1">
      <alignment vertical="center"/>
      <protection hidden="1"/>
    </xf>
    <xf numFmtId="0" fontId="16" fillId="0" borderId="10" xfId="5" applyFont="1" applyBorder="1" applyProtection="1">
      <alignment vertical="top" wrapText="1"/>
      <protection hidden="1"/>
    </xf>
    <xf numFmtId="1" fontId="30" fillId="0" borderId="39" xfId="5" applyNumberFormat="1" applyFont="1" applyBorder="1" applyAlignment="1" applyProtection="1">
      <alignment vertical="center"/>
      <protection hidden="1"/>
    </xf>
    <xf numFmtId="1" fontId="29" fillId="0" borderId="106" xfId="5" applyNumberFormat="1" applyFont="1" applyBorder="1" applyAlignment="1" applyProtection="1">
      <alignment vertical="center"/>
      <protection hidden="1"/>
    </xf>
    <xf numFmtId="0" fontId="29" fillId="0" borderId="112" xfId="5" applyFont="1" applyBorder="1" applyAlignment="1" applyProtection="1">
      <alignment vertical="center"/>
      <protection hidden="1"/>
    </xf>
    <xf numFmtId="0" fontId="44" fillId="0" borderId="0" xfId="10" applyFont="1" applyAlignment="1" applyProtection="1">
      <alignment horizontal="left"/>
      <protection locked="0" hidden="1"/>
    </xf>
    <xf numFmtId="0" fontId="45" fillId="0" borderId="0" xfId="10" applyFont="1" applyBorder="1" applyAlignment="1" applyProtection="1">
      <alignment horizontal="left"/>
      <protection locked="0" hidden="1"/>
    </xf>
    <xf numFmtId="1" fontId="44" fillId="0" borderId="82" xfId="14" applyNumberFormat="1" applyFont="1" applyBorder="1" applyAlignment="1" applyProtection="1">
      <alignment vertical="center"/>
      <protection locked="0" hidden="1"/>
    </xf>
    <xf numFmtId="1" fontId="18" fillId="0" borderId="27" xfId="5" applyNumberFormat="1" applyFont="1" applyBorder="1" applyAlignment="1" applyProtection="1">
      <alignment horizontal="center" vertical="center"/>
      <protection hidden="1"/>
    </xf>
    <xf numFmtId="0" fontId="19" fillId="0" borderId="27"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horizontal="center" vertical="center"/>
      <protection hidden="1"/>
    </xf>
    <xf numFmtId="0" fontId="18" fillId="0" borderId="57" xfId="5" applyNumberFormat="1" applyFont="1" applyBorder="1" applyAlignment="1" applyProtection="1">
      <alignment horizontal="center" vertical="center"/>
      <protection hidden="1"/>
    </xf>
    <xf numFmtId="0" fontId="18" fillId="0" borderId="58" xfId="5" applyNumberFormat="1" applyFont="1" applyBorder="1" applyAlignment="1" applyProtection="1">
      <alignment horizontal="center" vertical="center"/>
      <protection hidden="1"/>
    </xf>
    <xf numFmtId="0" fontId="18" fillId="0" borderId="59" xfId="5" applyNumberFormat="1" applyFont="1" applyBorder="1" applyAlignment="1" applyProtection="1">
      <alignment horizontal="center" vertical="center"/>
      <protection hidden="1"/>
    </xf>
    <xf numFmtId="0" fontId="46" fillId="3" borderId="85" xfId="10" applyFont="1" applyFill="1" applyBorder="1" applyAlignment="1" applyProtection="1">
      <alignment horizontal="center" vertical="center"/>
      <protection locked="0" hidden="1"/>
    </xf>
    <xf numFmtId="0" fontId="46" fillId="3" borderId="81" xfId="10" applyFont="1" applyFill="1" applyBorder="1" applyAlignment="1" applyProtection="1">
      <alignment horizontal="center" vertical="center" wrapText="1"/>
      <protection locked="0" hidden="1"/>
    </xf>
    <xf numFmtId="0" fontId="46" fillId="3" borderId="83" xfId="10" applyFont="1" applyFill="1" applyBorder="1" applyAlignment="1" applyProtection="1">
      <alignment horizontal="center" vertical="center" wrapText="1"/>
      <protection locked="0" hidden="1"/>
    </xf>
    <xf numFmtId="0" fontId="46" fillId="3" borderId="90" xfId="10" applyFont="1" applyFill="1" applyBorder="1" applyAlignment="1" applyProtection="1">
      <alignment horizontal="center" vertical="center" wrapText="1"/>
      <protection locked="0" hidden="1"/>
    </xf>
    <xf numFmtId="0" fontId="46" fillId="3" borderId="86"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6" xfId="10" applyFont="1" applyBorder="1" applyAlignment="1" applyProtection="1">
      <alignment vertical="center"/>
      <protection locked="0" hidden="1"/>
    </xf>
    <xf numFmtId="0" fontId="46" fillId="3" borderId="62" xfId="10" applyFont="1" applyFill="1" applyBorder="1" applyAlignment="1" applyProtection="1">
      <alignment horizontal="center" vertical="center" wrapText="1"/>
      <protection locked="0" hidden="1"/>
    </xf>
    <xf numFmtId="0" fontId="46" fillId="3" borderId="67" xfId="10" applyFont="1" applyFill="1" applyBorder="1" applyAlignment="1" applyProtection="1">
      <alignment horizontal="center" vertical="center" wrapText="1"/>
      <protection locked="0" hidden="1"/>
    </xf>
    <xf numFmtId="0" fontId="44" fillId="3" borderId="84" xfId="10" applyFont="1" applyFill="1" applyBorder="1" applyAlignment="1" applyProtection="1">
      <alignment horizontal="center" vertical="center"/>
      <protection locked="0" hidden="1"/>
    </xf>
    <xf numFmtId="0" fontId="44" fillId="3" borderId="86" xfId="10" applyFont="1" applyFill="1" applyBorder="1" applyAlignment="1" applyProtection="1">
      <alignment horizontal="center" vertical="center"/>
      <protection locked="0" hidden="1"/>
    </xf>
    <xf numFmtId="0" fontId="44" fillId="3" borderId="85" xfId="10" applyFont="1" applyFill="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4" fillId="0" borderId="86" xfId="10" applyFont="1" applyBorder="1" applyAlignment="1" applyProtection="1">
      <alignment horizontal="center" vertical="center"/>
      <protection locked="0" hidden="1"/>
    </xf>
    <xf numFmtId="0" fontId="44" fillId="0" borderId="85" xfId="10" applyFont="1" applyBorder="1" applyAlignment="1" applyProtection="1">
      <alignment horizontal="center" vertical="center"/>
      <protection locked="0" hidden="1"/>
    </xf>
    <xf numFmtId="0" fontId="44" fillId="0" borderId="82" xfId="18" applyFont="1" applyBorder="1" applyAlignment="1" applyProtection="1">
      <alignment horizontal="center" vertical="center"/>
      <protection locked="0" hidden="1"/>
    </xf>
    <xf numFmtId="169" fontId="46" fillId="3" borderId="82" xfId="1" applyNumberFormat="1" applyFont="1" applyFill="1" applyBorder="1" applyAlignment="1" applyProtection="1">
      <alignment horizontal="center" vertical="center"/>
      <protection locked="0" hidden="1"/>
    </xf>
    <xf numFmtId="1" fontId="16" fillId="0" borderId="123" xfId="5" applyNumberFormat="1" applyFont="1" applyBorder="1" applyAlignment="1" applyProtection="1">
      <alignment vertical="center"/>
      <protection hidden="1"/>
    </xf>
    <xf numFmtId="1" fontId="16" fillId="0" borderId="124" xfId="5" applyNumberFormat="1" applyFont="1" applyBorder="1" applyAlignment="1" applyProtection="1">
      <alignment vertical="center"/>
      <protection hidden="1"/>
    </xf>
    <xf numFmtId="1" fontId="16" fillId="0" borderId="125" xfId="5" applyNumberFormat="1" applyFont="1" applyBorder="1" applyAlignment="1" applyProtection="1">
      <alignment vertical="center"/>
      <protection hidden="1"/>
    </xf>
    <xf numFmtId="1" fontId="16" fillId="0" borderId="126" xfId="5" applyNumberFormat="1" applyFont="1" applyBorder="1" applyAlignment="1" applyProtection="1">
      <alignment vertical="center"/>
      <protection hidden="1"/>
    </xf>
    <xf numFmtId="1" fontId="16" fillId="0" borderId="127" xfId="5" applyNumberFormat="1" applyFont="1" applyBorder="1" applyAlignment="1" applyProtection="1">
      <alignment vertical="center"/>
      <protection hidden="1"/>
    </xf>
    <xf numFmtId="0" fontId="18" fillId="0" borderId="126" xfId="5" applyNumberFormat="1" applyFont="1" applyBorder="1" applyAlignment="1" applyProtection="1">
      <alignment vertical="center"/>
      <protection hidden="1"/>
    </xf>
    <xf numFmtId="1" fontId="18" fillId="0" borderId="127" xfId="5" applyNumberFormat="1" applyFont="1" applyBorder="1" applyAlignment="1" applyProtection="1">
      <alignment vertical="center"/>
      <protection hidden="1"/>
    </xf>
    <xf numFmtId="0" fontId="18" fillId="0" borderId="126" xfId="5" applyNumberFormat="1" applyFont="1" applyBorder="1" applyAlignment="1" applyProtection="1">
      <alignment horizontal="center" vertical="center"/>
      <protection hidden="1"/>
    </xf>
    <xf numFmtId="1" fontId="18" fillId="0" borderId="127" xfId="5" applyNumberFormat="1" applyFont="1" applyBorder="1" applyAlignment="1" applyProtection="1">
      <alignment horizontal="center" vertical="center"/>
      <protection hidden="1"/>
    </xf>
    <xf numFmtId="0" fontId="18" fillId="0" borderId="128" xfId="5" applyNumberFormat="1" applyFont="1" applyBorder="1" applyAlignment="1" applyProtection="1">
      <alignment vertical="center"/>
      <protection hidden="1"/>
    </xf>
    <xf numFmtId="1" fontId="18" fillId="0" borderId="129" xfId="5" applyNumberFormat="1" applyFont="1" applyBorder="1" applyAlignment="1" applyProtection="1">
      <alignment vertical="center"/>
      <protection hidden="1"/>
    </xf>
    <xf numFmtId="1" fontId="16" fillId="0" borderId="130" xfId="5" applyNumberFormat="1" applyFont="1" applyBorder="1" applyAlignment="1" applyProtection="1">
      <alignment vertical="center"/>
      <protection hidden="1"/>
    </xf>
    <xf numFmtId="1" fontId="16" fillId="0" borderId="131" xfId="5" applyNumberFormat="1" applyFont="1" applyBorder="1" applyAlignment="1" applyProtection="1">
      <alignment vertical="center"/>
      <protection hidden="1"/>
    </xf>
    <xf numFmtId="1" fontId="16" fillId="0" borderId="132" xfId="5" applyNumberFormat="1" applyFont="1" applyBorder="1" applyAlignment="1" applyProtection="1">
      <alignment vertical="center"/>
      <protection hidden="1"/>
    </xf>
    <xf numFmtId="1" fontId="16" fillId="0" borderId="133" xfId="5" applyNumberFormat="1" applyFont="1" applyBorder="1" applyAlignment="1" applyProtection="1">
      <alignment vertical="center"/>
      <protection hidden="1"/>
    </xf>
    <xf numFmtId="0" fontId="46" fillId="3" borderId="82" xfId="18" applyFont="1" applyFill="1" applyBorder="1" applyAlignment="1" applyProtection="1">
      <alignment horizontal="center" vertical="center" wrapText="1"/>
      <protection locked="0" hidden="1"/>
    </xf>
    <xf numFmtId="0" fontId="44" fillId="0" borderId="82" xfId="18" applyFont="1" applyBorder="1" applyAlignment="1" applyProtection="1">
      <alignment vertical="center" wrapText="1"/>
      <protection hidden="1"/>
    </xf>
    <xf numFmtId="0" fontId="45" fillId="7" borderId="82" xfId="18" applyFont="1" applyFill="1" applyBorder="1" applyAlignment="1" applyProtection="1">
      <alignment vertical="center" wrapText="1"/>
      <protection hidden="1"/>
    </xf>
    <xf numFmtId="0" fontId="45" fillId="7" borderId="82" xfId="18" applyFont="1" applyFill="1" applyBorder="1" applyAlignment="1" applyProtection="1">
      <alignment vertical="center"/>
      <protection locked="0" hidden="1"/>
    </xf>
    <xf numFmtId="0" fontId="44" fillId="0" borderId="82" xfId="18" applyFont="1" applyBorder="1" applyAlignment="1" applyProtection="1">
      <alignment vertical="center"/>
      <protection hidden="1"/>
    </xf>
    <xf numFmtId="3" fontId="44" fillId="0" borderId="82" xfId="18" applyNumberFormat="1" applyFont="1" applyBorder="1" applyAlignment="1" applyProtection="1">
      <alignment vertical="center"/>
      <protection locked="0" hidden="1"/>
    </xf>
    <xf numFmtId="172" fontId="45" fillId="7" borderId="82" xfId="19" applyNumberFormat="1" applyFont="1" applyFill="1" applyBorder="1" applyAlignment="1" applyProtection="1">
      <alignment vertical="center"/>
      <protection locked="0" hidden="1"/>
    </xf>
    <xf numFmtId="0" fontId="45" fillId="3" borderId="82" xfId="18" applyFont="1" applyFill="1" applyBorder="1" applyAlignment="1" applyProtection="1">
      <alignment vertical="center"/>
      <protection hidden="1"/>
    </xf>
    <xf numFmtId="172" fontId="45" fillId="3" borderId="82" xfId="19" applyNumberFormat="1" applyFont="1" applyFill="1" applyBorder="1" applyAlignment="1" applyProtection="1">
      <alignment vertical="center"/>
      <protection locked="0" hidden="1"/>
    </xf>
    <xf numFmtId="0" fontId="44" fillId="0" borderId="63" xfId="10" applyFont="1" applyBorder="1" applyProtection="1">
      <protection locked="0" hidden="1"/>
    </xf>
    <xf numFmtId="0" fontId="46" fillId="3" borderId="86" xfId="10" applyFont="1" applyFill="1" applyBorder="1" applyAlignment="1" applyProtection="1">
      <alignment horizontal="center" vertical="center"/>
      <protection locked="0" hidden="1"/>
    </xf>
    <xf numFmtId="0" fontId="44" fillId="0" borderId="81" xfId="10" applyFont="1" applyBorder="1" applyAlignment="1" applyProtection="1">
      <alignment vertical="center" wrapText="1"/>
      <protection locked="0" hidden="1"/>
    </xf>
    <xf numFmtId="0" fontId="44" fillId="0" borderId="83" xfId="10" applyFont="1" applyBorder="1" applyAlignment="1" applyProtection="1">
      <alignment vertical="center" wrapText="1"/>
      <protection locked="0" hidden="1"/>
    </xf>
    <xf numFmtId="0" fontId="44" fillId="0" borderId="90" xfId="10" applyFont="1" applyBorder="1" applyAlignment="1" applyProtection="1">
      <alignment vertical="center" wrapText="1"/>
      <protection locked="0" hidden="1"/>
    </xf>
    <xf numFmtId="0" fontId="44" fillId="0" borderId="135" xfId="10" applyFont="1" applyBorder="1" applyProtection="1">
      <protection locked="0" hidden="1"/>
    </xf>
    <xf numFmtId="0" fontId="44" fillId="0" borderId="82" xfId="10" applyFont="1" applyBorder="1" applyAlignment="1" applyProtection="1">
      <alignment horizontal="center" vertical="center"/>
      <protection locked="0" hidden="1"/>
    </xf>
    <xf numFmtId="172" fontId="44" fillId="0" borderId="82" xfId="14" applyNumberFormat="1" applyFont="1" applyBorder="1" applyAlignment="1" applyProtection="1">
      <alignment horizontal="center" vertical="center"/>
      <protection locked="0" hidden="1"/>
    </xf>
    <xf numFmtId="9" fontId="44" fillId="7" borderId="82" xfId="15" applyFont="1" applyFill="1" applyBorder="1" applyAlignment="1" applyProtection="1">
      <alignment horizontal="center" vertical="center"/>
      <protection locked="0" hidden="1"/>
    </xf>
    <xf numFmtId="0" fontId="44" fillId="3" borderId="82" xfId="10" applyFont="1" applyFill="1" applyBorder="1" applyAlignment="1" applyProtection="1">
      <alignment horizontal="center" vertical="center"/>
      <protection locked="0" hidden="1"/>
    </xf>
    <xf numFmtId="0" fontId="50" fillId="0" borderId="64" xfId="0" applyFont="1" applyBorder="1" applyAlignment="1">
      <alignment vertical="center" wrapText="1"/>
    </xf>
    <xf numFmtId="9" fontId="44" fillId="3" borderId="82" xfId="15" applyFont="1" applyFill="1" applyBorder="1" applyAlignment="1" applyProtection="1">
      <alignment horizontal="center" vertical="center"/>
      <protection locked="0" hidden="1"/>
    </xf>
    <xf numFmtId="0" fontId="56" fillId="2" borderId="0" xfId="10" applyFont="1" applyFill="1" applyBorder="1" applyAlignment="1" applyProtection="1">
      <alignment horizontal="center" vertical="center" wrapText="1"/>
      <protection locked="0" hidden="1"/>
    </xf>
    <xf numFmtId="0" fontId="49" fillId="0" borderId="0" xfId="10" applyFont="1" applyFill="1" applyBorder="1" applyAlignment="1" applyProtection="1">
      <alignment vertical="center" wrapText="1"/>
      <protection locked="0" hidden="1"/>
    </xf>
    <xf numFmtId="0" fontId="46" fillId="2" borderId="0" xfId="10" applyFont="1" applyFill="1" applyBorder="1" applyAlignment="1" applyProtection="1">
      <alignment horizontal="center" vertical="center" wrapText="1"/>
      <protection locked="0" hidden="1"/>
    </xf>
    <xf numFmtId="0" fontId="44" fillId="2" borderId="0" xfId="10" applyFont="1" applyFill="1" applyBorder="1" applyAlignment="1" applyProtection="1">
      <alignment horizontal="center" vertical="center"/>
      <protection locked="0" hidden="1"/>
    </xf>
    <xf numFmtId="0" fontId="50" fillId="0" borderId="64" xfId="0" applyFont="1" applyBorder="1"/>
    <xf numFmtId="172" fontId="44" fillId="3" borderId="82" xfId="14" applyNumberFormat="1" applyFont="1" applyFill="1" applyBorder="1" applyAlignment="1" applyProtection="1">
      <alignment horizontal="center" vertical="center"/>
      <protection locked="0" hidden="1"/>
    </xf>
    <xf numFmtId="172" fontId="44" fillId="3" borderId="82" xfId="10" applyNumberFormat="1" applyFont="1" applyFill="1" applyBorder="1" applyAlignment="1" applyProtection="1">
      <alignment horizontal="center" vertical="center"/>
      <protection locked="0" hidden="1"/>
    </xf>
    <xf numFmtId="3" fontId="46" fillId="3" borderId="135" xfId="1" applyNumberFormat="1" applyFont="1" applyFill="1" applyBorder="1" applyAlignment="1" applyProtection="1">
      <alignment horizontal="center" vertical="center" wrapText="1"/>
      <protection locked="0" hidden="1"/>
    </xf>
    <xf numFmtId="169" fontId="22" fillId="0" borderId="136" xfId="1" applyNumberFormat="1" applyFont="1" applyBorder="1" applyAlignment="1" applyProtection="1">
      <alignment vertical="center"/>
      <protection locked="0" hidden="1"/>
    </xf>
    <xf numFmtId="169" fontId="22" fillId="0" borderId="122" xfId="1" applyNumberFormat="1" applyFont="1" applyBorder="1" applyAlignment="1" applyProtection="1">
      <alignment vertical="center"/>
      <protection locked="0" hidden="1"/>
    </xf>
    <xf numFmtId="169" fontId="23" fillId="7" borderId="122" xfId="1" applyNumberFormat="1" applyFont="1" applyFill="1" applyBorder="1" applyAlignment="1" applyProtection="1">
      <alignment horizontal="center" vertical="center"/>
      <protection hidden="1"/>
    </xf>
    <xf numFmtId="169" fontId="22" fillId="0" borderId="122" xfId="1" applyNumberFormat="1" applyFont="1" applyBorder="1" applyAlignment="1" applyProtection="1">
      <alignment vertical="center" wrapText="1"/>
      <protection hidden="1"/>
    </xf>
    <xf numFmtId="169" fontId="22" fillId="0" borderId="137" xfId="1" applyNumberFormat="1" applyFont="1" applyBorder="1" applyAlignment="1" applyProtection="1">
      <alignment vertical="center"/>
      <protection locked="0" hidden="1"/>
    </xf>
    <xf numFmtId="169" fontId="22" fillId="0" borderId="122" xfId="1" applyNumberFormat="1" applyFont="1" applyBorder="1" applyAlignment="1" applyProtection="1">
      <alignment vertical="center"/>
      <protection hidden="1"/>
    </xf>
    <xf numFmtId="3" fontId="23" fillId="7" borderId="122" xfId="1" applyNumberFormat="1" applyFont="1" applyFill="1" applyBorder="1" applyAlignment="1" applyProtection="1">
      <alignment horizontal="center" vertical="center"/>
      <protection hidden="1"/>
    </xf>
    <xf numFmtId="169" fontId="23" fillId="0" borderId="122" xfId="1" applyNumberFormat="1" applyFont="1" applyBorder="1" applyAlignment="1" applyProtection="1">
      <alignment vertical="center"/>
      <protection hidden="1"/>
    </xf>
    <xf numFmtId="169" fontId="23" fillId="0" borderId="122" xfId="1" applyNumberFormat="1" applyFont="1" applyBorder="1" applyAlignment="1" applyProtection="1">
      <alignment vertical="center"/>
      <protection locked="0" hidden="1"/>
    </xf>
    <xf numFmtId="169" fontId="23" fillId="0" borderId="137" xfId="1" applyNumberFormat="1" applyFont="1" applyBorder="1" applyAlignment="1" applyProtection="1">
      <alignment vertical="center"/>
      <protection locked="0" hidden="1"/>
    </xf>
    <xf numFmtId="169" fontId="46" fillId="3" borderId="140" xfId="1" applyNumberFormat="1" applyFont="1" applyFill="1" applyBorder="1" applyAlignment="1" applyProtection="1">
      <alignment horizontal="right" vertical="center"/>
      <protection locked="0" hidden="1"/>
    </xf>
    <xf numFmtId="169" fontId="46" fillId="3" borderId="141" xfId="1" applyNumberFormat="1" applyFont="1" applyFill="1" applyBorder="1" applyAlignment="1" applyProtection="1">
      <alignment horizontal="center" vertical="center"/>
      <protection locked="0" hidden="1"/>
    </xf>
    <xf numFmtId="169" fontId="46" fillId="3" borderId="144" xfId="1" applyNumberFormat="1" applyFont="1" applyFill="1" applyBorder="1" applyAlignment="1" applyProtection="1">
      <alignment horizontal="center" vertical="center"/>
      <protection locked="0" hidden="1"/>
    </xf>
    <xf numFmtId="169" fontId="60" fillId="3" borderId="142" xfId="1" applyNumberFormat="1" applyFont="1" applyFill="1" applyBorder="1" applyAlignment="1" applyProtection="1">
      <alignment horizontal="center" vertical="center" wrapText="1"/>
      <protection locked="0" hidden="1"/>
    </xf>
    <xf numFmtId="169" fontId="60" fillId="3" borderId="143" xfId="1" applyNumberFormat="1" applyFont="1" applyFill="1" applyBorder="1" applyAlignment="1" applyProtection="1">
      <alignment horizontal="center" vertical="center" wrapText="1"/>
      <protection locked="0" hidden="1"/>
    </xf>
    <xf numFmtId="169" fontId="60" fillId="3" borderId="141" xfId="1" applyNumberFormat="1" applyFont="1" applyFill="1" applyBorder="1" applyAlignment="1" applyProtection="1">
      <alignment horizontal="center" vertical="center" wrapText="1"/>
      <protection locked="0" hidden="1"/>
    </xf>
    <xf numFmtId="169" fontId="22" fillId="0" borderId="143" xfId="1" applyNumberFormat="1" applyFont="1" applyBorder="1" applyAlignment="1" applyProtection="1">
      <alignment vertical="center" wrapText="1"/>
      <protection hidden="1"/>
    </xf>
    <xf numFmtId="170" fontId="23" fillId="0" borderId="141" xfId="1" applyNumberFormat="1" applyFont="1" applyBorder="1" applyAlignment="1" applyProtection="1">
      <alignment vertical="center" wrapText="1"/>
      <protection locked="0" hidden="1"/>
    </xf>
    <xf numFmtId="170" fontId="23" fillId="0" borderId="142" xfId="1" applyNumberFormat="1" applyFont="1" applyBorder="1" applyAlignment="1" applyProtection="1">
      <alignment vertical="center" wrapText="1"/>
      <protection locked="0" hidden="1"/>
    </xf>
    <xf numFmtId="170" fontId="23" fillId="0" borderId="143" xfId="1" applyNumberFormat="1" applyFont="1" applyBorder="1" applyAlignment="1" applyProtection="1">
      <alignment vertical="center" wrapText="1"/>
      <protection locked="0" hidden="1"/>
    </xf>
    <xf numFmtId="170" fontId="23" fillId="0" borderId="144" xfId="1" applyNumberFormat="1" applyFont="1" applyBorder="1" applyAlignment="1" applyProtection="1">
      <alignment vertical="center" wrapText="1"/>
      <protection locked="0" hidden="1"/>
    </xf>
    <xf numFmtId="169" fontId="23" fillId="7" borderId="143" xfId="1" applyNumberFormat="1" applyFont="1" applyFill="1" applyBorder="1" applyAlignment="1" applyProtection="1">
      <alignment vertical="center" wrapText="1"/>
      <protection hidden="1"/>
    </xf>
    <xf numFmtId="170" fontId="23" fillId="7" borderId="141" xfId="1" applyNumberFormat="1" applyFont="1" applyFill="1" applyBorder="1" applyAlignment="1" applyProtection="1">
      <alignment vertical="center" wrapText="1"/>
      <protection locked="0" hidden="1"/>
    </xf>
    <xf numFmtId="170" fontId="23" fillId="7" borderId="142" xfId="1" applyNumberFormat="1" applyFont="1" applyFill="1" applyBorder="1" applyAlignment="1" applyProtection="1">
      <alignment vertical="center" wrapText="1"/>
      <protection locked="0" hidden="1"/>
    </xf>
    <xf numFmtId="170" fontId="23" fillId="7" borderId="143" xfId="1" applyNumberFormat="1" applyFont="1" applyFill="1" applyBorder="1" applyAlignment="1" applyProtection="1">
      <alignment vertical="center" wrapText="1"/>
      <protection locked="0" hidden="1"/>
    </xf>
    <xf numFmtId="170" fontId="23" fillId="7" borderId="144" xfId="1" applyNumberFormat="1" applyFont="1" applyFill="1" applyBorder="1" applyAlignment="1" applyProtection="1">
      <alignment vertical="center" wrapText="1"/>
      <protection locked="0" hidden="1"/>
    </xf>
    <xf numFmtId="169" fontId="23" fillId="0" borderId="143" xfId="1" applyNumberFormat="1" applyFont="1" applyBorder="1" applyAlignment="1" applyProtection="1">
      <alignment vertical="center" wrapText="1"/>
      <protection hidden="1"/>
    </xf>
    <xf numFmtId="169" fontId="23" fillId="3" borderId="143" xfId="1" applyNumberFormat="1" applyFont="1" applyFill="1" applyBorder="1" applyAlignment="1" applyProtection="1">
      <alignment vertical="center"/>
      <protection hidden="1"/>
    </xf>
    <xf numFmtId="170" fontId="23" fillId="3" borderId="141" xfId="1" applyNumberFormat="1" applyFont="1" applyFill="1" applyBorder="1" applyAlignment="1" applyProtection="1">
      <alignment vertical="center"/>
      <protection locked="0" hidden="1"/>
    </xf>
    <xf numFmtId="170" fontId="23" fillId="3" borderId="142" xfId="1" applyNumberFormat="1" applyFont="1" applyFill="1" applyBorder="1" applyAlignment="1" applyProtection="1">
      <alignment vertical="center"/>
      <protection locked="0" hidden="1"/>
    </xf>
    <xf numFmtId="170" fontId="23" fillId="3" borderId="143" xfId="1" applyNumberFormat="1" applyFont="1" applyFill="1" applyBorder="1" applyAlignment="1" applyProtection="1">
      <alignment vertical="center"/>
      <protection locked="0" hidden="1"/>
    </xf>
    <xf numFmtId="170" fontId="23" fillId="3" borderId="144" xfId="1" applyNumberFormat="1" applyFont="1" applyFill="1" applyBorder="1" applyAlignment="1" applyProtection="1">
      <alignment vertical="center"/>
      <protection locked="0" hidden="1"/>
    </xf>
    <xf numFmtId="0" fontId="44" fillId="0" borderId="143" xfId="10" applyFont="1" applyBorder="1" applyAlignment="1" applyProtection="1">
      <alignment vertical="center" wrapText="1"/>
      <protection hidden="1"/>
    </xf>
    <xf numFmtId="0" fontId="44" fillId="0" borderId="145" xfId="10" applyFont="1" applyBorder="1" applyAlignment="1" applyProtection="1">
      <alignment horizontal="center" vertical="center"/>
      <protection locked="0" hidden="1"/>
    </xf>
    <xf numFmtId="0" fontId="44" fillId="0" borderId="143" xfId="10" applyFont="1" applyBorder="1" applyAlignment="1" applyProtection="1">
      <alignment horizontal="center" vertical="center"/>
      <protection locked="0" hidden="1"/>
    </xf>
    <xf numFmtId="0" fontId="45" fillId="7" borderId="143" xfId="10" applyFont="1" applyFill="1" applyBorder="1" applyAlignment="1" applyProtection="1">
      <alignment vertical="center"/>
      <protection hidden="1"/>
    </xf>
    <xf numFmtId="0" fontId="44" fillId="7" borderId="145" xfId="10" applyFont="1" applyFill="1" applyBorder="1" applyAlignment="1" applyProtection="1">
      <alignment horizontal="center" vertical="center"/>
      <protection locked="0" hidden="1"/>
    </xf>
    <xf numFmtId="0" fontId="44" fillId="7" borderId="143" xfId="10" applyFont="1" applyFill="1" applyBorder="1" applyAlignment="1" applyProtection="1">
      <alignment horizontal="center" vertical="center"/>
      <protection locked="0" hidden="1"/>
    </xf>
    <xf numFmtId="0" fontId="45" fillId="3" borderId="143" xfId="10" applyFont="1" applyFill="1" applyBorder="1" applyAlignment="1" applyProtection="1">
      <alignment vertical="center"/>
      <protection hidden="1"/>
    </xf>
    <xf numFmtId="0" fontId="44" fillId="3" borderId="145" xfId="10" applyFont="1" applyFill="1" applyBorder="1" applyAlignment="1" applyProtection="1">
      <alignment horizontal="center" vertical="center"/>
      <protection locked="0" hidden="1"/>
    </xf>
    <xf numFmtId="0" fontId="44" fillId="3" borderId="143" xfId="10" applyFont="1" applyFill="1" applyBorder="1" applyAlignment="1" applyProtection="1">
      <alignment horizontal="center" vertical="center"/>
      <protection locked="0" hidden="1"/>
    </xf>
    <xf numFmtId="0" fontId="45" fillId="0" borderId="143" xfId="10" applyFont="1" applyBorder="1" applyAlignment="1" applyProtection="1">
      <alignment vertical="center" wrapText="1"/>
      <protection hidden="1"/>
    </xf>
    <xf numFmtId="0" fontId="23" fillId="7" borderId="145" xfId="7" applyFont="1" applyFill="1" applyBorder="1" applyAlignment="1" applyProtection="1">
      <alignment vertical="center" wrapText="1"/>
      <protection hidden="1"/>
    </xf>
    <xf numFmtId="3" fontId="22" fillId="7" borderId="143" xfId="1" applyNumberFormat="1" applyFont="1" applyFill="1" applyBorder="1" applyAlignment="1" applyProtection="1">
      <alignment vertical="center"/>
      <protection locked="0" hidden="1"/>
    </xf>
    <xf numFmtId="0" fontId="58" fillId="0" borderId="145" xfId="7" applyFont="1" applyBorder="1" applyAlignment="1" applyProtection="1">
      <alignment vertical="center" wrapText="1"/>
      <protection hidden="1"/>
    </xf>
    <xf numFmtId="3" fontId="22" fillId="0" borderId="143" xfId="1" applyNumberFormat="1" applyFont="1" applyBorder="1" applyAlignment="1" applyProtection="1">
      <alignment vertical="center"/>
      <protection locked="0" hidden="1"/>
    </xf>
    <xf numFmtId="0" fontId="58" fillId="0" borderId="145" xfId="7" quotePrefix="1" applyFont="1" applyBorder="1" applyAlignment="1" applyProtection="1">
      <alignment horizontal="left" vertical="center" wrapText="1"/>
      <protection hidden="1"/>
    </xf>
    <xf numFmtId="0" fontId="22" fillId="0" borderId="145" xfId="7" applyFont="1" applyBorder="1" applyAlignment="1" applyProtection="1">
      <alignment vertical="center" wrapText="1"/>
      <protection hidden="1"/>
    </xf>
    <xf numFmtId="0" fontId="22" fillId="0" borderId="64" xfId="7" applyFont="1" applyBorder="1" applyAlignment="1" applyProtection="1">
      <alignment vertical="center"/>
      <protection hidden="1"/>
    </xf>
    <xf numFmtId="3" fontId="22" fillId="0" borderId="135" xfId="1" applyNumberFormat="1" applyFont="1" applyBorder="1" applyAlignment="1" applyProtection="1">
      <alignment vertical="center"/>
      <protection locked="0" hidden="1"/>
    </xf>
    <xf numFmtId="0" fontId="63" fillId="0" borderId="145" xfId="7" applyFont="1" applyBorder="1" applyAlignment="1" applyProtection="1">
      <alignment vertical="center"/>
      <protection locked="0" hidden="1"/>
    </xf>
    <xf numFmtId="0" fontId="22" fillId="0" borderId="144" xfId="7" applyFont="1" applyBorder="1" applyAlignment="1" applyProtection="1">
      <alignment vertical="center"/>
      <protection locked="0" hidden="1"/>
    </xf>
    <xf numFmtId="0" fontId="22" fillId="0" borderId="146" xfId="7" applyFont="1" applyBorder="1" applyAlignment="1" applyProtection="1">
      <alignment vertical="center"/>
      <protection locked="0" hidden="1"/>
    </xf>
    <xf numFmtId="0" fontId="22" fillId="0" borderId="145" xfId="7" applyFont="1" applyBorder="1" applyAlignment="1" applyProtection="1">
      <alignment vertical="center"/>
      <protection locked="0" hidden="1"/>
    </xf>
    <xf numFmtId="0" fontId="25" fillId="0" borderId="145" xfId="7" applyFont="1" applyBorder="1" applyAlignment="1" applyProtection="1">
      <alignment vertical="center" wrapText="1"/>
      <protection locked="0" hidden="1"/>
    </xf>
    <xf numFmtId="3" fontId="25" fillId="0" borderId="143" xfId="1" applyNumberFormat="1" applyFont="1" applyBorder="1" applyAlignment="1" applyProtection="1">
      <alignment vertical="center"/>
      <protection locked="0" hidden="1"/>
    </xf>
    <xf numFmtId="0" fontId="25" fillId="0" borderId="145" xfId="7" quotePrefix="1" applyFont="1" applyBorder="1" applyAlignment="1" applyProtection="1">
      <alignment horizontal="left" vertical="center" wrapText="1"/>
      <protection locked="0" hidden="1"/>
    </xf>
    <xf numFmtId="3" fontId="25" fillId="7" borderId="143" xfId="1" applyNumberFormat="1" applyFont="1" applyFill="1" applyBorder="1" applyAlignment="1" applyProtection="1">
      <alignment vertical="center"/>
      <protection locked="0" hidden="1"/>
    </xf>
    <xf numFmtId="0" fontId="45" fillId="4" borderId="143" xfId="10" applyFont="1" applyFill="1" applyBorder="1" applyAlignment="1" applyProtection="1">
      <alignment horizontal="center" vertical="center"/>
      <protection locked="0" hidden="1"/>
    </xf>
    <xf numFmtId="172" fontId="45" fillId="4" borderId="145" xfId="14" applyNumberFormat="1" applyFont="1" applyFill="1" applyBorder="1" applyAlignment="1" applyProtection="1">
      <alignment horizontal="center" vertical="center" wrapText="1"/>
      <protection locked="0" hidden="1"/>
    </xf>
    <xf numFmtId="172" fontId="45" fillId="4" borderId="143" xfId="14" applyNumberFormat="1" applyFont="1" applyFill="1" applyBorder="1" applyAlignment="1" applyProtection="1">
      <alignment horizontal="center" vertical="center" wrapText="1"/>
      <protection locked="0" hidden="1"/>
    </xf>
    <xf numFmtId="0" fontId="73" fillId="4" borderId="143" xfId="10" applyFont="1" applyFill="1" applyBorder="1" applyAlignment="1" applyProtection="1">
      <alignment horizontal="center" vertical="center" wrapText="1"/>
      <protection locked="0" hidden="1"/>
    </xf>
    <xf numFmtId="0" fontId="45" fillId="4" borderId="143" xfId="10" applyFont="1" applyFill="1" applyBorder="1" applyAlignment="1" applyProtection="1">
      <alignment vertical="center"/>
      <protection hidden="1"/>
    </xf>
    <xf numFmtId="172" fontId="45" fillId="4" borderId="145" xfId="14" applyNumberFormat="1" applyFont="1" applyFill="1" applyBorder="1" applyAlignment="1" applyProtection="1">
      <alignment vertical="center"/>
      <protection locked="0" hidden="1"/>
    </xf>
    <xf numFmtId="172" fontId="45" fillId="4" borderId="143" xfId="14" applyNumberFormat="1" applyFont="1" applyFill="1" applyBorder="1" applyAlignment="1" applyProtection="1">
      <alignment vertical="center"/>
      <protection locked="0" hidden="1"/>
    </xf>
    <xf numFmtId="0" fontId="73" fillId="4" borderId="143" xfId="10" applyFont="1" applyFill="1" applyBorder="1" applyAlignment="1" applyProtection="1">
      <alignment vertical="center" wrapText="1"/>
      <protection locked="0" hidden="1"/>
    </xf>
    <xf numFmtId="172" fontId="44" fillId="0" borderId="145" xfId="14" applyNumberFormat="1" applyFont="1" applyBorder="1" applyAlignment="1" applyProtection="1">
      <alignment vertical="center"/>
      <protection locked="0" hidden="1"/>
    </xf>
    <xf numFmtId="172" fontId="44" fillId="0" borderId="143" xfId="14" applyNumberFormat="1" applyFont="1" applyBorder="1" applyAlignment="1" applyProtection="1">
      <alignment vertical="center"/>
      <protection locked="0" hidden="1"/>
    </xf>
    <xf numFmtId="9" fontId="44" fillId="0" borderId="143" xfId="15" applyFont="1" applyBorder="1" applyAlignment="1" applyProtection="1">
      <alignment horizontal="center" vertical="center"/>
      <protection locked="0" hidden="1"/>
    </xf>
    <xf numFmtId="172" fontId="44" fillId="7" borderId="145" xfId="14" applyNumberFormat="1" applyFont="1" applyFill="1" applyBorder="1" applyAlignment="1" applyProtection="1">
      <alignment vertical="center"/>
      <protection locked="0" hidden="1"/>
    </xf>
    <xf numFmtId="172" fontId="44" fillId="7" borderId="143" xfId="14" applyNumberFormat="1" applyFont="1" applyFill="1" applyBorder="1" applyAlignment="1" applyProtection="1">
      <alignment vertical="center"/>
      <protection locked="0" hidden="1"/>
    </xf>
    <xf numFmtId="0" fontId="44" fillId="0" borderId="143" xfId="10" quotePrefix="1" applyFont="1" applyBorder="1" applyAlignment="1" applyProtection="1">
      <alignment horizontal="left" vertical="center" wrapText="1" indent="2"/>
      <protection hidden="1"/>
    </xf>
    <xf numFmtId="0" fontId="45" fillId="7" borderId="143" xfId="10" quotePrefix="1" applyFont="1" applyFill="1" applyBorder="1" applyAlignment="1" applyProtection="1">
      <alignment horizontal="left" vertical="center" wrapText="1" indent="2"/>
      <protection hidden="1"/>
    </xf>
    <xf numFmtId="167" fontId="44" fillId="0" borderId="145" xfId="14" applyNumberFormat="1" applyFont="1" applyBorder="1" applyAlignment="1" applyProtection="1">
      <alignment vertical="center"/>
      <protection locked="0" hidden="1"/>
    </xf>
    <xf numFmtId="9" fontId="44" fillId="7" borderId="143" xfId="15" applyFont="1" applyFill="1" applyBorder="1" applyAlignment="1" applyProtection="1">
      <alignment vertical="center"/>
      <protection locked="0" hidden="1"/>
    </xf>
    <xf numFmtId="0" fontId="45" fillId="0" borderId="143" xfId="10" quotePrefix="1" applyFont="1" applyBorder="1" applyAlignment="1" applyProtection="1">
      <alignment horizontal="left" vertical="center" wrapText="1" indent="2"/>
      <protection hidden="1"/>
    </xf>
    <xf numFmtId="9" fontId="44" fillId="0" borderId="143" xfId="15" applyFont="1" applyBorder="1" applyAlignment="1" applyProtection="1">
      <alignment vertical="center"/>
      <protection locked="0" hidden="1"/>
    </xf>
    <xf numFmtId="9" fontId="44" fillId="0" borderId="145" xfId="15" applyFont="1" applyBorder="1" applyAlignment="1" applyProtection="1">
      <alignment vertical="center"/>
      <protection locked="0" hidden="1"/>
    </xf>
    <xf numFmtId="0" fontId="44" fillId="0" borderId="143" xfId="10" applyFont="1" applyBorder="1" applyAlignment="1" applyProtection="1">
      <alignment horizontal="left" vertical="center" wrapText="1" indent="3"/>
      <protection hidden="1"/>
    </xf>
    <xf numFmtId="167" fontId="44" fillId="7" borderId="145" xfId="14" applyNumberFormat="1" applyFont="1" applyFill="1" applyBorder="1" applyAlignment="1" applyProtection="1">
      <alignment vertical="center"/>
      <protection locked="0" hidden="1"/>
    </xf>
    <xf numFmtId="0" fontId="44" fillId="7" borderId="143" xfId="10" applyFont="1" applyFill="1" applyBorder="1" applyAlignment="1" applyProtection="1">
      <alignment vertical="center"/>
      <protection locked="0" hidden="1"/>
    </xf>
    <xf numFmtId="0" fontId="44" fillId="0" borderId="143" xfId="10" applyFont="1" applyBorder="1" applyAlignment="1" applyProtection="1">
      <alignment vertical="center"/>
      <protection locked="0" hidden="1"/>
    </xf>
    <xf numFmtId="0" fontId="45" fillId="0" borderId="143" xfId="10" applyFont="1" applyBorder="1" applyAlignment="1" applyProtection="1">
      <alignment horizontal="left" vertical="center" wrapText="1" indent="3"/>
      <protection hidden="1"/>
    </xf>
    <xf numFmtId="0" fontId="65" fillId="3" borderId="143" xfId="10" quotePrefix="1" applyFont="1" applyFill="1" applyBorder="1" applyAlignment="1" applyProtection="1">
      <alignment horizontal="left" vertical="center" indent="2"/>
      <protection hidden="1"/>
    </xf>
    <xf numFmtId="167" fontId="44" fillId="3" borderId="145" xfId="14" applyNumberFormat="1" applyFont="1" applyFill="1" applyBorder="1" applyAlignment="1" applyProtection="1">
      <alignment vertical="center"/>
      <protection locked="0" hidden="1"/>
    </xf>
    <xf numFmtId="9" fontId="44" fillId="3" borderId="143" xfId="15" applyFont="1" applyFill="1" applyBorder="1" applyAlignment="1" applyProtection="1">
      <alignment vertical="center"/>
      <protection locked="0" hidden="1"/>
    </xf>
    <xf numFmtId="0" fontId="67" fillId="7" borderId="0" xfId="6" applyFont="1" applyFill="1" applyBorder="1" applyAlignment="1" applyProtection="1">
      <alignment horizontal="center" vertical="top"/>
      <protection locked="0" hidden="1"/>
    </xf>
    <xf numFmtId="0" fontId="67" fillId="0" borderId="0" xfId="6" applyFont="1" applyFill="1" applyBorder="1" applyAlignment="1" applyProtection="1">
      <alignment horizontal="center" vertical="top"/>
      <protection locked="0" hidden="1"/>
    </xf>
    <xf numFmtId="0" fontId="68" fillId="3" borderId="61" xfId="6" applyFont="1" applyFill="1" applyBorder="1" applyAlignment="1" applyProtection="1">
      <alignment vertical="top"/>
      <protection locked="0" hidden="1"/>
    </xf>
    <xf numFmtId="0" fontId="68" fillId="3" borderId="62" xfId="6" applyFont="1" applyFill="1" applyBorder="1" applyAlignment="1" applyProtection="1">
      <alignment vertical="top"/>
      <protection locked="0" hidden="1"/>
    </xf>
    <xf numFmtId="0" fontId="68" fillId="3" borderId="63" xfId="6" applyFont="1" applyFill="1" applyBorder="1" applyAlignment="1" applyProtection="1">
      <alignment vertical="top"/>
      <protection locked="0" hidden="1"/>
    </xf>
    <xf numFmtId="0" fontId="67" fillId="7" borderId="64" xfId="6" applyFont="1" applyFill="1" applyBorder="1" applyAlignment="1" applyProtection="1">
      <alignment horizontal="center" vertical="top"/>
      <protection locked="0" hidden="1"/>
    </xf>
    <xf numFmtId="0" fontId="67" fillId="7" borderId="135" xfId="6" applyFont="1" applyFill="1" applyBorder="1" applyAlignment="1" applyProtection="1">
      <alignment horizontal="center" vertical="top"/>
      <protection locked="0" hidden="1"/>
    </xf>
    <xf numFmtId="0" fontId="29" fillId="2" borderId="50" xfId="5" applyNumberFormat="1" applyFont="1" applyFill="1" applyBorder="1" applyAlignment="1" applyProtection="1">
      <alignment vertical="center"/>
      <protection hidden="1"/>
    </xf>
    <xf numFmtId="1" fontId="29" fillId="2" borderId="50" xfId="5" applyNumberFormat="1" applyFont="1" applyFill="1" applyBorder="1" applyAlignment="1" applyProtection="1">
      <alignment vertical="center"/>
      <protection hidden="1"/>
    </xf>
    <xf numFmtId="0" fontId="29" fillId="2" borderId="33" xfId="5" applyNumberFormat="1" applyFont="1" applyFill="1" applyBorder="1" applyAlignment="1" applyProtection="1">
      <alignment vertical="center"/>
      <protection hidden="1"/>
    </xf>
    <xf numFmtId="1" fontId="29" fillId="2" borderId="35" xfId="5" applyNumberFormat="1" applyFont="1" applyFill="1" applyBorder="1" applyAlignment="1" applyProtection="1">
      <alignment vertical="center"/>
      <protection hidden="1"/>
    </xf>
    <xf numFmtId="1" fontId="29" fillId="2" borderId="37" xfId="5" applyNumberFormat="1" applyFont="1" applyFill="1" applyBorder="1" applyAlignment="1" applyProtection="1">
      <alignment vertical="center"/>
      <protection hidden="1"/>
    </xf>
    <xf numFmtId="1" fontId="29" fillId="2" borderId="38" xfId="5" applyNumberFormat="1" applyFont="1" applyFill="1" applyBorder="1" applyAlignment="1" applyProtection="1">
      <alignment vertical="center"/>
      <protection hidden="1"/>
    </xf>
    <xf numFmtId="1" fontId="29" fillId="2" borderId="32" xfId="5" applyNumberFormat="1" applyFont="1" applyFill="1" applyBorder="1" applyAlignment="1" applyProtection="1">
      <alignment vertical="center"/>
      <protection hidden="1"/>
    </xf>
    <xf numFmtId="0" fontId="29" fillId="2" borderId="37" xfId="5" applyNumberFormat="1" applyFont="1" applyFill="1" applyBorder="1" applyAlignment="1" applyProtection="1">
      <alignment vertical="center"/>
      <protection hidden="1"/>
    </xf>
    <xf numFmtId="0" fontId="29" fillId="2" borderId="69" xfId="5" applyNumberFormat="1" applyFont="1" applyFill="1" applyBorder="1" applyAlignment="1" applyProtection="1">
      <alignment vertical="center"/>
      <protection hidden="1"/>
    </xf>
    <xf numFmtId="3" fontId="29" fillId="2" borderId="77" xfId="5" applyNumberFormat="1" applyFont="1" applyFill="1" applyBorder="1" applyAlignment="1" applyProtection="1">
      <alignment horizontal="center" vertical="center"/>
      <protection hidden="1"/>
    </xf>
    <xf numFmtId="0" fontId="29" fillId="2" borderId="77" xfId="5" applyNumberFormat="1" applyFont="1" applyFill="1" applyBorder="1" applyAlignment="1" applyProtection="1">
      <alignment horizontal="center" vertical="center"/>
      <protection hidden="1"/>
    </xf>
    <xf numFmtId="0" fontId="44" fillId="0" borderId="122" xfId="10" applyFont="1" applyBorder="1" applyProtection="1">
      <protection locked="0" hidden="1"/>
    </xf>
    <xf numFmtId="172" fontId="44" fillId="0" borderId="0" xfId="10" applyNumberFormat="1" applyFont="1" applyProtection="1">
      <protection locked="0" hidden="1"/>
    </xf>
    <xf numFmtId="9" fontId="44" fillId="7" borderId="143" xfId="15" applyFont="1" applyFill="1" applyBorder="1" applyAlignment="1" applyProtection="1">
      <alignment horizontal="center" vertical="center"/>
      <protection locked="0" hidden="1"/>
    </xf>
    <xf numFmtId="9" fontId="44" fillId="3" borderId="143" xfId="15" applyFont="1" applyFill="1" applyBorder="1" applyAlignment="1" applyProtection="1">
      <alignment horizontal="center" vertical="center"/>
      <protection locked="0" hidden="1"/>
    </xf>
    <xf numFmtId="0" fontId="18" fillId="2" borderId="57" xfId="5" applyNumberFormat="1" applyFont="1" applyFill="1" applyBorder="1" applyAlignment="1" applyProtection="1">
      <alignment horizontal="center" vertical="center"/>
      <protection hidden="1"/>
    </xf>
    <xf numFmtId="0" fontId="18" fillId="2" borderId="58" xfId="5" applyNumberFormat="1" applyFont="1" applyFill="1" applyBorder="1" applyAlignment="1" applyProtection="1">
      <alignment horizontal="center" vertical="center"/>
      <protection hidden="1"/>
    </xf>
    <xf numFmtId="0" fontId="18" fillId="2" borderId="59" xfId="5" applyNumberFormat="1" applyFont="1" applyFill="1" applyBorder="1" applyAlignment="1" applyProtection="1">
      <alignment horizontal="center" vertical="center"/>
      <protection hidden="1"/>
    </xf>
    <xf numFmtId="1" fontId="18" fillId="2" borderId="57" xfId="5" applyNumberFormat="1" applyFont="1" applyFill="1" applyBorder="1" applyAlignment="1" applyProtection="1">
      <alignment horizontal="center" vertical="center"/>
      <protection hidden="1"/>
    </xf>
    <xf numFmtId="0" fontId="0" fillId="2" borderId="58" xfId="0" applyFill="1" applyBorder="1" applyAlignment="1">
      <alignment horizontal="center" vertical="center"/>
    </xf>
    <xf numFmtId="0" fontId="0" fillId="2" borderId="59" xfId="0" applyFill="1" applyBorder="1" applyAlignment="1">
      <alignment horizontal="center" vertical="center"/>
    </xf>
    <xf numFmtId="0" fontId="18" fillId="0" borderId="28" xfId="5" applyNumberFormat="1" applyFont="1" applyBorder="1" applyAlignment="1" applyProtection="1">
      <alignment horizontal="left" vertical="center"/>
      <protection hidden="1"/>
    </xf>
    <xf numFmtId="1" fontId="18" fillId="0" borderId="28" xfId="5" applyNumberFormat="1" applyFont="1" applyBorder="1" applyAlignment="1" applyProtection="1">
      <alignment horizontal="left" vertical="center"/>
      <protection hidden="1"/>
    </xf>
    <xf numFmtId="0" fontId="18" fillId="0" borderId="126" xfId="5" applyNumberFormat="1" applyFont="1" applyBorder="1" applyAlignment="1" applyProtection="1">
      <alignment horizontal="center" vertical="center"/>
      <protection hidden="1"/>
    </xf>
    <xf numFmtId="1" fontId="18" fillId="0" borderId="27" xfId="5" applyNumberFormat="1" applyFont="1" applyBorder="1" applyAlignment="1" applyProtection="1">
      <alignment horizontal="center" vertical="center"/>
      <protection hidden="1"/>
    </xf>
    <xf numFmtId="1" fontId="18" fillId="0" borderId="127" xfId="5" applyNumberFormat="1" applyFont="1" applyBorder="1" applyAlignment="1" applyProtection="1">
      <alignment horizontal="center" vertical="center"/>
      <protection hidden="1"/>
    </xf>
    <xf numFmtId="1" fontId="18" fillId="0" borderId="58" xfId="5" applyNumberFormat="1" applyFont="1" applyBorder="1" applyAlignment="1" applyProtection="1">
      <alignment horizontal="center" vertical="center"/>
      <protection hidden="1"/>
    </xf>
    <xf numFmtId="14" fontId="18" fillId="2" borderId="58" xfId="5" applyNumberFormat="1" applyFont="1" applyFill="1" applyBorder="1" applyAlignment="1" applyProtection="1">
      <alignment horizontal="center" vertical="center"/>
      <protection hidden="1"/>
    </xf>
    <xf numFmtId="1" fontId="16" fillId="0" borderId="57" xfId="5" applyNumberFormat="1" applyFont="1" applyBorder="1" applyAlignment="1" applyProtection="1">
      <alignment horizontal="center" vertical="center"/>
      <protection hidden="1"/>
    </xf>
    <xf numFmtId="1" fontId="16" fillId="0" borderId="58" xfId="5" applyNumberFormat="1" applyFont="1" applyBorder="1" applyAlignment="1" applyProtection="1">
      <alignment horizontal="center" vertical="center"/>
      <protection hidden="1"/>
    </xf>
    <xf numFmtId="1" fontId="16" fillId="0" borderId="59" xfId="5" applyNumberFormat="1" applyFont="1" applyBorder="1" applyAlignment="1" applyProtection="1">
      <alignment horizontal="center" vertical="center"/>
      <protection hidden="1"/>
    </xf>
    <xf numFmtId="1" fontId="16" fillId="0" borderId="74" xfId="5" applyNumberFormat="1" applyFont="1" applyBorder="1" applyAlignment="1" applyProtection="1">
      <alignment horizontal="center" vertical="center"/>
      <protection hidden="1"/>
    </xf>
    <xf numFmtId="1" fontId="16" fillId="0" borderId="76" xfId="5" applyNumberFormat="1" applyFont="1" applyBorder="1" applyAlignment="1" applyProtection="1">
      <alignment horizontal="center" vertical="center"/>
      <protection hidden="1"/>
    </xf>
    <xf numFmtId="1" fontId="16" fillId="0" borderId="103" xfId="5" applyNumberFormat="1" applyFont="1" applyBorder="1" applyAlignment="1" applyProtection="1">
      <alignment horizontal="center" vertical="center"/>
      <protection hidden="1"/>
    </xf>
    <xf numFmtId="1" fontId="16" fillId="0" borderId="104" xfId="5" applyNumberFormat="1" applyFont="1" applyBorder="1" applyAlignment="1" applyProtection="1">
      <alignment horizontal="center" vertical="center"/>
      <protection hidden="1"/>
    </xf>
    <xf numFmtId="1" fontId="16" fillId="0" borderId="72" xfId="5" applyNumberFormat="1" applyFont="1" applyBorder="1" applyAlignment="1" applyProtection="1">
      <alignment horizontal="center" vertical="center"/>
      <protection hidden="1"/>
    </xf>
    <xf numFmtId="1" fontId="16" fillId="0" borderId="73" xfId="5" applyNumberFormat="1" applyFont="1" applyBorder="1" applyAlignment="1" applyProtection="1">
      <alignment horizontal="center" vertical="center"/>
      <protection hidden="1"/>
    </xf>
    <xf numFmtId="0" fontId="19" fillId="0" borderId="27"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horizontal="center" vertical="center"/>
      <protection hidden="1"/>
    </xf>
    <xf numFmtId="0" fontId="18" fillId="0" borderId="27" xfId="5" applyNumberFormat="1" applyFont="1" applyBorder="1" applyAlignment="1" applyProtection="1">
      <alignment horizontal="center" vertical="center"/>
      <protection hidden="1"/>
    </xf>
    <xf numFmtId="0" fontId="16" fillId="0" borderId="38" xfId="5" applyNumberFormat="1" applyFont="1" applyBorder="1" applyAlignment="1" applyProtection="1">
      <alignment horizontal="center" vertical="center"/>
      <protection hidden="1"/>
    </xf>
    <xf numFmtId="1" fontId="16" fillId="0" borderId="27" xfId="5" applyNumberFormat="1" applyFont="1" applyBorder="1" applyAlignment="1" applyProtection="1">
      <alignment horizontal="center" vertical="center"/>
      <protection hidden="1"/>
    </xf>
    <xf numFmtId="1" fontId="16" fillId="0" borderId="32" xfId="5" applyNumberFormat="1" applyFont="1" applyBorder="1" applyAlignment="1" applyProtection="1">
      <alignment horizontal="center" vertical="center"/>
      <protection hidden="1"/>
    </xf>
    <xf numFmtId="0" fontId="18" fillId="0" borderId="57" xfId="5" applyNumberFormat="1" applyFont="1" applyBorder="1" applyAlignment="1" applyProtection="1">
      <alignment horizontal="center" vertical="center"/>
      <protection hidden="1"/>
    </xf>
    <xf numFmtId="0" fontId="18" fillId="0" borderId="58" xfId="5" applyNumberFormat="1" applyFont="1" applyBorder="1" applyAlignment="1" applyProtection="1">
      <alignment horizontal="center" vertical="center"/>
      <protection hidden="1"/>
    </xf>
    <xf numFmtId="0" fontId="18" fillId="0" borderId="59" xfId="5" applyNumberFormat="1" applyFont="1" applyBorder="1" applyAlignment="1" applyProtection="1">
      <alignment horizontal="center" vertical="center"/>
      <protection hidden="1"/>
    </xf>
    <xf numFmtId="0" fontId="16" fillId="0" borderId="33" xfId="5" applyNumberFormat="1" applyFont="1" applyBorder="1" applyAlignment="1" applyProtection="1">
      <alignment horizontal="center" vertical="center"/>
      <protection hidden="1"/>
    </xf>
    <xf numFmtId="1" fontId="16" fillId="0" borderId="34" xfId="5" applyNumberFormat="1" applyFont="1" applyBorder="1" applyAlignment="1" applyProtection="1">
      <alignment horizontal="center" vertical="center"/>
      <protection hidden="1"/>
    </xf>
    <xf numFmtId="1" fontId="16" fillId="0" borderId="35" xfId="5" applyNumberFormat="1" applyFont="1" applyBorder="1" applyAlignment="1" applyProtection="1">
      <alignment horizontal="center" vertical="center"/>
      <protection hidden="1"/>
    </xf>
    <xf numFmtId="1" fontId="16" fillId="0" borderId="38" xfId="5" applyNumberFormat="1" applyFont="1" applyBorder="1" applyAlignment="1" applyProtection="1">
      <alignment horizontal="center" vertical="center"/>
      <protection hidden="1"/>
    </xf>
    <xf numFmtId="49" fontId="18" fillId="2" borderId="58" xfId="5" applyNumberFormat="1" applyFont="1" applyFill="1" applyBorder="1" applyAlignment="1" applyProtection="1">
      <alignment horizontal="center" vertical="center"/>
      <protection hidden="1"/>
    </xf>
    <xf numFmtId="49" fontId="0" fillId="2" borderId="58" xfId="0" applyNumberFormat="1" applyFill="1" applyBorder="1" applyAlignment="1">
      <alignment horizontal="center" vertical="center"/>
    </xf>
    <xf numFmtId="0" fontId="35" fillId="0" borderId="71" xfId="5" applyNumberFormat="1" applyFont="1" applyBorder="1" applyAlignment="1" applyProtection="1">
      <alignment horizontal="center" vertical="center"/>
      <protection hidden="1"/>
    </xf>
    <xf numFmtId="0" fontId="35" fillId="0" borderId="72" xfId="5" applyNumberFormat="1" applyFont="1" applyBorder="1" applyAlignment="1" applyProtection="1">
      <alignment horizontal="center" vertical="center"/>
      <protection hidden="1"/>
    </xf>
    <xf numFmtId="0" fontId="35" fillId="0" borderId="73" xfId="5" applyNumberFormat="1" applyFont="1" applyBorder="1" applyAlignment="1" applyProtection="1">
      <alignment horizontal="center" vertical="center"/>
      <protection hidden="1"/>
    </xf>
    <xf numFmtId="3" fontId="34" fillId="0" borderId="71" xfId="5" quotePrefix="1" applyNumberFormat="1" applyFont="1" applyBorder="1" applyAlignment="1" applyProtection="1">
      <alignment horizontal="center" vertical="center"/>
      <protection hidden="1"/>
    </xf>
    <xf numFmtId="0" fontId="34" fillId="0" borderId="72" xfId="5" applyNumberFormat="1" applyFont="1" applyBorder="1" applyAlignment="1" applyProtection="1">
      <alignment horizontal="center" vertical="center"/>
      <protection hidden="1"/>
    </xf>
    <xf numFmtId="0" fontId="34" fillId="0" borderId="73" xfId="5" applyNumberFormat="1" applyFont="1" applyBorder="1" applyAlignment="1" applyProtection="1">
      <alignment horizontal="center" vertical="center"/>
      <protection hidden="1"/>
    </xf>
    <xf numFmtId="1" fontId="29" fillId="0" borderId="71" xfId="5" applyNumberFormat="1" applyFont="1" applyBorder="1" applyAlignment="1" applyProtection="1">
      <alignment horizontal="center" vertical="center"/>
      <protection hidden="1"/>
    </xf>
    <xf numFmtId="1" fontId="29" fillId="0" borderId="72" xfId="5" applyNumberFormat="1" applyFont="1" applyBorder="1" applyAlignment="1" applyProtection="1">
      <alignment horizontal="center" vertical="center"/>
      <protection hidden="1"/>
    </xf>
    <xf numFmtId="1" fontId="29" fillId="0" borderId="73" xfId="5" applyNumberFormat="1" applyFont="1" applyBorder="1" applyAlignment="1" applyProtection="1">
      <alignment horizontal="center" vertical="center"/>
      <protection hidden="1"/>
    </xf>
    <xf numFmtId="1" fontId="29" fillId="0" borderId="69" xfId="5" applyNumberFormat="1" applyFont="1" applyBorder="1" applyAlignment="1" applyProtection="1">
      <alignment horizontal="center" vertical="center"/>
      <protection hidden="1"/>
    </xf>
    <xf numFmtId="1" fontId="29" fillId="0" borderId="58" xfId="5" applyNumberFormat="1" applyFont="1" applyBorder="1" applyAlignment="1" applyProtection="1">
      <alignment horizontal="center" vertical="center"/>
      <protection hidden="1"/>
    </xf>
    <xf numFmtId="1" fontId="29" fillId="0" borderId="70" xfId="5" applyNumberFormat="1" applyFont="1" applyBorder="1" applyAlignment="1" applyProtection="1">
      <alignment horizontal="center" vertical="center"/>
      <protection hidden="1"/>
    </xf>
    <xf numFmtId="0" fontId="29" fillId="0" borderId="34" xfId="5" applyNumberFormat="1" applyFont="1" applyBorder="1" applyAlignment="1" applyProtection="1">
      <alignment horizontal="center" vertical="center"/>
      <protection hidden="1"/>
    </xf>
    <xf numFmtId="1" fontId="29" fillId="0" borderId="34" xfId="5" applyNumberFormat="1" applyFont="1" applyBorder="1" applyAlignment="1" applyProtection="1">
      <alignment horizontal="center" vertical="center"/>
      <protection hidden="1"/>
    </xf>
    <xf numFmtId="1" fontId="34" fillId="2" borderId="38" xfId="5" applyNumberFormat="1" applyFont="1" applyFill="1" applyBorder="1" applyAlignment="1" applyProtection="1">
      <alignment horizontal="center" vertical="center"/>
      <protection hidden="1"/>
    </xf>
    <xf numFmtId="1" fontId="34" fillId="2" borderId="27" xfId="5" applyNumberFormat="1" applyFont="1" applyFill="1" applyBorder="1" applyAlignment="1" applyProtection="1">
      <alignment horizontal="center" vertical="center"/>
      <protection hidden="1"/>
    </xf>
    <xf numFmtId="1" fontId="34" fillId="2" borderId="32" xfId="5" applyNumberFormat="1" applyFont="1" applyFill="1" applyBorder="1" applyAlignment="1" applyProtection="1">
      <alignment horizontal="center" vertical="center"/>
      <protection hidden="1"/>
    </xf>
    <xf numFmtId="0" fontId="34" fillId="2" borderId="38" xfId="5" applyNumberFormat="1" applyFont="1" applyFill="1" applyBorder="1" applyAlignment="1" applyProtection="1">
      <alignment horizontal="center" vertical="center"/>
      <protection hidden="1"/>
    </xf>
    <xf numFmtId="0" fontId="33" fillId="0" borderId="34" xfId="5" applyNumberFormat="1" applyFont="1" applyBorder="1" applyAlignment="1" applyProtection="1">
      <alignment horizontal="center" vertical="center"/>
      <protection hidden="1"/>
    </xf>
    <xf numFmtId="1" fontId="33" fillId="0" borderId="34" xfId="5" applyNumberFormat="1" applyFont="1" applyBorder="1" applyAlignment="1" applyProtection="1">
      <alignment horizontal="center" vertical="center"/>
      <protection hidden="1"/>
    </xf>
    <xf numFmtId="1" fontId="29" fillId="0" borderId="2" xfId="5" applyNumberFormat="1" applyFont="1" applyBorder="1" applyAlignment="1" applyProtection="1">
      <alignment horizontal="center" vertical="center"/>
      <protection hidden="1"/>
    </xf>
    <xf numFmtId="1" fontId="29" fillId="0" borderId="6" xfId="5" applyNumberFormat="1" applyFont="1" applyBorder="1" applyAlignment="1" applyProtection="1">
      <alignment horizontal="center" vertical="center"/>
      <protection hidden="1"/>
    </xf>
    <xf numFmtId="1" fontId="29" fillId="0" borderId="3" xfId="5" applyNumberFormat="1" applyFont="1" applyBorder="1" applyAlignment="1" applyProtection="1">
      <alignment horizontal="center" vertical="center"/>
      <protection hidden="1"/>
    </xf>
    <xf numFmtId="1" fontId="29" fillId="0" borderId="14" xfId="5" applyNumberFormat="1" applyFont="1" applyBorder="1" applyAlignment="1" applyProtection="1">
      <alignment horizontal="center" vertical="center"/>
      <protection hidden="1"/>
    </xf>
    <xf numFmtId="1" fontId="29" fillId="0" borderId="0" xfId="5" applyNumberFormat="1" applyFont="1" applyBorder="1" applyAlignment="1" applyProtection="1">
      <alignment horizontal="center" vertical="center"/>
      <protection hidden="1"/>
    </xf>
    <xf numFmtId="1" fontId="29" fillId="0" borderId="10" xfId="5" applyNumberFormat="1" applyFont="1" applyBorder="1" applyAlignment="1" applyProtection="1">
      <alignment horizontal="center" vertical="center"/>
      <protection hidden="1"/>
    </xf>
    <xf numFmtId="1" fontId="29" fillId="0" borderId="25" xfId="5" applyNumberFormat="1" applyFont="1" applyBorder="1" applyAlignment="1" applyProtection="1">
      <alignment horizontal="center" vertical="center"/>
      <protection hidden="1"/>
    </xf>
    <xf numFmtId="1" fontId="29" fillId="0" borderId="109" xfId="5" applyNumberFormat="1" applyFont="1" applyBorder="1" applyAlignment="1" applyProtection="1">
      <alignment horizontal="center" vertical="center"/>
      <protection hidden="1"/>
    </xf>
    <xf numFmtId="1" fontId="29" fillId="0" borderId="8" xfId="5" applyNumberFormat="1" applyFont="1" applyBorder="1" applyAlignment="1" applyProtection="1">
      <alignment horizontal="center" vertical="center"/>
      <protection hidden="1"/>
    </xf>
    <xf numFmtId="174" fontId="34" fillId="2" borderId="39" xfId="5" applyNumberFormat="1" applyFont="1" applyFill="1" applyBorder="1" applyAlignment="1" applyProtection="1">
      <alignment horizontal="center" vertical="center"/>
      <protection hidden="1"/>
    </xf>
    <xf numFmtId="1" fontId="34" fillId="2" borderId="31" xfId="5" applyNumberFormat="1" applyFont="1" applyFill="1" applyBorder="1" applyAlignment="1" applyProtection="1">
      <alignment horizontal="center" vertical="center"/>
      <protection hidden="1"/>
    </xf>
    <xf numFmtId="1" fontId="34" fillId="2" borderId="40" xfId="5" applyNumberFormat="1" applyFont="1" applyFill="1" applyBorder="1" applyAlignment="1" applyProtection="1">
      <alignment horizontal="center" vertical="center"/>
      <protection hidden="1"/>
    </xf>
    <xf numFmtId="1" fontId="34" fillId="0" borderId="38" xfId="5" applyNumberFormat="1" applyFont="1" applyBorder="1" applyAlignment="1" applyProtection="1">
      <alignment horizontal="center" vertical="center"/>
      <protection hidden="1"/>
    </xf>
    <xf numFmtId="1" fontId="34" fillId="0" borderId="27" xfId="5" applyNumberFormat="1" applyFont="1" applyBorder="1" applyAlignment="1" applyProtection="1">
      <alignment horizontal="center" vertical="center"/>
      <protection hidden="1"/>
    </xf>
    <xf numFmtId="1" fontId="34" fillId="0" borderId="32" xfId="5" applyNumberFormat="1" applyFont="1" applyBorder="1" applyAlignment="1" applyProtection="1">
      <alignment horizontal="center" vertical="center"/>
      <protection hidden="1"/>
    </xf>
    <xf numFmtId="1" fontId="34" fillId="2" borderId="33" xfId="5" applyNumberFormat="1" applyFont="1" applyFill="1" applyBorder="1" applyAlignment="1" applyProtection="1">
      <alignment horizontal="center" vertical="center"/>
      <protection hidden="1"/>
    </xf>
    <xf numFmtId="1" fontId="34" fillId="2" borderId="34" xfId="5" applyNumberFormat="1" applyFont="1" applyFill="1" applyBorder="1" applyAlignment="1" applyProtection="1">
      <alignment horizontal="center" vertical="center"/>
      <protection hidden="1"/>
    </xf>
    <xf numFmtId="1" fontId="34" fillId="2" borderId="35" xfId="5" applyNumberFormat="1" applyFont="1" applyFill="1" applyBorder="1" applyAlignment="1" applyProtection="1">
      <alignment horizontal="center" vertical="center"/>
      <protection hidden="1"/>
    </xf>
    <xf numFmtId="0" fontId="34" fillId="2" borderId="39" xfId="5" applyNumberFormat="1" applyFont="1" applyFill="1" applyBorder="1" applyAlignment="1" applyProtection="1">
      <alignment horizontal="center" vertical="center"/>
      <protection hidden="1"/>
    </xf>
    <xf numFmtId="3" fontId="34" fillId="2" borderId="38" xfId="5" applyNumberFormat="1" applyFont="1" applyFill="1" applyBorder="1" applyAlignment="1" applyProtection="1">
      <alignment horizontal="center" vertical="center"/>
      <protection hidden="1"/>
    </xf>
    <xf numFmtId="0" fontId="29" fillId="0" borderId="4" xfId="5" applyNumberFormat="1" applyFont="1" applyBorder="1" applyAlignment="1" applyProtection="1">
      <alignment horizontal="center" vertical="center"/>
      <protection hidden="1"/>
    </xf>
    <xf numFmtId="0" fontId="29" fillId="0" borderId="5" xfId="5" applyNumberFormat="1" applyFont="1" applyBorder="1" applyAlignment="1" applyProtection="1">
      <alignment horizontal="center" vertical="center"/>
      <protection hidden="1"/>
    </xf>
    <xf numFmtId="0" fontId="29" fillId="0" borderId="19" xfId="5" applyNumberFormat="1" applyFont="1" applyBorder="1" applyAlignment="1" applyProtection="1">
      <alignment horizontal="center" vertical="center"/>
      <protection hidden="1"/>
    </xf>
    <xf numFmtId="1" fontId="34" fillId="2" borderId="39" xfId="5" applyNumberFormat="1" applyFont="1" applyFill="1" applyBorder="1" applyAlignment="1" applyProtection="1">
      <alignment horizontal="center" vertical="center"/>
      <protection hidden="1"/>
    </xf>
    <xf numFmtId="0" fontId="29" fillId="0" borderId="34" xfId="5" applyNumberFormat="1" applyFont="1" applyBorder="1" applyAlignment="1" applyProtection="1">
      <alignment horizontal="center" vertical="center" wrapText="1"/>
      <protection hidden="1"/>
    </xf>
    <xf numFmtId="1" fontId="29" fillId="0" borderId="34" xfId="5" applyNumberFormat="1" applyFont="1" applyBorder="1" applyAlignment="1" applyProtection="1">
      <alignment horizontal="center" vertical="center" wrapText="1"/>
      <protection hidden="1"/>
    </xf>
    <xf numFmtId="0" fontId="71" fillId="0" borderId="38" xfId="5" applyNumberFormat="1" applyFont="1" applyBorder="1" applyAlignment="1" applyProtection="1">
      <alignment horizontal="center" vertical="center" wrapText="1"/>
      <protection hidden="1"/>
    </xf>
    <xf numFmtId="1" fontId="71" fillId="0" borderId="27" xfId="5" applyNumberFormat="1" applyFont="1" applyBorder="1" applyAlignment="1" applyProtection="1">
      <alignment horizontal="center" vertical="center" wrapText="1"/>
      <protection hidden="1"/>
    </xf>
    <xf numFmtId="0" fontId="33" fillId="0" borderId="34" xfId="5" applyNumberFormat="1" applyFont="1" applyBorder="1" applyAlignment="1" applyProtection="1">
      <alignment horizontal="center" vertical="center" wrapText="1"/>
      <protection hidden="1"/>
    </xf>
    <xf numFmtId="1" fontId="33" fillId="0" borderId="34" xfId="5" applyNumberFormat="1" applyFont="1" applyBorder="1" applyAlignment="1" applyProtection="1">
      <alignment horizontal="center" vertical="center" wrapText="1"/>
      <protection hidden="1"/>
    </xf>
    <xf numFmtId="0" fontId="34" fillId="0" borderId="4" xfId="5" applyNumberFormat="1" applyFont="1" applyBorder="1" applyAlignment="1" applyProtection="1">
      <alignment horizontal="center" vertical="center"/>
      <protection hidden="1"/>
    </xf>
    <xf numFmtId="0" fontId="34" fillId="0" borderId="5" xfId="5" applyNumberFormat="1" applyFont="1" applyBorder="1" applyAlignment="1" applyProtection="1">
      <alignment horizontal="center" vertical="center"/>
      <protection hidden="1"/>
    </xf>
    <xf numFmtId="0" fontId="34" fillId="0" borderId="19" xfId="5" applyNumberFormat="1" applyFont="1" applyBorder="1" applyAlignment="1" applyProtection="1">
      <alignment horizontal="center" vertical="center"/>
      <protection hidden="1"/>
    </xf>
    <xf numFmtId="0" fontId="34" fillId="0" borderId="39" xfId="5" applyNumberFormat="1" applyFont="1" applyBorder="1" applyAlignment="1" applyProtection="1">
      <alignment horizontal="center" vertical="center"/>
      <protection hidden="1"/>
    </xf>
    <xf numFmtId="1" fontId="34" fillId="0" borderId="31" xfId="5" applyNumberFormat="1" applyFont="1" applyBorder="1" applyAlignment="1" applyProtection="1">
      <alignment horizontal="center" vertical="center"/>
      <protection hidden="1"/>
    </xf>
    <xf numFmtId="1" fontId="34" fillId="0" borderId="40" xfId="5" applyNumberFormat="1" applyFont="1" applyBorder="1" applyAlignment="1" applyProtection="1">
      <alignment horizontal="center" vertical="center"/>
      <protection hidden="1"/>
    </xf>
    <xf numFmtId="1" fontId="34" fillId="0" borderId="39" xfId="5" applyNumberFormat="1" applyFont="1" applyBorder="1" applyAlignment="1" applyProtection="1">
      <alignment horizontal="center" vertical="center"/>
      <protection hidden="1"/>
    </xf>
    <xf numFmtId="3" fontId="34" fillId="2" borderId="39" xfId="5" applyNumberFormat="1" applyFont="1" applyFill="1" applyBorder="1" applyAlignment="1" applyProtection="1">
      <alignment horizontal="center" vertical="center"/>
      <protection hidden="1"/>
    </xf>
    <xf numFmtId="0" fontId="29" fillId="0" borderId="74" xfId="5" applyFont="1" applyBorder="1" applyAlignment="1" applyProtection="1">
      <alignment horizontal="center" vertical="center"/>
      <protection hidden="1"/>
    </xf>
    <xf numFmtId="0" fontId="29" fillId="0" borderId="76" xfId="5" applyFont="1" applyBorder="1" applyAlignment="1" applyProtection="1">
      <alignment horizontal="center" vertical="center"/>
      <protection hidden="1"/>
    </xf>
    <xf numFmtId="0" fontId="29" fillId="0" borderId="75" xfId="5" applyFont="1" applyBorder="1" applyAlignment="1" applyProtection="1">
      <alignment horizontal="center" vertical="center"/>
      <protection hidden="1"/>
    </xf>
    <xf numFmtId="0" fontId="31" fillId="0" borderId="39" xfId="5" applyNumberFormat="1" applyFont="1" applyBorder="1" applyAlignment="1" applyProtection="1">
      <alignment horizontal="center" vertical="center"/>
      <protection hidden="1"/>
    </xf>
    <xf numFmtId="1" fontId="31" fillId="0" borderId="31" xfId="5" applyNumberFormat="1" applyFont="1" applyBorder="1" applyAlignment="1" applyProtection="1">
      <alignment horizontal="center" vertical="center"/>
      <protection hidden="1"/>
    </xf>
    <xf numFmtId="1" fontId="31" fillId="0" borderId="40" xfId="5" applyNumberFormat="1" applyFont="1" applyBorder="1" applyAlignment="1" applyProtection="1">
      <alignment horizontal="center" vertical="center"/>
      <protection hidden="1"/>
    </xf>
    <xf numFmtId="0" fontId="34" fillId="0" borderId="31" xfId="5" applyNumberFormat="1" applyFont="1" applyBorder="1" applyAlignment="1" applyProtection="1">
      <alignment horizontal="center" vertical="center"/>
      <protection hidden="1"/>
    </xf>
    <xf numFmtId="0" fontId="34" fillId="0" borderId="40" xfId="5" applyNumberFormat="1" applyFont="1" applyBorder="1" applyAlignment="1" applyProtection="1">
      <alignment horizontal="center" vertical="center"/>
      <protection hidden="1"/>
    </xf>
    <xf numFmtId="0" fontId="31" fillId="0" borderId="28" xfId="5" applyNumberFormat="1" applyFont="1" applyBorder="1" applyAlignment="1" applyProtection="1">
      <alignment horizontal="center" vertical="center"/>
      <protection hidden="1"/>
    </xf>
    <xf numFmtId="1" fontId="31" fillId="0" borderId="28" xfId="5" applyNumberFormat="1" applyFont="1" applyBorder="1" applyAlignment="1" applyProtection="1">
      <alignment horizontal="center" vertical="center"/>
      <protection hidden="1"/>
    </xf>
    <xf numFmtId="49" fontId="31" fillId="0" borderId="28" xfId="5" applyNumberFormat="1" applyFont="1" applyBorder="1" applyAlignment="1" applyProtection="1">
      <alignment horizontal="center" vertical="center"/>
      <protection hidden="1"/>
    </xf>
    <xf numFmtId="14" fontId="31" fillId="0" borderId="28" xfId="5" applyNumberFormat="1" applyFont="1" applyBorder="1" applyAlignment="1" applyProtection="1">
      <alignment horizontal="center" vertical="center"/>
      <protection hidden="1"/>
    </xf>
    <xf numFmtId="14" fontId="34" fillId="0" borderId="28" xfId="5" applyNumberFormat="1" applyFont="1" applyBorder="1" applyAlignment="1" applyProtection="1">
      <alignment horizontal="center" vertical="center"/>
      <protection hidden="1"/>
    </xf>
    <xf numFmtId="1" fontId="34" fillId="0" borderId="28" xfId="5" applyNumberFormat="1" applyFont="1" applyBorder="1" applyAlignment="1" applyProtection="1">
      <alignment horizontal="center" vertical="center"/>
      <protection hidden="1"/>
    </xf>
    <xf numFmtId="14" fontId="34" fillId="0" borderId="39" xfId="5" applyNumberFormat="1" applyFont="1" applyBorder="1" applyAlignment="1" applyProtection="1">
      <alignment horizontal="center" vertical="center"/>
      <protection hidden="1"/>
    </xf>
    <xf numFmtId="1" fontId="29" fillId="0" borderId="41" xfId="5" applyNumberFormat="1" applyFont="1" applyBorder="1" applyAlignment="1" applyProtection="1">
      <alignment horizontal="center" vertical="center"/>
      <protection hidden="1"/>
    </xf>
    <xf numFmtId="1" fontId="29" fillId="0" borderId="42" xfId="5" applyNumberFormat="1" applyFont="1" applyBorder="1" applyAlignment="1" applyProtection="1">
      <alignment horizontal="center" vertical="center"/>
      <protection hidden="1"/>
    </xf>
    <xf numFmtId="0" fontId="34" fillId="0" borderId="27" xfId="5" applyNumberFormat="1" applyFont="1" applyBorder="1" applyAlignment="1" applyProtection="1">
      <alignment horizontal="center" vertical="center"/>
      <protection hidden="1"/>
    </xf>
    <xf numFmtId="0" fontId="34" fillId="0" borderId="41" xfId="5" applyNumberFormat="1" applyFont="1" applyBorder="1" applyAlignment="1" applyProtection="1">
      <alignment horizontal="center" vertical="center" wrapText="1"/>
      <protection hidden="1"/>
    </xf>
    <xf numFmtId="1" fontId="29" fillId="0" borderId="36" xfId="5" applyNumberFormat="1" applyFont="1" applyBorder="1" applyAlignment="1" applyProtection="1">
      <alignment vertical="center" wrapText="1"/>
      <protection hidden="1"/>
    </xf>
    <xf numFmtId="1" fontId="29" fillId="0" borderId="42" xfId="5" applyNumberFormat="1" applyFont="1" applyBorder="1" applyAlignment="1" applyProtection="1">
      <alignment vertical="center" wrapText="1"/>
      <protection hidden="1"/>
    </xf>
    <xf numFmtId="0" fontId="31" fillId="0" borderId="41" xfId="5" applyNumberFormat="1" applyFont="1" applyBorder="1" applyAlignment="1" applyProtection="1">
      <alignment horizontal="center" vertical="center" wrapText="1"/>
      <protection hidden="1"/>
    </xf>
    <xf numFmtId="1" fontId="31" fillId="0" borderId="42" xfId="5" applyNumberFormat="1" applyFont="1" applyBorder="1" applyAlignment="1" applyProtection="1">
      <alignment horizontal="center" vertical="center" wrapText="1"/>
      <protection hidden="1"/>
    </xf>
    <xf numFmtId="0" fontId="34" fillId="0" borderId="117" xfId="5" applyNumberFormat="1" applyFont="1" applyBorder="1" applyAlignment="1" applyProtection="1">
      <alignment horizontal="center" vertical="center"/>
      <protection hidden="1"/>
    </xf>
    <xf numFmtId="0" fontId="34" fillId="0" borderId="118" xfId="5" applyNumberFormat="1" applyFont="1" applyBorder="1" applyAlignment="1" applyProtection="1">
      <alignment horizontal="center" vertical="center"/>
      <protection hidden="1"/>
    </xf>
    <xf numFmtId="0" fontId="34" fillId="0" borderId="119" xfId="5" applyNumberFormat="1" applyFont="1" applyBorder="1" applyAlignment="1" applyProtection="1">
      <alignment horizontal="center" vertical="center"/>
      <protection hidden="1"/>
    </xf>
    <xf numFmtId="0" fontId="34" fillId="0" borderId="54" xfId="5" applyNumberFormat="1" applyFont="1" applyBorder="1" applyAlignment="1" applyProtection="1">
      <alignment horizontal="center" vertical="center"/>
      <protection hidden="1"/>
    </xf>
    <xf numFmtId="0" fontId="34" fillId="0" borderId="116" xfId="5" applyNumberFormat="1" applyFont="1" applyBorder="1" applyAlignment="1" applyProtection="1">
      <alignment horizontal="center" vertical="center"/>
      <protection hidden="1"/>
    </xf>
    <xf numFmtId="0" fontId="29" fillId="0" borderId="36" xfId="5" applyNumberFormat="1" applyFont="1" applyBorder="1" applyAlignment="1" applyProtection="1">
      <alignment horizontal="center" vertical="center"/>
      <protection hidden="1"/>
    </xf>
    <xf numFmtId="1" fontId="29" fillId="0" borderId="36" xfId="5" applyNumberFormat="1" applyFont="1" applyBorder="1" applyAlignment="1" applyProtection="1">
      <alignment horizontal="center" vertical="center"/>
      <protection hidden="1"/>
    </xf>
    <xf numFmtId="0" fontId="29" fillId="0" borderId="41" xfId="5" applyNumberFormat="1" applyFont="1" applyBorder="1" applyAlignment="1" applyProtection="1">
      <alignment horizontal="center" vertical="center"/>
      <protection hidden="1"/>
    </xf>
    <xf numFmtId="0" fontId="31" fillId="0" borderId="57" xfId="5" applyNumberFormat="1" applyFont="1" applyBorder="1" applyAlignment="1" applyProtection="1">
      <alignment horizontal="center" vertical="center"/>
      <protection hidden="1"/>
    </xf>
    <xf numFmtId="0" fontId="31" fillId="0" borderId="58" xfId="5" applyNumberFormat="1" applyFont="1" applyBorder="1" applyAlignment="1" applyProtection="1">
      <alignment horizontal="center" vertical="center"/>
      <protection hidden="1"/>
    </xf>
    <xf numFmtId="0" fontId="31" fillId="0" borderId="43" xfId="5" applyNumberFormat="1" applyFont="1" applyBorder="1" applyAlignment="1" applyProtection="1">
      <alignment horizontal="center" vertical="center"/>
      <protection hidden="1"/>
    </xf>
    <xf numFmtId="0" fontId="31" fillId="0" borderId="44" xfId="5" applyNumberFormat="1" applyFont="1" applyBorder="1" applyAlignment="1" applyProtection="1">
      <alignment horizontal="center" vertical="center"/>
      <protection hidden="1"/>
    </xf>
    <xf numFmtId="0" fontId="31" fillId="0" borderId="45" xfId="5" applyNumberFormat="1" applyFont="1" applyBorder="1" applyAlignment="1" applyProtection="1">
      <alignment horizontal="center" vertical="center"/>
      <protection hidden="1"/>
    </xf>
    <xf numFmtId="0" fontId="29" fillId="0" borderId="38" xfId="5" applyNumberFormat="1" applyFont="1" applyBorder="1" applyAlignment="1" applyProtection="1">
      <alignment horizontal="center" vertical="center"/>
      <protection hidden="1"/>
    </xf>
    <xf numFmtId="1" fontId="29" fillId="0" borderId="32" xfId="5" applyNumberFormat="1" applyFont="1" applyBorder="1" applyAlignment="1" applyProtection="1">
      <alignment horizontal="center" vertical="center"/>
      <protection hidden="1"/>
    </xf>
    <xf numFmtId="0" fontId="34" fillId="0" borderId="28" xfId="5" applyNumberFormat="1" applyFont="1" applyBorder="1" applyAlignment="1" applyProtection="1">
      <alignment horizontal="center" vertical="center"/>
      <protection hidden="1"/>
    </xf>
    <xf numFmtId="0" fontId="34" fillId="0" borderId="55" xfId="5" applyNumberFormat="1" applyFont="1" applyBorder="1" applyAlignment="1" applyProtection="1">
      <alignment horizontal="center" vertical="center"/>
      <protection hidden="1"/>
    </xf>
    <xf numFmtId="1" fontId="29" fillId="0" borderId="38" xfId="5" applyNumberFormat="1" applyFont="1" applyBorder="1" applyAlignment="1" applyProtection="1">
      <alignment horizontal="center" vertical="center"/>
      <protection hidden="1"/>
    </xf>
    <xf numFmtId="1" fontId="29" fillId="0" borderId="38" xfId="5" applyNumberFormat="1" applyFont="1" applyBorder="1" applyAlignment="1" applyProtection="1">
      <alignment horizontal="left" vertical="center"/>
      <protection hidden="1"/>
    </xf>
    <xf numFmtId="1" fontId="29" fillId="0" borderId="32" xfId="5" applyNumberFormat="1" applyFont="1" applyBorder="1" applyAlignment="1" applyProtection="1">
      <alignment horizontal="left" vertical="center"/>
      <protection hidden="1"/>
    </xf>
    <xf numFmtId="1" fontId="29" fillId="0" borderId="33"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horizontal="center" vertical="center"/>
      <protection hidden="1"/>
    </xf>
    <xf numFmtId="1" fontId="29" fillId="0" borderId="33" xfId="5" applyNumberFormat="1" applyFont="1" applyBorder="1" applyAlignment="1" applyProtection="1">
      <alignment horizontal="left" vertical="center"/>
      <protection hidden="1"/>
    </xf>
    <xf numFmtId="1" fontId="29" fillId="0" borderId="35" xfId="5" applyNumberFormat="1" applyFont="1" applyBorder="1" applyAlignment="1" applyProtection="1">
      <alignment horizontal="left" vertical="center"/>
      <protection hidden="1"/>
    </xf>
    <xf numFmtId="0" fontId="8" fillId="0" borderId="9" xfId="0" applyFont="1" applyBorder="1" applyAlignment="1" applyProtection="1">
      <alignment horizontal="center" vertical="center" wrapText="1"/>
      <protection hidden="1"/>
    </xf>
    <xf numFmtId="3" fontId="8" fillId="0" borderId="1" xfId="0" applyNumberFormat="1" applyFont="1" applyBorder="1" applyAlignment="1" applyProtection="1">
      <alignment horizontal="right" vertical="center" wrapText="1"/>
      <protection hidden="1"/>
    </xf>
    <xf numFmtId="3" fontId="7" fillId="0" borderId="1" xfId="0" applyNumberFormat="1" applyFont="1" applyBorder="1" applyAlignment="1" applyProtection="1">
      <alignment horizontal="right" vertical="center" wrapText="1"/>
      <protection hidden="1"/>
    </xf>
    <xf numFmtId="3" fontId="8" fillId="0" borderId="9" xfId="0" applyNumberFormat="1" applyFont="1" applyBorder="1" applyAlignment="1" applyProtection="1">
      <alignment horizontal="right" vertical="center" wrapText="1"/>
      <protection hidden="1"/>
    </xf>
    <xf numFmtId="3" fontId="7" fillId="0" borderId="9" xfId="0" applyNumberFormat="1" applyFont="1" applyBorder="1" applyAlignment="1" applyProtection="1">
      <alignment horizontal="right" vertical="center" wrapText="1"/>
      <protection hidden="1"/>
    </xf>
    <xf numFmtId="0" fontId="6" fillId="3" borderId="6" xfId="0" applyFont="1" applyFill="1" applyBorder="1" applyAlignment="1">
      <alignment horizontal="center" vertical="center"/>
    </xf>
    <xf numFmtId="0" fontId="6" fillId="3" borderId="3" xfId="0" applyFont="1" applyFill="1" applyBorder="1" applyAlignment="1">
      <alignment horizontal="center" vertical="center"/>
    </xf>
    <xf numFmtId="0" fontId="46" fillId="3" borderId="81" xfId="10" applyFont="1" applyFill="1" applyBorder="1" applyAlignment="1" applyProtection="1">
      <alignment horizontal="center" vertical="center"/>
      <protection locked="0" hidden="1"/>
    </xf>
    <xf numFmtId="0" fontId="46" fillId="3" borderId="83" xfId="10" applyFont="1" applyFill="1" applyBorder="1" applyAlignment="1" applyProtection="1">
      <alignment horizontal="center" vertical="center"/>
      <protection locked="0" hidden="1"/>
    </xf>
    <xf numFmtId="171" fontId="46" fillId="3" borderId="81" xfId="10" applyNumberFormat="1" applyFont="1" applyFill="1" applyBorder="1" applyAlignment="1" applyProtection="1">
      <alignment horizontal="center" vertical="center"/>
      <protection locked="0" hidden="1"/>
    </xf>
    <xf numFmtId="171" fontId="46" fillId="3" borderId="83" xfId="10" applyNumberFormat="1" applyFont="1" applyFill="1" applyBorder="1" applyAlignment="1" applyProtection="1">
      <alignment horizontal="center" vertical="center"/>
      <protection locked="0" hidden="1"/>
    </xf>
    <xf numFmtId="0" fontId="46" fillId="3" borderId="82" xfId="10" applyFont="1" applyFill="1" applyBorder="1" applyAlignment="1" applyProtection="1">
      <alignment horizontal="center" vertical="center"/>
      <protection locked="0" hidden="1"/>
    </xf>
    <xf numFmtId="0" fontId="43" fillId="3" borderId="0" xfId="10" applyFont="1" applyFill="1" applyAlignment="1" applyProtection="1">
      <alignment horizontal="center"/>
      <protection locked="0" hidden="1"/>
    </xf>
    <xf numFmtId="0" fontId="44" fillId="0" borderId="0" xfId="10" applyFont="1" applyAlignment="1" applyProtection="1">
      <alignment horizontal="left"/>
      <protection locked="0" hidden="1"/>
    </xf>
    <xf numFmtId="14" fontId="45" fillId="0" borderId="120" xfId="10" applyNumberFormat="1" applyFont="1" applyBorder="1" applyAlignment="1" applyProtection="1">
      <alignment horizontal="center" vertical="center"/>
      <protection hidden="1"/>
    </xf>
    <xf numFmtId="0" fontId="45" fillId="0" borderId="120" xfId="10" applyFont="1" applyBorder="1" applyAlignment="1" applyProtection="1">
      <alignment horizontal="center" vertical="center"/>
      <protection hidden="1"/>
    </xf>
    <xf numFmtId="0" fontId="44" fillId="0" borderId="0" xfId="10" applyFont="1" applyAlignment="1" applyProtection="1">
      <alignment horizontal="center" vertical="center"/>
      <protection locked="0" hidden="1"/>
    </xf>
    <xf numFmtId="0" fontId="45" fillId="0" borderId="79" xfId="10" applyFont="1" applyBorder="1" applyAlignment="1" applyProtection="1">
      <alignment horizontal="center" vertical="center"/>
      <protection hidden="1"/>
    </xf>
    <xf numFmtId="0" fontId="45" fillId="0" borderId="80" xfId="10" applyFont="1" applyBorder="1" applyAlignment="1" applyProtection="1">
      <alignment horizontal="center" vertical="center"/>
      <protection hidden="1"/>
    </xf>
    <xf numFmtId="0" fontId="44" fillId="0" borderId="122" xfId="10" applyFont="1" applyBorder="1" applyAlignment="1" applyProtection="1">
      <alignment horizontal="center" vertical="center" wrapText="1"/>
      <protection locked="0" hidden="1"/>
    </xf>
    <xf numFmtId="0" fontId="45" fillId="0" borderId="120" xfId="10" applyFont="1" applyBorder="1" applyAlignment="1" applyProtection="1">
      <alignment horizontal="left"/>
      <protection locked="0" hidden="1"/>
    </xf>
    <xf numFmtId="0" fontId="46" fillId="3" borderId="122" xfId="10" applyFont="1" applyFill="1" applyBorder="1" applyAlignment="1" applyProtection="1">
      <alignment horizontal="center" vertical="center"/>
      <protection locked="0" hidden="1"/>
    </xf>
    <xf numFmtId="0" fontId="46" fillId="3" borderId="122" xfId="10" applyFont="1" applyFill="1" applyBorder="1" applyAlignment="1" applyProtection="1">
      <alignment horizontal="center" vertical="center" wrapText="1"/>
      <protection locked="0" hidden="1"/>
    </xf>
    <xf numFmtId="0" fontId="46" fillId="3" borderId="134" xfId="10" applyFont="1" applyFill="1" applyBorder="1" applyAlignment="1" applyProtection="1">
      <alignment horizontal="center" vertical="center" wrapText="1"/>
      <protection locked="0" hidden="1"/>
    </xf>
    <xf numFmtId="0" fontId="3" fillId="3" borderId="83" xfId="10" applyFill="1" applyBorder="1" applyAlignment="1" applyProtection="1">
      <alignment horizontal="center" vertical="center" wrapText="1"/>
      <protection locked="0" hidden="1"/>
    </xf>
    <xf numFmtId="0" fontId="3" fillId="3" borderId="90" xfId="10" applyFill="1" applyBorder="1" applyAlignment="1" applyProtection="1">
      <alignment horizontal="center" vertical="center" wrapText="1"/>
      <protection locked="0" hidden="1"/>
    </xf>
    <xf numFmtId="0" fontId="46" fillId="3" borderId="87" xfId="10" applyFont="1" applyFill="1" applyBorder="1" applyAlignment="1" applyProtection="1">
      <alignment horizontal="right" vertical="top"/>
      <protection locked="0" hidden="1"/>
    </xf>
    <xf numFmtId="0" fontId="46" fillId="3" borderId="88" xfId="10" applyFont="1" applyFill="1" applyBorder="1" applyAlignment="1" applyProtection="1">
      <alignment horizontal="right" vertical="top"/>
      <protection locked="0" hidden="1"/>
    </xf>
    <xf numFmtId="0" fontId="46" fillId="3" borderId="89" xfId="10" applyFont="1" applyFill="1" applyBorder="1" applyAlignment="1" applyProtection="1">
      <alignment horizontal="right" vertical="top"/>
      <protection locked="0" hidden="1"/>
    </xf>
    <xf numFmtId="0" fontId="46" fillId="3" borderId="83" xfId="10" applyFont="1" applyFill="1" applyBorder="1" applyAlignment="1" applyProtection="1">
      <alignment horizontal="center" vertical="center" wrapText="1"/>
      <protection locked="0" hidden="1"/>
    </xf>
    <xf numFmtId="0" fontId="46" fillId="3" borderId="90" xfId="10" applyFont="1" applyFill="1" applyBorder="1" applyAlignment="1" applyProtection="1">
      <alignment horizontal="center" vertical="center" wrapText="1"/>
      <protection locked="0" hidden="1"/>
    </xf>
    <xf numFmtId="0" fontId="49" fillId="3" borderId="134" xfId="10" applyFont="1" applyFill="1" applyBorder="1" applyAlignment="1" applyProtection="1">
      <alignment horizontal="center" vertical="center" wrapText="1"/>
      <protection locked="0" hidden="1"/>
    </xf>
    <xf numFmtId="0" fontId="49" fillId="3" borderId="83" xfId="10" applyFont="1" applyFill="1" applyBorder="1" applyAlignment="1" applyProtection="1">
      <alignment horizontal="center" vertical="center" wrapText="1"/>
      <protection locked="0" hidden="1"/>
    </xf>
    <xf numFmtId="0" fontId="49" fillId="3" borderId="90" xfId="10" applyFont="1" applyFill="1" applyBorder="1" applyAlignment="1" applyProtection="1">
      <alignment horizontal="center" vertical="center" wrapText="1"/>
      <protection locked="0" hidden="1"/>
    </xf>
    <xf numFmtId="14" fontId="45" fillId="0" borderId="120" xfId="10" applyNumberFormat="1" applyFont="1" applyBorder="1" applyAlignment="1" applyProtection="1">
      <alignment horizontal="center"/>
      <protection locked="0" hidden="1"/>
    </xf>
    <xf numFmtId="0" fontId="44" fillId="0" borderId="0" xfId="10" applyFont="1" applyAlignment="1" applyProtection="1">
      <alignment horizontal="center" vertical="center" wrapText="1"/>
      <protection locked="0" hidden="1"/>
    </xf>
    <xf numFmtId="0" fontId="45" fillId="0" borderId="79" xfId="10" applyFont="1" applyBorder="1" applyAlignment="1" applyProtection="1">
      <alignment horizontal="center" vertical="center"/>
      <protection locked="0" hidden="1"/>
    </xf>
    <xf numFmtId="0" fontId="45" fillId="0" borderId="120" xfId="10" applyFont="1" applyBorder="1" applyAlignment="1" applyProtection="1">
      <alignment horizontal="center" vertical="center"/>
      <protection locked="0" hidden="1"/>
    </xf>
    <xf numFmtId="0" fontId="45" fillId="0" borderId="80" xfId="10" applyFont="1" applyBorder="1" applyAlignment="1" applyProtection="1">
      <alignment horizontal="left"/>
      <protection locked="0" hidden="1"/>
    </xf>
    <xf numFmtId="0" fontId="46" fillId="3" borderId="81" xfId="10" applyFont="1" applyFill="1" applyBorder="1" applyAlignment="1" applyProtection="1">
      <alignment horizontal="center" vertical="center" wrapText="1"/>
      <protection locked="0" hidden="1"/>
    </xf>
    <xf numFmtId="0" fontId="46" fillId="3" borderId="87" xfId="10" applyFont="1" applyFill="1" applyBorder="1" applyAlignment="1" applyProtection="1">
      <alignment horizontal="center" vertical="top"/>
      <protection locked="0" hidden="1"/>
    </xf>
    <xf numFmtId="0" fontId="46" fillId="3" borderId="88" xfId="10" applyFont="1" applyFill="1" applyBorder="1" applyAlignment="1" applyProtection="1">
      <alignment horizontal="center" vertical="top"/>
      <protection locked="0" hidden="1"/>
    </xf>
    <xf numFmtId="0" fontId="46" fillId="3" borderId="89" xfId="10" applyFont="1" applyFill="1" applyBorder="1" applyAlignment="1" applyProtection="1">
      <alignment horizontal="center" vertical="top"/>
      <protection locked="0" hidden="1"/>
    </xf>
    <xf numFmtId="0" fontId="46" fillId="3" borderId="84" xfId="10" applyFont="1" applyFill="1" applyBorder="1" applyAlignment="1" applyProtection="1">
      <alignment horizontal="center" vertical="center" wrapText="1"/>
      <protection locked="0" hidden="1"/>
    </xf>
    <xf numFmtId="0" fontId="46" fillId="3" borderId="85" xfId="10" applyFont="1" applyFill="1" applyBorder="1" applyAlignment="1" applyProtection="1">
      <alignment horizontal="center" vertical="center" wrapText="1"/>
      <protection locked="0" hidden="1"/>
    </xf>
    <xf numFmtId="0" fontId="46" fillId="3" borderId="86" xfId="10" applyFont="1" applyFill="1" applyBorder="1" applyAlignment="1" applyProtection="1">
      <alignment horizontal="center" vertical="center" wrapText="1"/>
      <protection locked="0" hidden="1"/>
    </xf>
    <xf numFmtId="0" fontId="51" fillId="3" borderId="83" xfId="10" applyFont="1" applyFill="1" applyBorder="1" applyAlignment="1" applyProtection="1">
      <alignment horizontal="center" vertical="center" wrapText="1"/>
      <protection locked="0" hidden="1"/>
    </xf>
    <xf numFmtId="0" fontId="51" fillId="3" borderId="90" xfId="10" applyFont="1" applyFill="1" applyBorder="1" applyAlignment="1" applyProtection="1">
      <alignment horizontal="center" vertical="center" wrapText="1"/>
      <protection locked="0" hidden="1"/>
    </xf>
    <xf numFmtId="0" fontId="45" fillId="0" borderId="120" xfId="10" applyFont="1" applyBorder="1" applyAlignment="1" applyProtection="1">
      <alignment horizontal="center"/>
      <protection locked="0" hidden="1"/>
    </xf>
    <xf numFmtId="0" fontId="45" fillId="0" borderId="79" xfId="10" applyFont="1" applyBorder="1" applyAlignment="1" applyProtection="1">
      <alignment horizontal="left" vertical="center"/>
      <protection locked="0" hidden="1"/>
    </xf>
    <xf numFmtId="0" fontId="45" fillId="0" borderId="120" xfId="10" applyFont="1" applyBorder="1" applyAlignment="1" applyProtection="1">
      <alignment horizontal="left" vertical="center"/>
      <protection locked="0" hidden="1"/>
    </xf>
    <xf numFmtId="0" fontId="52" fillId="3" borderId="90" xfId="10" applyFont="1" applyFill="1" applyBorder="1" applyAlignment="1" applyProtection="1">
      <alignment horizontal="center" vertical="center" wrapText="1"/>
      <protection locked="0" hidden="1"/>
    </xf>
    <xf numFmtId="0" fontId="43" fillId="3" borderId="0" xfId="18" applyFont="1" applyFill="1" applyAlignment="1" applyProtection="1">
      <alignment horizontal="center"/>
      <protection locked="0" hidden="1"/>
    </xf>
    <xf numFmtId="0" fontId="44" fillId="0" borderId="0" xfId="18" applyFont="1" applyAlignment="1" applyProtection="1">
      <alignment horizontal="left"/>
      <protection locked="0" hidden="1"/>
    </xf>
    <xf numFmtId="0" fontId="45" fillId="0" borderId="120" xfId="18" applyFont="1" applyBorder="1" applyAlignment="1" applyProtection="1">
      <alignment horizontal="left"/>
      <protection locked="0" hidden="1"/>
    </xf>
    <xf numFmtId="0" fontId="44" fillId="0" borderId="0" xfId="18" applyFont="1" applyAlignment="1" applyProtection="1">
      <alignment horizontal="center" vertical="center"/>
      <protection locked="0" hidden="1"/>
    </xf>
    <xf numFmtId="0" fontId="45" fillId="0" borderId="79" xfId="18" applyFont="1" applyBorder="1" applyAlignment="1" applyProtection="1">
      <alignment horizontal="center" vertical="center"/>
      <protection locked="0" hidden="1"/>
    </xf>
    <xf numFmtId="0" fontId="45" fillId="0" borderId="120" xfId="18" applyFont="1" applyBorder="1" applyAlignment="1" applyProtection="1">
      <alignment horizontal="center" vertical="center"/>
      <protection locked="0" hidden="1"/>
    </xf>
    <xf numFmtId="0" fontId="45" fillId="0" borderId="80" xfId="18" applyFont="1" applyBorder="1" applyAlignment="1" applyProtection="1">
      <alignment horizontal="left"/>
      <protection locked="0" hidden="1"/>
    </xf>
    <xf numFmtId="0" fontId="46" fillId="3" borderId="87" xfId="18" applyFont="1" applyFill="1" applyBorder="1" applyAlignment="1" applyProtection="1">
      <alignment horizontal="center" vertical="top"/>
      <protection locked="0" hidden="1"/>
    </xf>
    <xf numFmtId="0" fontId="46" fillId="3" borderId="88" xfId="18" applyFont="1" applyFill="1" applyBorder="1" applyAlignment="1" applyProtection="1">
      <alignment horizontal="center" vertical="top"/>
      <protection locked="0" hidden="1"/>
    </xf>
    <xf numFmtId="0" fontId="46" fillId="3" borderId="89" xfId="18" applyFont="1" applyFill="1" applyBorder="1" applyAlignment="1" applyProtection="1">
      <alignment horizontal="center" vertical="top"/>
      <protection locked="0" hidden="1"/>
    </xf>
    <xf numFmtId="0" fontId="46" fillId="3" borderId="83" xfId="18" applyFont="1" applyFill="1" applyBorder="1" applyAlignment="1" applyProtection="1">
      <alignment horizontal="center" vertical="center" wrapText="1"/>
      <protection locked="0" hidden="1"/>
    </xf>
    <xf numFmtId="0" fontId="1" fillId="3" borderId="90" xfId="18" applyFill="1" applyBorder="1" applyAlignment="1" applyProtection="1">
      <alignment horizontal="center" vertical="center" wrapText="1"/>
      <protection locked="0" hidden="1"/>
    </xf>
    <xf numFmtId="0" fontId="49" fillId="3" borderId="83" xfId="18" applyFont="1" applyFill="1" applyBorder="1" applyAlignment="1" applyProtection="1">
      <alignment horizontal="center" vertical="center" wrapText="1"/>
      <protection locked="0" hidden="1"/>
    </xf>
    <xf numFmtId="0" fontId="52" fillId="3" borderId="90" xfId="18" applyFont="1" applyFill="1" applyBorder="1" applyAlignment="1" applyProtection="1">
      <alignment horizontal="center" vertical="center" wrapText="1"/>
      <protection locked="0" hidden="1"/>
    </xf>
    <xf numFmtId="0" fontId="46" fillId="3" borderId="81" xfId="18" applyFont="1" applyFill="1" applyBorder="1" applyAlignment="1" applyProtection="1">
      <alignment horizontal="center" vertical="center" wrapText="1"/>
      <protection locked="0" hidden="1"/>
    </xf>
    <xf numFmtId="0" fontId="46" fillId="3" borderId="90" xfId="18" applyFont="1" applyFill="1" applyBorder="1" applyAlignment="1" applyProtection="1">
      <alignment horizontal="center" vertical="center" wrapText="1"/>
      <protection locked="0" hidden="1"/>
    </xf>
    <xf numFmtId="0" fontId="44" fillId="0" borderId="66" xfId="10" applyFont="1" applyBorder="1" applyAlignment="1" applyProtection="1">
      <alignment vertical="top"/>
      <protection locked="0" hidden="1"/>
    </xf>
    <xf numFmtId="0" fontId="44" fillId="0" borderId="67" xfId="10" applyFont="1" applyBorder="1" applyAlignment="1" applyProtection="1">
      <alignment vertical="top"/>
      <protection locked="0" hidden="1"/>
    </xf>
    <xf numFmtId="0" fontId="44" fillId="0" borderId="68" xfId="10" applyFont="1" applyBorder="1" applyAlignment="1" applyProtection="1">
      <alignment vertical="top"/>
      <protection locked="0" hidden="1"/>
    </xf>
    <xf numFmtId="0" fontId="45" fillId="0" borderId="64" xfId="10" applyFont="1" applyBorder="1" applyAlignment="1" applyProtection="1">
      <alignment vertical="top"/>
      <protection locked="0" hidden="1"/>
    </xf>
    <xf numFmtId="0" fontId="45" fillId="0" borderId="0" xfId="10" applyFont="1" applyBorder="1" applyAlignment="1" applyProtection="1">
      <alignment vertical="top"/>
      <protection locked="0" hidden="1"/>
    </xf>
    <xf numFmtId="0" fontId="45" fillId="0" borderId="135" xfId="10" applyFont="1" applyBorder="1" applyAlignment="1" applyProtection="1">
      <alignment vertical="top"/>
      <protection locked="0" hidden="1"/>
    </xf>
    <xf numFmtId="0" fontId="44" fillId="0" borderId="64" xfId="10" applyFont="1" applyBorder="1" applyAlignment="1" applyProtection="1">
      <alignment vertical="top"/>
      <protection locked="0" hidden="1"/>
    </xf>
    <xf numFmtId="0" fontId="44" fillId="0" borderId="0" xfId="10" applyFont="1" applyBorder="1" applyAlignment="1" applyProtection="1">
      <alignment vertical="top"/>
      <protection locked="0" hidden="1"/>
    </xf>
    <xf numFmtId="0" fontId="44" fillId="0" borderId="135" xfId="10" applyFont="1" applyBorder="1" applyAlignment="1" applyProtection="1">
      <alignment vertical="top"/>
      <protection locked="0" hidden="1"/>
    </xf>
    <xf numFmtId="0" fontId="44" fillId="0" borderId="84" xfId="10" applyFont="1" applyBorder="1" applyAlignment="1" applyProtection="1">
      <alignment vertical="center"/>
      <protection locked="0" hidden="1"/>
    </xf>
    <xf numFmtId="0" fontId="44" fillId="0" borderId="85" xfId="10" applyFont="1" applyBorder="1" applyAlignment="1" applyProtection="1">
      <alignment vertical="center"/>
      <protection locked="0" hidden="1"/>
    </xf>
    <xf numFmtId="0" fontId="44" fillId="0" borderId="86" xfId="10" applyFont="1" applyBorder="1" applyAlignment="1" applyProtection="1">
      <alignment vertical="center"/>
      <protection locked="0" hidden="1"/>
    </xf>
    <xf numFmtId="0" fontId="46" fillId="3" borderId="90" xfId="10" applyFont="1" applyFill="1" applyBorder="1" applyAlignment="1" applyProtection="1">
      <alignment horizontal="center" vertical="center"/>
      <protection locked="0" hidden="1"/>
    </xf>
    <xf numFmtId="0" fontId="46" fillId="3" borderId="61"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6" fillId="3" borderId="66" xfId="10" applyFont="1" applyFill="1" applyBorder="1" applyAlignment="1" applyProtection="1">
      <alignment horizontal="center" vertical="center" wrapText="1"/>
      <protection locked="0" hidden="1"/>
    </xf>
    <xf numFmtId="0" fontId="46" fillId="3" borderId="67" xfId="10" applyFont="1" applyFill="1" applyBorder="1" applyAlignment="1" applyProtection="1">
      <alignment horizontal="center" vertical="center" wrapText="1"/>
      <protection locked="0" hidden="1"/>
    </xf>
    <xf numFmtId="0" fontId="46" fillId="3" borderId="68" xfId="10" applyFont="1" applyFill="1" applyBorder="1" applyAlignment="1" applyProtection="1">
      <alignment horizontal="center" vertical="center" wrapText="1"/>
      <protection locked="0" hidden="1"/>
    </xf>
    <xf numFmtId="0" fontId="49" fillId="3" borderId="81" xfId="10" applyFont="1" applyFill="1" applyBorder="1" applyAlignment="1" applyProtection="1">
      <alignment horizontal="center" vertical="center" wrapText="1"/>
      <protection locked="0" hidden="1"/>
    </xf>
    <xf numFmtId="0" fontId="44" fillId="3" borderId="84" xfId="10" applyFont="1" applyFill="1" applyBorder="1" applyAlignment="1" applyProtection="1">
      <alignment horizontal="center" vertical="center"/>
      <protection locked="0" hidden="1"/>
    </xf>
    <xf numFmtId="0" fontId="44" fillId="3" borderId="86" xfId="10" applyFont="1" applyFill="1" applyBorder="1" applyAlignment="1" applyProtection="1">
      <alignment horizontal="center" vertical="center"/>
      <protection locked="0" hidden="1"/>
    </xf>
    <xf numFmtId="0" fontId="44" fillId="3" borderId="85" xfId="10" applyFont="1" applyFill="1" applyBorder="1" applyAlignment="1" applyProtection="1">
      <alignment horizontal="center" vertical="center"/>
      <protection locked="0" hidden="1"/>
    </xf>
    <xf numFmtId="0" fontId="44" fillId="0" borderId="84" xfId="10" applyFont="1" applyBorder="1" applyAlignment="1" applyProtection="1">
      <alignment horizontal="center" vertical="center"/>
      <protection locked="0" hidden="1"/>
    </xf>
    <xf numFmtId="0" fontId="44" fillId="0" borderId="86" xfId="10" applyFont="1" applyBorder="1" applyAlignment="1" applyProtection="1">
      <alignment horizontal="center" vertical="center"/>
      <protection locked="0" hidden="1"/>
    </xf>
    <xf numFmtId="0" fontId="44" fillId="0" borderId="85" xfId="10" applyFont="1" applyBorder="1" applyAlignment="1" applyProtection="1">
      <alignment horizontal="center" vertical="center"/>
      <protection locked="0" hidden="1"/>
    </xf>
    <xf numFmtId="0" fontId="53" fillId="0" borderId="0" xfId="10" applyFont="1" applyAlignment="1" applyProtection="1">
      <alignment horizontal="center"/>
      <protection locked="0" hidden="1"/>
    </xf>
    <xf numFmtId="0" fontId="49" fillId="3" borderId="62" xfId="10" applyFont="1" applyFill="1" applyBorder="1" applyAlignment="1" applyProtection="1">
      <alignment horizontal="center" vertical="center" wrapText="1"/>
      <protection locked="0" hidden="1"/>
    </xf>
    <xf numFmtId="0" fontId="49" fillId="3" borderId="63" xfId="10" applyFont="1" applyFill="1" applyBorder="1" applyAlignment="1" applyProtection="1">
      <alignment horizontal="center" vertical="center" wrapText="1"/>
      <protection locked="0" hidden="1"/>
    </xf>
    <xf numFmtId="0" fontId="49" fillId="3" borderId="67" xfId="10" applyFont="1" applyFill="1" applyBorder="1" applyAlignment="1" applyProtection="1">
      <alignment horizontal="center" vertical="center" wrapText="1"/>
      <protection locked="0" hidden="1"/>
    </xf>
    <xf numFmtId="0" fontId="49" fillId="3" borderId="68" xfId="10" applyFont="1" applyFill="1" applyBorder="1" applyAlignment="1" applyProtection="1">
      <alignment horizontal="center" vertical="center" wrapText="1"/>
      <protection locked="0" hidden="1"/>
    </xf>
    <xf numFmtId="0" fontId="46" fillId="3" borderId="82" xfId="10" applyFont="1" applyFill="1" applyBorder="1" applyAlignment="1" applyProtection="1">
      <alignment horizontal="center" vertical="center" wrapText="1"/>
      <protection locked="0" hidden="1"/>
    </xf>
    <xf numFmtId="0" fontId="49" fillId="3" borderId="82" xfId="10" applyFont="1" applyFill="1" applyBorder="1" applyAlignment="1" applyProtection="1">
      <alignment horizontal="center" vertical="center" wrapText="1"/>
      <protection locked="0" hidden="1"/>
    </xf>
    <xf numFmtId="0" fontId="44" fillId="0" borderId="81" xfId="10" applyFont="1" applyBorder="1" applyAlignment="1" applyProtection="1">
      <alignment horizontal="left" vertical="center" wrapText="1"/>
      <protection locked="0" hidden="1"/>
    </xf>
    <xf numFmtId="0" fontId="44" fillId="0" borderId="83" xfId="10" applyFont="1" applyBorder="1" applyAlignment="1" applyProtection="1">
      <alignment horizontal="left" vertical="center" wrapText="1"/>
      <protection locked="0" hidden="1"/>
    </xf>
    <xf numFmtId="0" fontId="44" fillId="0" borderId="90" xfId="10" applyFont="1" applyBorder="1" applyAlignment="1" applyProtection="1">
      <alignment horizontal="left" vertical="center" wrapText="1"/>
      <protection locked="0" hidden="1"/>
    </xf>
    <xf numFmtId="0" fontId="44" fillId="0" borderId="84" xfId="18" applyFont="1" applyBorder="1" applyAlignment="1" applyProtection="1">
      <alignment horizontal="center" vertical="center"/>
      <protection locked="0" hidden="1"/>
    </xf>
    <xf numFmtId="0" fontId="44" fillId="0" borderId="86" xfId="18" applyFont="1" applyBorder="1" applyAlignment="1" applyProtection="1">
      <alignment horizontal="center" vertical="center"/>
      <protection locked="0" hidden="1"/>
    </xf>
    <xf numFmtId="0" fontId="44" fillId="0" borderId="82" xfId="18" applyFont="1" applyBorder="1" applyAlignment="1" applyProtection="1">
      <alignment horizontal="center" vertical="center"/>
      <protection locked="0" hidden="1"/>
    </xf>
    <xf numFmtId="0" fontId="44" fillId="0" borderId="81" xfId="18" applyFont="1" applyBorder="1" applyAlignment="1" applyProtection="1">
      <alignment horizontal="center" vertical="center" wrapText="1"/>
      <protection locked="0" hidden="1"/>
    </xf>
    <xf numFmtId="0" fontId="44" fillId="0" borderId="83" xfId="18" applyFont="1" applyBorder="1" applyAlignment="1" applyProtection="1">
      <alignment horizontal="center" vertical="center" wrapText="1"/>
      <protection locked="0" hidden="1"/>
    </xf>
    <xf numFmtId="0" fontId="44" fillId="0" borderId="90" xfId="18" applyFont="1" applyBorder="1" applyAlignment="1" applyProtection="1">
      <alignment horizontal="center" vertical="center" wrapText="1"/>
      <protection locked="0" hidden="1"/>
    </xf>
    <xf numFmtId="0" fontId="46" fillId="3" borderId="81" xfId="18" applyFont="1" applyFill="1" applyBorder="1" applyAlignment="1" applyProtection="1">
      <alignment horizontal="center" vertical="center"/>
      <protection locked="0" hidden="1"/>
    </xf>
    <xf numFmtId="0" fontId="46" fillId="3" borderId="90" xfId="18" applyFont="1" applyFill="1" applyBorder="1" applyAlignment="1" applyProtection="1">
      <alignment horizontal="center" vertical="center"/>
      <protection locked="0" hidden="1"/>
    </xf>
    <xf numFmtId="0" fontId="49" fillId="3" borderId="62" xfId="18" applyFont="1" applyFill="1" applyBorder="1" applyAlignment="1" applyProtection="1">
      <alignment horizontal="center" vertical="center" wrapText="1"/>
      <protection locked="0" hidden="1"/>
    </xf>
    <xf numFmtId="0" fontId="49" fillId="3" borderId="63" xfId="18" applyFont="1" applyFill="1" applyBorder="1" applyAlignment="1" applyProtection="1">
      <alignment horizontal="center" vertical="center" wrapText="1"/>
      <protection locked="0" hidden="1"/>
    </xf>
    <xf numFmtId="0" fontId="49" fillId="3" borderId="67" xfId="18" applyFont="1" applyFill="1" applyBorder="1" applyAlignment="1" applyProtection="1">
      <alignment horizontal="center" vertical="center" wrapText="1"/>
      <protection locked="0" hidden="1"/>
    </xf>
    <xf numFmtId="0" fontId="49" fillId="3" borderId="68" xfId="18" applyFont="1" applyFill="1" applyBorder="1" applyAlignment="1" applyProtection="1">
      <alignment horizontal="center" vertical="center" wrapText="1"/>
      <protection locked="0" hidden="1"/>
    </xf>
    <xf numFmtId="14" fontId="45" fillId="0" borderId="120" xfId="18" applyNumberFormat="1" applyFont="1" applyBorder="1" applyAlignment="1" applyProtection="1">
      <alignment horizontal="center"/>
      <protection locked="0" hidden="1"/>
    </xf>
    <xf numFmtId="0" fontId="44" fillId="0" borderId="0" xfId="18" applyFont="1" applyAlignment="1" applyProtection="1">
      <alignment horizontal="center" vertical="center" wrapText="1"/>
      <protection locked="0" hidden="1"/>
    </xf>
    <xf numFmtId="9" fontId="44" fillId="0" borderId="85" xfId="10" applyNumberFormat="1" applyFont="1" applyBorder="1" applyAlignment="1" applyProtection="1">
      <alignment horizontal="center" vertical="center"/>
      <protection locked="0" hidden="1"/>
    </xf>
    <xf numFmtId="0" fontId="44" fillId="7" borderId="84" xfId="10" applyFont="1" applyFill="1" applyBorder="1" applyAlignment="1" applyProtection="1">
      <alignment vertical="center"/>
      <protection locked="0" hidden="1"/>
    </xf>
    <xf numFmtId="0" fontId="44" fillId="7" borderId="86" xfId="10" applyFont="1" applyFill="1" applyBorder="1" applyAlignment="1" applyProtection="1">
      <alignment vertical="center"/>
      <protection locked="0" hidden="1"/>
    </xf>
    <xf numFmtId="0" fontId="45" fillId="0" borderId="67" xfId="10" applyFont="1" applyBorder="1" applyAlignment="1" applyProtection="1">
      <alignment horizontal="center" vertical="top" wrapText="1"/>
      <protection locked="0" hidden="1"/>
    </xf>
    <xf numFmtId="0" fontId="51" fillId="3" borderId="81" xfId="10" applyFont="1" applyFill="1" applyBorder="1" applyAlignment="1" applyProtection="1">
      <alignment horizontal="center" vertical="center" wrapText="1"/>
      <protection locked="0" hidden="1"/>
    </xf>
    <xf numFmtId="0" fontId="44" fillId="0" borderId="84" xfId="10" applyFont="1" applyBorder="1" applyAlignment="1" applyProtection="1">
      <alignment vertical="center" wrapText="1"/>
      <protection hidden="1"/>
    </xf>
    <xf numFmtId="0" fontId="44" fillId="0" borderId="86" xfId="10" applyFont="1" applyBorder="1" applyAlignment="1" applyProtection="1">
      <alignment vertical="center" wrapText="1"/>
      <protection hidden="1"/>
    </xf>
    <xf numFmtId="0" fontId="56" fillId="3" borderId="84" xfId="10" applyFont="1" applyFill="1" applyBorder="1" applyAlignment="1" applyProtection="1">
      <alignment horizontal="center" vertical="center" wrapText="1"/>
      <protection locked="0" hidden="1"/>
    </xf>
    <xf numFmtId="0" fontId="56" fillId="3" borderId="85" xfId="10" applyFont="1" applyFill="1" applyBorder="1" applyAlignment="1" applyProtection="1">
      <alignment horizontal="center" vertical="center" wrapText="1"/>
      <protection locked="0" hidden="1"/>
    </xf>
    <xf numFmtId="0" fontId="56" fillId="3" borderId="86" xfId="10" applyFont="1" applyFill="1" applyBorder="1" applyAlignment="1" applyProtection="1">
      <alignment horizontal="center" vertical="center" wrapText="1"/>
      <protection locked="0" hidden="1"/>
    </xf>
    <xf numFmtId="0" fontId="43" fillId="3" borderId="0" xfId="10" applyFont="1" applyFill="1" applyAlignment="1" applyProtection="1">
      <alignment horizontal="center" vertical="center" wrapText="1"/>
      <protection locked="0" hidden="1"/>
    </xf>
    <xf numFmtId="0" fontId="44" fillId="0" borderId="84" xfId="10" applyFont="1" applyBorder="1" applyAlignment="1" applyProtection="1">
      <alignment horizontal="left" vertical="center" wrapText="1"/>
      <protection locked="0" hidden="1"/>
    </xf>
    <xf numFmtId="0" fontId="44" fillId="0" borderId="86" xfId="10" applyFont="1" applyBorder="1" applyAlignment="1" applyProtection="1">
      <alignment horizontal="left" vertical="center" wrapText="1"/>
      <protection locked="0" hidden="1"/>
    </xf>
    <xf numFmtId="0" fontId="45" fillId="7" borderId="84" xfId="10" applyFont="1" applyFill="1" applyBorder="1" applyAlignment="1" applyProtection="1">
      <alignment horizontal="left" vertical="center" wrapText="1"/>
      <protection locked="0" hidden="1"/>
    </xf>
    <xf numFmtId="0" fontId="45" fillId="7" borderId="86" xfId="10" applyFont="1" applyFill="1" applyBorder="1" applyAlignment="1" applyProtection="1">
      <alignment horizontal="left" vertical="center" wrapText="1"/>
      <protection locked="0" hidden="1"/>
    </xf>
    <xf numFmtId="0" fontId="45" fillId="0" borderId="84" xfId="10" applyFont="1" applyBorder="1" applyAlignment="1" applyProtection="1">
      <alignment horizontal="left" vertical="center" wrapText="1"/>
      <protection locked="0" hidden="1"/>
    </xf>
    <xf numFmtId="0" fontId="45" fillId="0" borderId="86" xfId="10" applyFont="1" applyBorder="1" applyAlignment="1" applyProtection="1">
      <alignment horizontal="left" vertical="center" wrapText="1"/>
      <protection locked="0" hidden="1"/>
    </xf>
    <xf numFmtId="0" fontId="46" fillId="3" borderId="84" xfId="10" applyFont="1" applyFill="1" applyBorder="1" applyAlignment="1" applyProtection="1">
      <alignment horizontal="left" vertical="center"/>
      <protection locked="0" hidden="1"/>
    </xf>
    <xf numFmtId="0" fontId="46" fillId="3" borderId="86" xfId="10" applyFont="1" applyFill="1" applyBorder="1" applyAlignment="1" applyProtection="1">
      <alignment horizontal="left" vertical="center"/>
      <protection locked="0" hidden="1"/>
    </xf>
    <xf numFmtId="0" fontId="45" fillId="3" borderId="81" xfId="10" applyFont="1" applyFill="1" applyBorder="1" applyAlignment="1" applyProtection="1">
      <alignment horizontal="center" vertical="center"/>
      <protection locked="0" hidden="1"/>
    </xf>
    <xf numFmtId="0" fontId="45" fillId="3" borderId="90" xfId="10" applyFont="1" applyFill="1" applyBorder="1" applyAlignment="1" applyProtection="1">
      <alignment horizontal="center" vertical="center"/>
      <protection locked="0" hidden="1"/>
    </xf>
    <xf numFmtId="169" fontId="59" fillId="0" borderId="138" xfId="1" applyNumberFormat="1" applyFont="1" applyBorder="1" applyAlignment="1" applyProtection="1">
      <alignment horizontal="center" vertical="center" wrapText="1"/>
      <protection locked="0" hidden="1"/>
    </xf>
    <xf numFmtId="169" fontId="59" fillId="0" borderId="139" xfId="1" applyNumberFormat="1" applyFont="1" applyBorder="1" applyAlignment="1" applyProtection="1">
      <alignment horizontal="center" vertical="center" wrapText="1"/>
      <protection locked="0" hidden="1"/>
    </xf>
    <xf numFmtId="14" fontId="44" fillId="0" borderId="0" xfId="10" applyNumberFormat="1" applyFont="1" applyAlignment="1" applyProtection="1">
      <alignment horizontal="center"/>
      <protection locked="0" hidden="1"/>
    </xf>
    <xf numFmtId="0" fontId="44" fillId="0" borderId="0" xfId="10" applyFont="1" applyAlignment="1" applyProtection="1">
      <alignment horizontal="center"/>
      <protection locked="0" hidden="1"/>
    </xf>
    <xf numFmtId="169" fontId="46" fillId="3" borderId="87" xfId="1" applyNumberFormat="1" applyFont="1" applyFill="1" applyBorder="1" applyAlignment="1" applyProtection="1">
      <alignment horizontal="right" vertical="top"/>
      <protection locked="0" hidden="1"/>
    </xf>
    <xf numFmtId="169" fontId="46" fillId="3" borderId="88" xfId="1" applyNumberFormat="1" applyFont="1" applyFill="1" applyBorder="1" applyAlignment="1" applyProtection="1">
      <alignment horizontal="right" vertical="top"/>
      <protection locked="0" hidden="1"/>
    </xf>
    <xf numFmtId="169" fontId="46" fillId="3" borderId="89" xfId="1" applyNumberFormat="1" applyFont="1" applyFill="1" applyBorder="1" applyAlignment="1" applyProtection="1">
      <alignment horizontal="right" vertical="top"/>
      <protection locked="0" hidden="1"/>
    </xf>
    <xf numFmtId="169" fontId="46" fillId="3" borderId="84" xfId="1" applyNumberFormat="1" applyFont="1" applyFill="1" applyBorder="1" applyAlignment="1" applyProtection="1">
      <alignment horizontal="center" vertical="center"/>
      <protection locked="0" hidden="1"/>
    </xf>
    <xf numFmtId="169" fontId="46" fillId="3" borderId="85" xfId="1" applyNumberFormat="1" applyFont="1" applyFill="1" applyBorder="1" applyAlignment="1" applyProtection="1">
      <alignment horizontal="center" vertical="center"/>
      <protection locked="0" hidden="1"/>
    </xf>
    <xf numFmtId="169" fontId="46" fillId="3" borderId="92" xfId="1" applyNumberFormat="1" applyFont="1" applyFill="1" applyBorder="1" applyAlignment="1" applyProtection="1">
      <alignment horizontal="center" vertical="center"/>
      <protection locked="0" hidden="1"/>
    </xf>
    <xf numFmtId="169" fontId="46" fillId="3" borderId="86" xfId="1" applyNumberFormat="1" applyFont="1" applyFill="1" applyBorder="1" applyAlignment="1" applyProtection="1">
      <alignment horizontal="center" vertical="center"/>
      <protection locked="0" hidden="1"/>
    </xf>
    <xf numFmtId="169" fontId="49" fillId="3" borderId="84" xfId="1" applyNumberFormat="1" applyFont="1" applyFill="1" applyBorder="1" applyAlignment="1" applyProtection="1">
      <alignment horizontal="center" vertical="center" wrapText="1"/>
      <protection locked="0" hidden="1"/>
    </xf>
    <xf numFmtId="169" fontId="49" fillId="3" borderId="86" xfId="1" applyNumberFormat="1" applyFont="1" applyFill="1" applyBorder="1" applyAlignment="1" applyProtection="1">
      <alignment horizontal="center" vertical="center" wrapText="1"/>
      <protection locked="0" hidden="1"/>
    </xf>
    <xf numFmtId="169" fontId="51" fillId="3" borderId="84" xfId="1" applyNumberFormat="1" applyFont="1" applyFill="1" applyBorder="1" applyAlignment="1" applyProtection="1">
      <alignment horizontal="center" vertical="center" wrapText="1"/>
      <protection locked="0" hidden="1"/>
    </xf>
    <xf numFmtId="169" fontId="51" fillId="3" borderId="86" xfId="1" applyNumberFormat="1" applyFont="1" applyFill="1" applyBorder="1" applyAlignment="1" applyProtection="1">
      <alignment horizontal="center" vertical="center" wrapText="1"/>
      <protection locked="0" hidden="1"/>
    </xf>
    <xf numFmtId="169" fontId="49" fillId="3" borderId="85" xfId="1" applyNumberFormat="1" applyFont="1" applyFill="1" applyBorder="1" applyAlignment="1" applyProtection="1">
      <alignment horizontal="center" vertical="center" wrapText="1"/>
      <protection locked="0" hidden="1"/>
    </xf>
    <xf numFmtId="3" fontId="51" fillId="3" borderId="84" xfId="1" applyNumberFormat="1" applyFont="1" applyFill="1" applyBorder="1" applyAlignment="1" applyProtection="1">
      <alignment horizontal="center" vertical="center" wrapText="1"/>
      <protection locked="0" hidden="1"/>
    </xf>
    <xf numFmtId="3" fontId="51" fillId="3" borderId="86" xfId="1" applyNumberFormat="1" applyFont="1" applyFill="1" applyBorder="1" applyAlignment="1" applyProtection="1">
      <alignment horizontal="center" vertical="center" wrapText="1"/>
      <protection locked="0" hidden="1"/>
    </xf>
    <xf numFmtId="3" fontId="49" fillId="3" borderId="84" xfId="1" applyNumberFormat="1" applyFont="1" applyFill="1" applyBorder="1" applyAlignment="1" applyProtection="1">
      <alignment horizontal="center" vertical="center" wrapText="1"/>
      <protection locked="0" hidden="1"/>
    </xf>
    <xf numFmtId="3" fontId="49" fillId="3" borderId="86" xfId="1" applyNumberFormat="1" applyFont="1" applyFill="1" applyBorder="1" applyAlignment="1" applyProtection="1">
      <alignment horizontal="center" vertical="center" wrapText="1"/>
      <protection locked="0" hidden="1"/>
    </xf>
    <xf numFmtId="169" fontId="60" fillId="3" borderId="144" xfId="1" applyNumberFormat="1" applyFont="1" applyFill="1" applyBorder="1" applyAlignment="1" applyProtection="1">
      <alignment horizontal="center" vertical="center" wrapText="1"/>
      <protection locked="0" hidden="1"/>
    </xf>
    <xf numFmtId="169" fontId="46" fillId="3" borderId="142" xfId="1" applyNumberFormat="1" applyFont="1" applyFill="1" applyBorder="1" applyAlignment="1" applyProtection="1">
      <alignment horizontal="center" vertical="center"/>
      <protection locked="0" hidden="1"/>
    </xf>
    <xf numFmtId="169" fontId="46" fillId="3" borderId="143" xfId="1" applyNumberFormat="1" applyFont="1" applyFill="1" applyBorder="1" applyAlignment="1" applyProtection="1">
      <alignment horizontal="center" vertical="center"/>
      <protection locked="0" hidden="1"/>
    </xf>
    <xf numFmtId="169" fontId="46" fillId="3" borderId="141" xfId="1" applyNumberFormat="1" applyFont="1" applyFill="1" applyBorder="1" applyAlignment="1" applyProtection="1">
      <alignment horizontal="center" vertical="center"/>
      <protection locked="0" hidden="1"/>
    </xf>
    <xf numFmtId="169" fontId="60" fillId="3" borderId="141" xfId="1" applyNumberFormat="1" applyFont="1" applyFill="1" applyBorder="1" applyAlignment="1" applyProtection="1">
      <alignment horizontal="center" vertical="center" wrapText="1"/>
      <protection locked="0" hidden="1"/>
    </xf>
    <xf numFmtId="0" fontId="45" fillId="3" borderId="140" xfId="10" applyFont="1" applyFill="1" applyBorder="1" applyAlignment="1" applyProtection="1">
      <alignment horizontal="center" vertical="center"/>
      <protection locked="0" hidden="1"/>
    </xf>
    <xf numFmtId="0" fontId="45" fillId="3" borderId="61" xfId="10" applyFont="1" applyFill="1" applyBorder="1" applyAlignment="1" applyProtection="1">
      <alignment horizontal="center" vertical="center" wrapText="1"/>
      <protection locked="0" hidden="1"/>
    </xf>
    <xf numFmtId="0" fontId="45" fillId="3" borderId="66" xfId="10" applyFont="1" applyFill="1" applyBorder="1" applyAlignment="1" applyProtection="1">
      <alignment horizontal="center" vertical="center" wrapText="1"/>
      <protection locked="0" hidden="1"/>
    </xf>
    <xf numFmtId="0" fontId="45" fillId="3" borderId="143" xfId="10" applyFont="1" applyFill="1" applyBorder="1" applyAlignment="1" applyProtection="1">
      <alignment horizontal="center" vertical="center" wrapText="1"/>
      <protection locked="0" hidden="1"/>
    </xf>
    <xf numFmtId="0" fontId="73" fillId="3" borderId="143" xfId="10" applyFont="1" applyFill="1" applyBorder="1" applyAlignment="1" applyProtection="1">
      <alignment horizontal="center" vertical="center" wrapText="1"/>
      <protection locked="0" hidden="1"/>
    </xf>
    <xf numFmtId="0" fontId="46" fillId="3" borderId="140" xfId="7" applyFont="1" applyFill="1" applyBorder="1" applyAlignment="1" applyProtection="1">
      <alignment horizontal="center" vertical="center"/>
      <protection locked="0" hidden="1"/>
    </xf>
    <xf numFmtId="0" fontId="46" fillId="3" borderId="90" xfId="7" applyFont="1" applyFill="1" applyBorder="1" applyAlignment="1" applyProtection="1">
      <alignment horizontal="center" vertical="center"/>
      <protection locked="0" hidden="1"/>
    </xf>
    <xf numFmtId="0" fontId="43" fillId="3" borderId="0" xfId="10" applyFont="1" applyFill="1" applyAlignment="1" applyProtection="1">
      <alignment horizontal="center" wrapText="1"/>
      <protection locked="0" hidden="1"/>
    </xf>
    <xf numFmtId="0" fontId="46" fillId="3" borderId="87" xfId="7" applyFont="1" applyFill="1" applyBorder="1" applyAlignment="1" applyProtection="1">
      <alignment horizontal="right" vertical="top"/>
      <protection locked="0" hidden="1"/>
    </xf>
    <xf numFmtId="0" fontId="46" fillId="3" borderId="89" xfId="7" applyFont="1" applyFill="1" applyBorder="1" applyAlignment="1" applyProtection="1">
      <alignment horizontal="right" vertical="top"/>
      <protection locked="0" hidden="1"/>
    </xf>
    <xf numFmtId="0" fontId="51" fillId="3" borderId="145" xfId="7" applyFont="1" applyFill="1" applyBorder="1" applyAlignment="1" applyProtection="1">
      <alignment horizontal="center" vertical="center" wrapText="1"/>
      <protection locked="0" hidden="1"/>
    </xf>
    <xf numFmtId="0" fontId="51" fillId="3" borderId="144" xfId="7" applyFont="1" applyFill="1" applyBorder="1" applyAlignment="1" applyProtection="1">
      <alignment horizontal="center" vertical="center" wrapText="1"/>
      <protection locked="0" hidden="1"/>
    </xf>
    <xf numFmtId="0" fontId="59" fillId="0" borderId="140" xfId="7" applyFont="1" applyBorder="1" applyAlignment="1" applyProtection="1">
      <alignment horizontal="center" vertical="center" wrapText="1"/>
      <protection locked="0" hidden="1"/>
    </xf>
    <xf numFmtId="0" fontId="59" fillId="0" borderId="90" xfId="7" applyFont="1" applyBorder="1" applyAlignment="1" applyProtection="1">
      <alignment horizontal="center" vertical="center" wrapText="1"/>
      <protection locked="0" hidden="1"/>
    </xf>
    <xf numFmtId="3" fontId="25" fillId="0" borderId="140" xfId="1" applyNumberFormat="1" applyFont="1" applyBorder="1" applyAlignment="1" applyProtection="1">
      <alignment horizontal="center" vertical="center"/>
      <protection locked="0" hidden="1"/>
    </xf>
    <xf numFmtId="3" fontId="25" fillId="0" borderId="90" xfId="1" applyNumberFormat="1" applyFont="1" applyBorder="1" applyAlignment="1" applyProtection="1">
      <alignment horizontal="center" vertical="center"/>
      <protection locked="0" hidden="1"/>
    </xf>
    <xf numFmtId="0" fontId="59" fillId="7" borderId="140" xfId="7" applyFont="1" applyFill="1" applyBorder="1" applyAlignment="1" applyProtection="1">
      <alignment horizontal="center" vertical="center" wrapText="1"/>
      <protection locked="0" hidden="1"/>
    </xf>
    <xf numFmtId="0" fontId="59" fillId="7" borderId="90" xfId="7" applyFont="1" applyFill="1" applyBorder="1" applyAlignment="1" applyProtection="1">
      <alignment horizontal="center" vertical="center" wrapText="1"/>
      <protection locked="0" hidden="1"/>
    </xf>
    <xf numFmtId="3" fontId="25" fillId="7" borderId="140" xfId="1" applyNumberFormat="1" applyFont="1" applyFill="1" applyBorder="1" applyAlignment="1" applyProtection="1">
      <alignment horizontal="center" vertical="center"/>
      <protection locked="0" hidden="1"/>
    </xf>
    <xf numFmtId="3" fontId="25" fillId="7" borderId="90" xfId="1" applyNumberFormat="1" applyFont="1" applyFill="1" applyBorder="1" applyAlignment="1" applyProtection="1">
      <alignment horizontal="center" vertical="center"/>
      <protection locked="0" hidden="1"/>
    </xf>
    <xf numFmtId="0" fontId="46" fillId="3" borderId="140" xfId="7" applyFont="1" applyFill="1" applyBorder="1" applyAlignment="1" applyProtection="1">
      <alignment horizontal="center" vertical="top"/>
      <protection locked="0" hidden="1"/>
    </xf>
    <xf numFmtId="0" fontId="46" fillId="3" borderId="90" xfId="7" applyFont="1" applyFill="1" applyBorder="1" applyAlignment="1" applyProtection="1">
      <alignment horizontal="center" vertical="top"/>
      <protection locked="0" hidden="1"/>
    </xf>
    <xf numFmtId="0" fontId="49" fillId="3" borderId="140" xfId="7" applyFont="1" applyFill="1" applyBorder="1" applyAlignment="1" applyProtection="1">
      <alignment horizontal="center" vertical="center" wrapText="1"/>
      <protection locked="0" hidden="1"/>
    </xf>
    <xf numFmtId="0" fontId="49" fillId="3" borderId="90" xfId="7" applyFont="1" applyFill="1" applyBorder="1" applyAlignment="1" applyProtection="1">
      <alignment horizontal="center" vertical="center" wrapText="1"/>
      <protection locked="0" hidden="1"/>
    </xf>
    <xf numFmtId="0" fontId="46" fillId="3" borderId="140" xfId="7" applyFont="1" applyFill="1" applyBorder="1" applyAlignment="1" applyProtection="1">
      <alignment horizontal="center" vertical="center" wrapText="1"/>
      <protection locked="0" hidden="1"/>
    </xf>
    <xf numFmtId="0" fontId="46" fillId="3" borderId="83" xfId="7" applyFont="1" applyFill="1" applyBorder="1" applyAlignment="1" applyProtection="1">
      <alignment horizontal="center" vertical="center" wrapText="1"/>
      <protection locked="0" hidden="1"/>
    </xf>
    <xf numFmtId="0" fontId="46" fillId="3" borderId="90" xfId="7" applyFont="1" applyFill="1" applyBorder="1" applyAlignment="1" applyProtection="1">
      <alignment horizontal="center" vertical="center" wrapText="1"/>
      <protection locked="0" hidden="1"/>
    </xf>
    <xf numFmtId="0" fontId="46" fillId="3" borderId="145" xfId="7" applyFont="1" applyFill="1" applyBorder="1" applyAlignment="1" applyProtection="1">
      <alignment horizontal="center" vertical="center"/>
      <protection locked="0" hidden="1"/>
    </xf>
    <xf numFmtId="0" fontId="46" fillId="3" borderId="146" xfId="7" applyFont="1" applyFill="1" applyBorder="1" applyAlignment="1" applyProtection="1">
      <alignment horizontal="center" vertical="center"/>
      <protection locked="0" hidden="1"/>
    </xf>
    <xf numFmtId="0" fontId="46" fillId="3" borderId="144" xfId="7" applyFont="1" applyFill="1" applyBorder="1" applyAlignment="1" applyProtection="1">
      <alignment horizontal="center" vertical="center"/>
      <protection locked="0" hidden="1"/>
    </xf>
    <xf numFmtId="0" fontId="51" fillId="3" borderId="140" xfId="7" applyFont="1" applyFill="1" applyBorder="1" applyAlignment="1" applyProtection="1">
      <alignment horizontal="center" vertical="center" wrapText="1"/>
      <protection locked="0" hidden="1"/>
    </xf>
    <xf numFmtId="0" fontId="3" fillId="3" borderId="83" xfId="10" applyFill="1" applyBorder="1" applyAlignment="1" applyProtection="1">
      <alignment horizontal="center" vertical="center"/>
      <protection locked="0" hidden="1"/>
    </xf>
    <xf numFmtId="0" fontId="3" fillId="3" borderId="90" xfId="10" applyFill="1" applyBorder="1" applyAlignment="1" applyProtection="1">
      <alignment horizontal="center" vertical="center"/>
      <protection locked="0" hidden="1"/>
    </xf>
    <xf numFmtId="0" fontId="46" fillId="3" borderId="61" xfId="7" applyFont="1" applyFill="1" applyBorder="1" applyAlignment="1" applyProtection="1">
      <alignment horizontal="center" vertical="center"/>
      <protection locked="0" hidden="1"/>
    </xf>
    <xf numFmtId="0" fontId="60" fillId="3" borderId="63" xfId="10" applyFont="1" applyFill="1" applyBorder="1" applyAlignment="1" applyProtection="1">
      <alignment horizontal="center" vertical="center"/>
      <protection locked="0" hidden="1"/>
    </xf>
    <xf numFmtId="0" fontId="60" fillId="3" borderId="66" xfId="10" applyFont="1" applyFill="1" applyBorder="1" applyAlignment="1" applyProtection="1">
      <alignment horizontal="center" vertical="center"/>
      <protection locked="0" hidden="1"/>
    </xf>
    <xf numFmtId="0" fontId="60" fillId="3" borderId="68" xfId="10" applyFont="1" applyFill="1" applyBorder="1" applyAlignment="1" applyProtection="1">
      <alignment horizontal="center" vertical="center"/>
      <protection locked="0" hidden="1"/>
    </xf>
    <xf numFmtId="0" fontId="49" fillId="3" borderId="145" xfId="7" applyFont="1" applyFill="1" applyBorder="1" applyAlignment="1" applyProtection="1">
      <alignment horizontal="center" vertical="center"/>
      <protection locked="0" hidden="1"/>
    </xf>
    <xf numFmtId="0" fontId="49" fillId="3" borderId="144" xfId="7" applyFont="1" applyFill="1" applyBorder="1" applyAlignment="1" applyProtection="1">
      <alignment horizontal="center" vertical="center"/>
      <protection locked="0" hidden="1"/>
    </xf>
    <xf numFmtId="0" fontId="49" fillId="3" borderId="145" xfId="7" applyFont="1" applyFill="1" applyBorder="1" applyAlignment="1" applyProtection="1">
      <alignment horizontal="center" vertical="center" wrapText="1"/>
      <protection locked="0" hidden="1"/>
    </xf>
    <xf numFmtId="0" fontId="49" fillId="3" borderId="144" xfId="7" applyFont="1" applyFill="1" applyBorder="1" applyAlignment="1" applyProtection="1">
      <alignment horizontal="center" vertical="center" wrapText="1"/>
      <protection locked="0" hidden="1"/>
    </xf>
    <xf numFmtId="0" fontId="65" fillId="4" borderId="145" xfId="10" applyFont="1" applyFill="1" applyBorder="1" applyAlignment="1" applyProtection="1">
      <alignment horizontal="center" vertical="center"/>
      <protection locked="0" hidden="1"/>
    </xf>
    <xf numFmtId="0" fontId="65" fillId="4" borderId="146" xfId="10" applyFont="1" applyFill="1" applyBorder="1" applyAlignment="1" applyProtection="1">
      <alignment horizontal="center" vertical="center"/>
      <protection locked="0" hidden="1"/>
    </xf>
    <xf numFmtId="0" fontId="65" fillId="4" borderId="144" xfId="10" applyFont="1" applyFill="1" applyBorder="1" applyAlignment="1" applyProtection="1">
      <alignment horizontal="center" vertical="center"/>
      <protection locked="0" hidden="1"/>
    </xf>
    <xf numFmtId="172" fontId="45" fillId="0" borderId="80" xfId="14" applyNumberFormat="1" applyFont="1" applyBorder="1" applyAlignment="1" applyProtection="1">
      <alignment horizontal="left"/>
      <protection locked="0" hidden="1"/>
    </xf>
    <xf numFmtId="0" fontId="65" fillId="7" borderId="145" xfId="10" applyFont="1" applyFill="1" applyBorder="1" applyAlignment="1" applyProtection="1">
      <alignment horizontal="center" vertical="center"/>
      <protection locked="0" hidden="1"/>
    </xf>
    <xf numFmtId="0" fontId="65" fillId="7" borderId="146" xfId="10" applyFont="1" applyFill="1" applyBorder="1" applyAlignment="1" applyProtection="1">
      <alignment horizontal="center" vertical="center"/>
      <protection locked="0" hidden="1"/>
    </xf>
    <xf numFmtId="0" fontId="65" fillId="7" borderId="144" xfId="10" applyFont="1" applyFill="1" applyBorder="1" applyAlignment="1" applyProtection="1">
      <alignment horizontal="center" vertical="center"/>
      <protection locked="0" hidden="1"/>
    </xf>
    <xf numFmtId="0" fontId="67" fillId="0" borderId="64" xfId="6" applyFont="1" applyBorder="1" applyAlignment="1" applyProtection="1">
      <alignment horizontal="left" vertical="top" wrapText="1"/>
      <protection locked="0" hidden="1"/>
    </xf>
    <xf numFmtId="0" fontId="67" fillId="0" borderId="0" xfId="6" applyFont="1" applyBorder="1" applyAlignment="1" applyProtection="1">
      <alignment horizontal="left" vertical="top" wrapText="1"/>
      <protection locked="0" hidden="1"/>
    </xf>
    <xf numFmtId="0" fontId="67" fillId="0" borderId="135" xfId="6" applyFont="1" applyBorder="1" applyAlignment="1" applyProtection="1">
      <alignment horizontal="left" vertical="top" wrapText="1"/>
      <protection locked="0" hidden="1"/>
    </xf>
    <xf numFmtId="0" fontId="67" fillId="0" borderId="66" xfId="6" applyFont="1" applyBorder="1" applyAlignment="1" applyProtection="1">
      <alignment horizontal="left" vertical="top" wrapText="1"/>
      <protection locked="0" hidden="1"/>
    </xf>
    <xf numFmtId="0" fontId="67" fillId="0" borderId="67" xfId="6" applyFont="1" applyBorder="1" applyAlignment="1" applyProtection="1">
      <alignment horizontal="left" vertical="top" wrapText="1"/>
      <protection locked="0" hidden="1"/>
    </xf>
    <xf numFmtId="0" fontId="67" fillId="0" borderId="68" xfId="6" applyFont="1" applyBorder="1" applyAlignment="1" applyProtection="1">
      <alignment horizontal="left" vertical="top" wrapText="1"/>
      <protection locked="0" hidden="1"/>
    </xf>
    <xf numFmtId="0" fontId="67" fillId="7" borderId="64" xfId="6" applyFont="1" applyFill="1" applyBorder="1" applyAlignment="1" applyProtection="1">
      <alignment horizontal="center" vertical="top"/>
      <protection locked="0" hidden="1"/>
    </xf>
    <xf numFmtId="0" fontId="67" fillId="7" borderId="0" xfId="6" applyFont="1" applyFill="1" applyBorder="1" applyAlignment="1" applyProtection="1">
      <alignment horizontal="center" vertical="top"/>
      <protection locked="0" hidden="1"/>
    </xf>
    <xf numFmtId="0" fontId="67" fillId="7" borderId="135" xfId="6" applyFont="1" applyFill="1" applyBorder="1" applyAlignment="1" applyProtection="1">
      <alignment horizontal="center" vertical="top"/>
      <protection locked="0" hidden="1"/>
    </xf>
    <xf numFmtId="0" fontId="21" fillId="3" borderId="60" xfId="6" applyFont="1" applyFill="1" applyBorder="1" applyAlignment="1" applyProtection="1">
      <alignment horizontal="center" vertical="top" wrapText="1"/>
      <protection locked="0" hidden="1"/>
    </xf>
    <xf numFmtId="0" fontId="21" fillId="3" borderId="0" xfId="6" applyFont="1" applyFill="1" applyBorder="1" applyAlignment="1" applyProtection="1">
      <alignment horizontal="center" vertical="top" wrapText="1"/>
      <protection locked="0" hidden="1"/>
    </xf>
    <xf numFmtId="14" fontId="45" fillId="0" borderId="0" xfId="10" applyNumberFormat="1" applyFont="1" applyBorder="1" applyAlignment="1" applyProtection="1">
      <alignment horizontal="center" vertical="center"/>
      <protection locked="0" hidden="1"/>
    </xf>
    <xf numFmtId="0" fontId="44" fillId="0" borderId="120" xfId="10" applyFont="1" applyBorder="1" applyAlignment="1" applyProtection="1">
      <alignment horizontal="center" vertical="center" wrapText="1"/>
      <protection locked="0" hidden="1"/>
    </xf>
    <xf numFmtId="0" fontId="45" fillId="0" borderId="0" xfId="10" applyFont="1" applyBorder="1" applyAlignment="1" applyProtection="1">
      <alignment horizontal="center" vertical="center"/>
      <protection locked="0" hidden="1"/>
    </xf>
    <xf numFmtId="0" fontId="23" fillId="0" borderId="64" xfId="7" applyFont="1" applyBorder="1" applyAlignment="1" applyProtection="1">
      <alignment horizontal="center" vertical="center"/>
      <protection locked="0" hidden="1"/>
    </xf>
    <xf numFmtId="0" fontId="23" fillId="0" borderId="0" xfId="7" applyFont="1" applyBorder="1" applyAlignment="1" applyProtection="1">
      <alignment horizontal="center" vertical="center"/>
      <protection locked="0" hidden="1"/>
    </xf>
    <xf numFmtId="0" fontId="23" fillId="0" borderId="65" xfId="7" applyFont="1" applyBorder="1" applyAlignment="1" applyProtection="1">
      <alignment horizontal="center" vertical="center"/>
      <protection locked="0" hidden="1"/>
    </xf>
    <xf numFmtId="0" fontId="69" fillId="7" borderId="97" xfId="6" applyFont="1" applyFill="1" applyBorder="1" applyAlignment="1" applyProtection="1">
      <alignment horizontal="center" vertical="top"/>
      <protection locked="0" hidden="1"/>
    </xf>
    <xf numFmtId="0" fontId="69" fillId="7" borderId="0" xfId="6" applyFont="1" applyFill="1" applyBorder="1" applyAlignment="1" applyProtection="1">
      <alignment horizontal="center" vertical="top"/>
      <protection locked="0" hidden="1"/>
    </xf>
    <xf numFmtId="0" fontId="69" fillId="7" borderId="67" xfId="6" applyFont="1" applyFill="1" applyBorder="1" applyAlignment="1" applyProtection="1">
      <alignment horizontal="center" vertical="top"/>
      <protection locked="0" hidden="1"/>
    </xf>
  </cellXfs>
  <cellStyles count="20">
    <cellStyle name="60 % - Accent1" xfId="9" builtinId="32"/>
    <cellStyle name="Accent1" xfId="8" builtinId="29"/>
    <cellStyle name="Milliers" xfId="14" builtinId="3"/>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worksheets/sheet56.xml" Type="http://schemas.openxmlformats.org/officeDocument/2006/relationships/worksheet"/><Relationship Id="rId57" Target="worksheets/sheet57.xml" Type="http://schemas.openxmlformats.org/officeDocument/2006/relationships/worksheet"/><Relationship Id="rId58" Target="worksheets/sheet58.xml" Type="http://schemas.openxmlformats.org/officeDocument/2006/relationships/worksheet"/><Relationship Id="rId59" Target="theme/theme1.xml" Type="http://schemas.openxmlformats.org/officeDocument/2006/relationships/theme"/><Relationship Id="rId6" Target="worksheets/sheet6.xml" Type="http://schemas.openxmlformats.org/officeDocument/2006/relationships/worksheet"/><Relationship Id="rId60" Target="styles.xml" Type="http://schemas.openxmlformats.org/officeDocument/2006/relationships/styles"/><Relationship Id="rId61" Target="sharedStrings.xml" Type="http://schemas.openxmlformats.org/officeDocument/2006/relationships/sharedStrings"/><Relationship Id="rId62" Target="calcChain.xml" Type="http://schemas.openxmlformats.org/officeDocument/2006/relationships/calcChain"/><Relationship Id="rId63" Target="../customXml/item1.xml" Type="http://schemas.openxmlformats.org/officeDocument/2006/relationships/customXml"/><Relationship Id="rId64" Target="../customXml/item2.xml" Type="http://schemas.openxmlformats.org/officeDocument/2006/relationships/customXml"/><Relationship Id="rId65"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D00-000002000000}"/>
            </a:ext>
          </a:extLst>
        </xdr:cNvPr>
        <xdr:cNvSpPr txBox="1"/>
      </xdr:nvSpPr>
      <xdr:spPr>
        <a:xfrm>
          <a:off x="47625" y="16446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drawing4.xml" Type="http://schemas.openxmlformats.org/officeDocument/2006/relationships/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 Id="rId2" Target="../drawings/drawing5.xml" Type="http://schemas.openxmlformats.org/officeDocument/2006/relationships/drawing"/></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 Id="rId2" Target="../drawings/drawing7.xml" Type="http://schemas.openxmlformats.org/officeDocument/2006/relationships/drawing"/></Relationships>
</file>

<file path=xl/worksheets/_rels/sheet56.xml.rels><?xml version="1.0" encoding="UTF-8" standalone="no"?><Relationships xmlns="http://schemas.openxmlformats.org/package/2006/relationships"><Relationship Id="rId1" Target="../printerSettings/printerSettings56.bin" Type="http://schemas.openxmlformats.org/officeDocument/2006/relationships/printerSettings"/></Relationships>
</file>

<file path=xl/worksheets/_rels/sheet57.xml.rels><?xml version="1.0" encoding="UTF-8" standalone="no"?><Relationships xmlns="http://schemas.openxmlformats.org/package/2006/relationships"><Relationship Id="rId1" Target="../printerSettings/printerSettings57.bin" Type="http://schemas.openxmlformats.org/officeDocument/2006/relationships/printerSettings"/></Relationships>
</file>

<file path=xl/worksheets/_rels/sheet58.xml.rels><?xml version="1.0" encoding="UTF-8" standalone="no"?><Relationships xmlns="http://schemas.openxmlformats.org/package/2006/relationships"><Relationship Id="rId1" Target="../printerSettings/printerSettings58.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AM73"/>
  <sheetViews>
    <sheetView showGridLines="0" topLeftCell="A21" workbookViewId="0">
      <selection activeCell="AP30" sqref="AP30"/>
    </sheetView>
  </sheetViews>
  <sheetFormatPr baseColWidth="10" defaultColWidth="15.69921875" defaultRowHeight="12.75" customHeight="1"/>
  <cols>
    <col min="1" max="1" customWidth="true" style="104" width="4.3984375" collapsed="true"/>
    <col min="2" max="2" customWidth="true" style="104" width="2.296875" collapsed="true"/>
    <col min="3" max="32" customWidth="true" style="104" width="3.3984375" collapsed="true"/>
    <col min="33" max="33" customWidth="true" style="104" width="1.69921875" collapsed="true"/>
    <col min="34" max="35" customWidth="true" style="104" width="3.3984375" collapsed="true"/>
    <col min="36" max="36" customWidth="true" style="104" width="2.0" collapsed="true"/>
    <col min="37" max="37" customWidth="true" style="104" width="5.796875" collapsed="true"/>
    <col min="38" max="38" customWidth="true" style="104" width="3.3984375" collapsed="true"/>
    <col min="39" max="39" customWidth="true" style="104" width="2.296875" collapsed="true"/>
    <col min="40" max="256" customWidth="true" style="104" width="15.69921875" collapsed="true"/>
    <col min="257" max="16384" style="473" width="15.69921875" collapsed="true"/>
  </cols>
  <sheetData>
    <row r="1" spans="1:39" s="104" customFormat="1" ht="12.75" customHeight="1">
      <c r="A1" s="550"/>
      <c r="B1" s="551"/>
      <c r="C1" s="551"/>
      <c r="D1" s="551"/>
      <c r="E1" s="551"/>
      <c r="F1" s="551"/>
      <c r="G1" s="551"/>
      <c r="H1" s="551"/>
      <c r="I1" s="551"/>
      <c r="J1" s="551"/>
      <c r="K1" s="551"/>
      <c r="L1" s="551"/>
      <c r="M1" s="551"/>
      <c r="N1" s="551"/>
      <c r="O1" s="551"/>
      <c r="P1" s="551"/>
      <c r="Q1" s="551"/>
      <c r="R1" s="551"/>
      <c r="S1" s="551"/>
      <c r="T1" s="551"/>
      <c r="U1" s="551"/>
      <c r="V1" s="551"/>
      <c r="W1" s="551"/>
      <c r="X1" s="551"/>
      <c r="Y1" s="551"/>
      <c r="Z1" s="551"/>
      <c r="AA1" s="551"/>
      <c r="AB1" s="551"/>
      <c r="AC1" s="551"/>
      <c r="AD1" s="551"/>
      <c r="AE1" s="551"/>
      <c r="AF1" s="551"/>
      <c r="AG1" s="551"/>
      <c r="AH1" s="551"/>
      <c r="AI1" s="551"/>
      <c r="AJ1" s="551"/>
      <c r="AK1" s="551"/>
      <c r="AL1" s="551"/>
      <c r="AM1" s="552"/>
    </row>
    <row r="2" spans="1:39" s="104" customFormat="1" ht="12.75" customHeight="1">
      <c r="A2" s="553"/>
      <c r="B2" s="105"/>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554"/>
    </row>
    <row r="3" spans="1:39" s="104" customFormat="1" ht="12.75" customHeight="1">
      <c r="A3" s="553"/>
      <c r="B3" s="106" t="s">
        <v>0</v>
      </c>
      <c r="C3" s="105"/>
      <c r="D3" s="105"/>
      <c r="E3" s="105"/>
      <c r="F3" s="105"/>
      <c r="G3" s="105"/>
      <c r="H3" s="105"/>
      <c r="I3" s="708" t="s">
        <v>1</v>
      </c>
      <c r="J3" s="709"/>
      <c r="K3" s="709"/>
      <c r="L3" s="709"/>
      <c r="M3" s="709"/>
      <c r="N3" s="709"/>
      <c r="O3" s="709"/>
      <c r="P3" s="709"/>
      <c r="Q3" s="709"/>
      <c r="R3" s="709"/>
      <c r="S3" s="709"/>
      <c r="T3" s="709"/>
      <c r="U3" s="709"/>
      <c r="V3" s="709"/>
      <c r="W3" s="709"/>
      <c r="X3" s="709"/>
      <c r="Y3" s="709"/>
      <c r="Z3" s="105"/>
      <c r="AA3" s="105"/>
      <c r="AB3" s="105"/>
      <c r="AC3" s="105"/>
      <c r="AD3" s="105"/>
      <c r="AE3" s="105"/>
      <c r="AF3" s="105"/>
      <c r="AG3" s="105"/>
      <c r="AH3" s="105"/>
      <c r="AI3" s="105"/>
      <c r="AJ3" s="105"/>
      <c r="AK3" s="105"/>
      <c r="AL3" s="105"/>
      <c r="AM3" s="554"/>
    </row>
    <row r="4" spans="1:39" s="104" customFormat="1" ht="12.75" customHeight="1">
      <c r="A4" s="553"/>
      <c r="B4" s="107"/>
      <c r="C4" s="105"/>
      <c r="D4" s="105"/>
      <c r="E4" s="105"/>
      <c r="F4" s="105"/>
      <c r="G4" s="105"/>
      <c r="H4" s="105"/>
      <c r="I4" s="108"/>
      <c r="J4" s="108"/>
      <c r="K4" s="108"/>
      <c r="L4" s="108"/>
      <c r="M4" s="108"/>
      <c r="N4" s="108"/>
      <c r="O4" s="108"/>
      <c r="P4" s="108"/>
      <c r="Q4" s="108"/>
      <c r="R4" s="108"/>
      <c r="S4" s="108"/>
      <c r="T4" s="108"/>
      <c r="U4" s="108"/>
      <c r="V4" s="108"/>
      <c r="W4" s="108"/>
      <c r="X4" s="108"/>
      <c r="Y4" s="108"/>
      <c r="Z4" s="105"/>
      <c r="AA4" s="105"/>
      <c r="AB4" s="105"/>
      <c r="AC4" s="105"/>
      <c r="AD4" s="105"/>
      <c r="AE4" s="105"/>
      <c r="AF4" s="105"/>
      <c r="AG4" s="105"/>
      <c r="AH4" s="105"/>
      <c r="AI4" s="105"/>
      <c r="AJ4" s="105"/>
      <c r="AK4" s="105"/>
      <c r="AL4" s="105"/>
      <c r="AM4" s="554"/>
    </row>
    <row r="5" spans="1:39" s="104" customFormat="1" ht="12.75" customHeight="1">
      <c r="A5" s="553"/>
      <c r="B5" s="106" t="s">
        <v>2</v>
      </c>
      <c r="C5" s="105"/>
      <c r="D5" s="105"/>
      <c r="E5" s="105"/>
      <c r="F5" s="105"/>
      <c r="G5" s="105"/>
      <c r="H5" s="105"/>
      <c r="I5" s="708" t="s">
        <v>3</v>
      </c>
      <c r="J5" s="709"/>
      <c r="K5" s="709"/>
      <c r="L5" s="709"/>
      <c r="M5" s="709"/>
      <c r="N5" s="709"/>
      <c r="O5" s="709"/>
      <c r="P5" s="709"/>
      <c r="Q5" s="709"/>
      <c r="R5" s="709"/>
      <c r="S5" s="709"/>
      <c r="T5" s="709"/>
      <c r="U5" s="709"/>
      <c r="V5" s="709"/>
      <c r="W5" s="709"/>
      <c r="X5" s="709"/>
      <c r="Y5" s="709"/>
      <c r="Z5" s="105"/>
      <c r="AA5" s="105"/>
      <c r="AB5" s="105"/>
      <c r="AC5" s="105"/>
      <c r="AD5" s="105"/>
      <c r="AE5" s="105"/>
      <c r="AF5" s="105"/>
      <c r="AG5" s="105"/>
      <c r="AH5" s="105"/>
      <c r="AI5" s="105"/>
      <c r="AJ5" s="105"/>
      <c r="AK5" s="105"/>
      <c r="AL5" s="105"/>
      <c r="AM5" s="554"/>
    </row>
    <row r="6" spans="1:39" s="104" customFormat="1" ht="12.75" customHeight="1">
      <c r="A6" s="553"/>
      <c r="B6" s="107"/>
      <c r="C6" s="105"/>
      <c r="D6" s="105"/>
      <c r="E6" s="105"/>
      <c r="F6" s="105"/>
      <c r="G6" s="105"/>
      <c r="H6" s="105"/>
      <c r="I6" s="108"/>
      <c r="J6" s="108"/>
      <c r="K6" s="108"/>
      <c r="L6" s="108"/>
      <c r="M6" s="108"/>
      <c r="N6" s="108"/>
      <c r="O6" s="108"/>
      <c r="P6" s="108"/>
      <c r="Q6" s="108"/>
      <c r="R6" s="108"/>
      <c r="S6" s="108"/>
      <c r="T6" s="108"/>
      <c r="U6" s="108"/>
      <c r="V6" s="108"/>
      <c r="W6" s="108"/>
      <c r="X6" s="108"/>
      <c r="Y6" s="108"/>
      <c r="Z6" s="105"/>
      <c r="AA6" s="105"/>
      <c r="AB6" s="105"/>
      <c r="AC6" s="105"/>
      <c r="AD6" s="105"/>
      <c r="AE6" s="105"/>
      <c r="AF6" s="105"/>
      <c r="AG6" s="105"/>
      <c r="AH6" s="105"/>
      <c r="AI6" s="105"/>
      <c r="AJ6" s="105"/>
      <c r="AK6" s="105"/>
      <c r="AL6" s="105"/>
      <c r="AM6" s="554"/>
    </row>
    <row r="7" spans="1:39" s="104" customFormat="1" ht="12.75" customHeight="1">
      <c r="A7" s="553"/>
      <c r="B7" s="106" t="s">
        <v>4</v>
      </c>
      <c r="C7" s="105"/>
      <c r="D7" s="105"/>
      <c r="E7" s="105"/>
      <c r="F7" s="105"/>
      <c r="G7" s="105"/>
      <c r="H7" s="105"/>
      <c r="I7" s="708" t="s">
        <v>5</v>
      </c>
      <c r="J7" s="709"/>
      <c r="K7" s="709"/>
      <c r="L7" s="709"/>
      <c r="M7" s="709"/>
      <c r="N7" s="709"/>
      <c r="O7" s="709"/>
      <c r="P7" s="709"/>
      <c r="Q7" s="709"/>
      <c r="R7" s="709"/>
      <c r="S7" s="709"/>
      <c r="T7" s="709"/>
      <c r="U7" s="709"/>
      <c r="V7" s="709"/>
      <c r="W7" s="709"/>
      <c r="X7" s="709"/>
      <c r="Y7" s="709"/>
      <c r="Z7" s="105"/>
      <c r="AA7" s="105"/>
      <c r="AB7" s="105"/>
      <c r="AC7" s="105"/>
      <c r="AD7" s="105"/>
      <c r="AE7" s="105"/>
      <c r="AF7" s="105"/>
      <c r="AG7" s="105"/>
      <c r="AH7" s="105"/>
      <c r="AI7" s="105"/>
      <c r="AJ7" s="105"/>
      <c r="AK7" s="105"/>
      <c r="AL7" s="105"/>
      <c r="AM7" s="554"/>
    </row>
    <row r="8" spans="1:39" s="104" customFormat="1" ht="12.75" customHeight="1">
      <c r="A8" s="553"/>
      <c r="B8" s="105"/>
      <c r="C8" s="105"/>
      <c r="D8" s="105"/>
      <c r="E8" s="105"/>
      <c r="F8" s="105"/>
      <c r="G8" s="105"/>
      <c r="H8" s="105"/>
      <c r="I8" s="108"/>
      <c r="J8" s="108"/>
      <c r="K8" s="108"/>
      <c r="L8" s="108"/>
      <c r="M8" s="108"/>
      <c r="N8" s="108"/>
      <c r="O8" s="108"/>
      <c r="P8" s="108"/>
      <c r="Q8" s="108"/>
      <c r="R8" s="108"/>
      <c r="S8" s="108"/>
      <c r="T8" s="108"/>
      <c r="U8" s="108"/>
      <c r="V8" s="108"/>
      <c r="W8" s="108"/>
      <c r="X8" s="108"/>
      <c r="Y8" s="108"/>
      <c r="Z8" s="105"/>
      <c r="AA8" s="105"/>
      <c r="AB8" s="105"/>
      <c r="AC8" s="105"/>
      <c r="AD8" s="105"/>
      <c r="AE8" s="105"/>
      <c r="AF8" s="105"/>
      <c r="AG8" s="105"/>
      <c r="AH8" s="105"/>
      <c r="AI8" s="105"/>
      <c r="AJ8" s="105"/>
      <c r="AK8" s="105"/>
      <c r="AL8" s="105"/>
      <c r="AM8" s="554"/>
    </row>
    <row r="9" spans="1:39" s="104" customFormat="1" ht="12.75" customHeight="1">
      <c r="A9" s="553"/>
      <c r="B9" s="105"/>
      <c r="C9" s="105"/>
      <c r="D9" s="105"/>
      <c r="E9" s="105"/>
      <c r="F9" s="105"/>
      <c r="G9" s="105"/>
      <c r="H9" s="105"/>
      <c r="I9" s="425"/>
      <c r="J9" s="425"/>
      <c r="K9" s="425"/>
      <c r="L9" s="425"/>
      <c r="M9" s="425"/>
      <c r="N9" s="425"/>
      <c r="O9" s="425"/>
      <c r="P9" s="425"/>
      <c r="Q9" s="425"/>
      <c r="R9" s="425"/>
      <c r="S9" s="425"/>
      <c r="T9" s="425"/>
      <c r="U9" s="425"/>
      <c r="V9" s="425"/>
      <c r="W9" s="425"/>
      <c r="X9" s="425"/>
      <c r="Y9" s="425"/>
      <c r="Z9" s="105"/>
      <c r="AA9" s="105"/>
      <c r="AB9" s="105"/>
      <c r="AC9" s="105"/>
      <c r="AD9" s="105"/>
      <c r="AE9" s="105"/>
      <c r="AF9" s="105"/>
      <c r="AG9" s="105"/>
      <c r="AH9" s="105"/>
      <c r="AI9" s="105"/>
      <c r="AJ9" s="105"/>
      <c r="AK9" s="105"/>
      <c r="AL9" s="105"/>
      <c r="AM9" s="554"/>
    </row>
    <row r="10" spans="1:39" s="104" customFormat="1" ht="12.75" customHeight="1">
      <c r="A10" s="553"/>
      <c r="B10" s="105"/>
      <c r="C10" s="105"/>
      <c r="D10" s="105"/>
      <c r="E10" s="105"/>
      <c r="F10" s="105"/>
      <c r="G10" s="105"/>
      <c r="H10" s="105"/>
      <c r="I10" s="425"/>
      <c r="J10" s="425"/>
      <c r="K10" s="425"/>
      <c r="L10" s="425"/>
      <c r="M10" s="425"/>
      <c r="N10" s="425"/>
      <c r="O10" s="425"/>
      <c r="P10" s="425"/>
      <c r="Q10" s="425"/>
      <c r="R10" s="425"/>
      <c r="S10" s="425"/>
      <c r="T10" s="425"/>
      <c r="U10" s="425"/>
      <c r="V10" s="425"/>
      <c r="W10" s="425"/>
      <c r="X10" s="425"/>
      <c r="Y10" s="425"/>
      <c r="Z10" s="105"/>
      <c r="AA10" s="105"/>
      <c r="AB10" s="105"/>
      <c r="AC10" s="105"/>
      <c r="AD10" s="105"/>
      <c r="AE10" s="105"/>
      <c r="AF10" s="105"/>
      <c r="AG10" s="105"/>
      <c r="AH10" s="105"/>
      <c r="AI10" s="105"/>
      <c r="AJ10" s="105"/>
      <c r="AK10" s="105"/>
      <c r="AL10" s="105"/>
      <c r="AM10" s="554"/>
    </row>
    <row r="11" spans="1:39" s="104" customFormat="1" ht="12.75" customHeight="1">
      <c r="A11" s="553"/>
      <c r="B11" s="105"/>
      <c r="C11" s="105"/>
      <c r="D11" s="105"/>
      <c r="E11" s="105"/>
      <c r="F11" s="105"/>
      <c r="G11" s="105"/>
      <c r="H11" s="105"/>
      <c r="I11" s="425"/>
      <c r="J11" s="425"/>
      <c r="K11" s="425"/>
      <c r="L11" s="425"/>
      <c r="M11" s="425"/>
      <c r="N11" s="425"/>
      <c r="O11" s="425"/>
      <c r="P11" s="425"/>
      <c r="Q11" s="425"/>
      <c r="R11" s="425"/>
      <c r="S11" s="425"/>
      <c r="T11" s="425"/>
      <c r="U11" s="425"/>
      <c r="V11" s="425"/>
      <c r="W11" s="425"/>
      <c r="X11" s="425"/>
      <c r="Y11" s="425"/>
      <c r="Z11" s="105"/>
      <c r="AA11" s="105"/>
      <c r="AB11" s="105"/>
      <c r="AC11" s="105"/>
      <c r="AD11" s="105"/>
      <c r="AE11" s="105"/>
      <c r="AF11" s="105"/>
      <c r="AG11" s="105"/>
      <c r="AH11" s="105"/>
      <c r="AI11" s="105"/>
      <c r="AJ11" s="105"/>
      <c r="AK11" s="105"/>
      <c r="AL11" s="105"/>
      <c r="AM11" s="554"/>
    </row>
    <row r="12" spans="1:39" s="104" customFormat="1" ht="12.75" customHeight="1">
      <c r="A12" s="553"/>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05"/>
      <c r="AK12" s="105"/>
      <c r="AL12" s="105"/>
      <c r="AM12" s="554"/>
    </row>
    <row r="13" spans="1:39" s="104" customFormat="1" ht="12.75" customHeight="1">
      <c r="A13" s="553"/>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554"/>
    </row>
    <row r="14" spans="1:39" s="104" customFormat="1" ht="12.75" customHeight="1">
      <c r="A14" s="553"/>
      <c r="B14" s="105"/>
      <c r="C14" s="105"/>
      <c r="D14" s="105"/>
      <c r="E14" s="105"/>
      <c r="F14" s="105"/>
      <c r="G14" s="105"/>
      <c r="H14" s="105"/>
      <c r="I14" s="105"/>
      <c r="J14" s="105"/>
      <c r="K14" s="105"/>
      <c r="L14" s="105"/>
      <c r="M14" s="105"/>
      <c r="N14" s="105"/>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554"/>
    </row>
    <row r="15" spans="1:39" s="104" customFormat="1" ht="12.75" customHeight="1">
      <c r="A15" s="555"/>
      <c r="B15" s="705" t="s">
        <v>1541</v>
      </c>
      <c r="C15" s="706"/>
      <c r="D15" s="706"/>
      <c r="E15" s="706"/>
      <c r="F15" s="706"/>
      <c r="G15" s="706"/>
      <c r="H15" s="706"/>
      <c r="I15" s="706"/>
      <c r="J15" s="706"/>
      <c r="K15" s="706"/>
      <c r="L15" s="706"/>
      <c r="M15" s="706"/>
      <c r="N15" s="706"/>
      <c r="O15" s="706"/>
      <c r="P15" s="706"/>
      <c r="Q15" s="706"/>
      <c r="R15" s="706"/>
      <c r="S15" s="706"/>
      <c r="T15" s="706"/>
      <c r="U15" s="706"/>
      <c r="V15" s="706"/>
      <c r="W15" s="706"/>
      <c r="X15" s="706"/>
      <c r="Y15" s="706"/>
      <c r="Z15" s="706"/>
      <c r="AA15" s="706"/>
      <c r="AB15" s="706"/>
      <c r="AC15" s="706"/>
      <c r="AD15" s="706"/>
      <c r="AE15" s="706"/>
      <c r="AF15" s="706"/>
      <c r="AG15" s="706"/>
      <c r="AH15" s="706"/>
      <c r="AI15" s="706"/>
      <c r="AJ15" s="706"/>
      <c r="AK15" s="706"/>
      <c r="AL15" s="707"/>
      <c r="AM15" s="556"/>
    </row>
    <row r="16" spans="1:39" s="104" customFormat="1" ht="12.75" customHeight="1">
      <c r="A16" s="557"/>
      <c r="B16" s="526"/>
      <c r="C16" s="526"/>
      <c r="D16" s="526"/>
      <c r="E16" s="526"/>
      <c r="F16" s="526"/>
      <c r="G16" s="526"/>
      <c r="H16" s="526"/>
      <c r="I16" s="526"/>
      <c r="J16" s="526"/>
      <c r="K16" s="526"/>
      <c r="L16" s="526"/>
      <c r="M16" s="526"/>
      <c r="N16" s="526"/>
      <c r="O16" s="526"/>
      <c r="P16" s="526"/>
      <c r="Q16" s="526"/>
      <c r="R16" s="526"/>
      <c r="S16" s="526"/>
      <c r="T16" s="526"/>
      <c r="U16" s="526"/>
      <c r="V16" s="526"/>
      <c r="W16" s="526"/>
      <c r="X16" s="526"/>
      <c r="Y16" s="526"/>
      <c r="Z16" s="526"/>
      <c r="AA16" s="526"/>
      <c r="AB16" s="526"/>
      <c r="AC16" s="526"/>
      <c r="AD16" s="526"/>
      <c r="AE16" s="526"/>
      <c r="AF16" s="526"/>
      <c r="AG16" s="526"/>
      <c r="AH16" s="526"/>
      <c r="AI16" s="526"/>
      <c r="AJ16" s="526"/>
      <c r="AK16" s="526"/>
      <c r="AL16" s="526"/>
      <c r="AM16" s="558"/>
    </row>
    <row r="17" spans="1:39" s="104" customFormat="1" ht="12.75" customHeight="1">
      <c r="A17" s="557"/>
      <c r="B17" s="526"/>
      <c r="C17" s="526"/>
      <c r="D17" s="526"/>
      <c r="E17" s="526"/>
      <c r="F17" s="526"/>
      <c r="G17" s="526"/>
      <c r="H17" s="526"/>
      <c r="I17" s="526"/>
      <c r="J17" s="526"/>
      <c r="K17" s="526"/>
      <c r="L17" s="526"/>
      <c r="M17" s="526"/>
      <c r="N17" s="526"/>
      <c r="O17" s="526"/>
      <c r="P17" s="526"/>
      <c r="Q17" s="526"/>
      <c r="R17" s="526"/>
      <c r="S17" s="526"/>
      <c r="T17" s="526"/>
      <c r="U17" s="526"/>
      <c r="V17" s="526"/>
      <c r="W17" s="526"/>
      <c r="X17" s="526"/>
      <c r="Y17" s="526"/>
      <c r="Z17" s="526"/>
      <c r="AA17" s="526"/>
      <c r="AB17" s="526"/>
      <c r="AC17" s="526"/>
      <c r="AD17" s="526"/>
      <c r="AE17" s="526"/>
      <c r="AF17" s="526"/>
      <c r="AG17" s="526"/>
      <c r="AH17" s="526"/>
      <c r="AI17" s="526"/>
      <c r="AJ17" s="526"/>
      <c r="AK17" s="526"/>
      <c r="AL17" s="526"/>
      <c r="AM17" s="558"/>
    </row>
    <row r="18" spans="1:39" s="104" customFormat="1" ht="12.75" customHeight="1">
      <c r="A18" s="557"/>
      <c r="B18" s="526"/>
      <c r="C18" s="526"/>
      <c r="D18" s="526"/>
      <c r="E18" s="526"/>
      <c r="F18" s="526"/>
      <c r="G18" s="526"/>
      <c r="H18" s="526"/>
      <c r="I18" s="526"/>
      <c r="J18" s="526"/>
      <c r="K18" s="526"/>
      <c r="L18" s="526"/>
      <c r="M18" s="526"/>
      <c r="N18" s="526"/>
      <c r="O18" s="526"/>
      <c r="P18" s="526"/>
      <c r="Q18" s="526"/>
      <c r="R18" s="526"/>
      <c r="S18" s="526"/>
      <c r="T18" s="526"/>
      <c r="U18" s="526"/>
      <c r="V18" s="526"/>
      <c r="W18" s="526"/>
      <c r="X18" s="526"/>
      <c r="Y18" s="526"/>
      <c r="Z18" s="526"/>
      <c r="AA18" s="526"/>
      <c r="AB18" s="526"/>
      <c r="AC18" s="526"/>
      <c r="AD18" s="526"/>
      <c r="AE18" s="526"/>
      <c r="AF18" s="526"/>
      <c r="AG18" s="526"/>
      <c r="AH18" s="526"/>
      <c r="AI18" s="526"/>
      <c r="AJ18" s="526"/>
      <c r="AK18" s="526"/>
      <c r="AL18" s="526"/>
      <c r="AM18" s="558"/>
    </row>
    <row r="19" spans="1:39" s="104" customFormat="1" ht="12.75" customHeight="1">
      <c r="A19" s="553"/>
      <c r="B19" s="105"/>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554"/>
    </row>
    <row r="20" spans="1:39" s="104" customFormat="1" ht="12.75" customHeight="1">
      <c r="A20" s="553"/>
      <c r="B20" s="105"/>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554"/>
    </row>
    <row r="21" spans="1:39" s="104" customFormat="1" ht="12.75" customHeight="1">
      <c r="A21" s="710" t="s">
        <v>6</v>
      </c>
      <c r="B21" s="711"/>
      <c r="C21" s="711"/>
      <c r="D21" s="711"/>
      <c r="E21" s="711"/>
      <c r="F21" s="711"/>
      <c r="G21" s="711"/>
      <c r="H21" s="711"/>
      <c r="I21" s="711"/>
      <c r="J21" s="711"/>
      <c r="K21" s="711"/>
      <c r="L21" s="711"/>
      <c r="M21" s="711"/>
      <c r="N21" s="711"/>
      <c r="O21" s="711"/>
      <c r="P21" s="711"/>
      <c r="Q21" s="711"/>
      <c r="R21" s="711"/>
      <c r="S21" s="711"/>
      <c r="T21" s="711"/>
      <c r="U21" s="711"/>
      <c r="V21" s="711"/>
      <c r="W21" s="711"/>
      <c r="X21" s="711"/>
      <c r="Y21" s="711"/>
      <c r="Z21" s="711"/>
      <c r="AA21" s="711"/>
      <c r="AB21" s="711"/>
      <c r="AC21" s="711"/>
      <c r="AD21" s="711"/>
      <c r="AE21" s="711"/>
      <c r="AF21" s="711"/>
      <c r="AG21" s="711"/>
      <c r="AH21" s="711"/>
      <c r="AI21" s="711"/>
      <c r="AJ21" s="711"/>
      <c r="AK21" s="711"/>
      <c r="AL21" s="711"/>
      <c r="AM21" s="712"/>
    </row>
    <row r="22" spans="1:39" s="104" customFormat="1" ht="12.75" customHeight="1">
      <c r="A22" s="710"/>
      <c r="B22" s="711"/>
      <c r="C22" s="711"/>
      <c r="D22" s="711"/>
      <c r="E22" s="711"/>
      <c r="F22" s="711"/>
      <c r="G22" s="711"/>
      <c r="H22" s="711"/>
      <c r="I22" s="711"/>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2"/>
    </row>
    <row r="23" spans="1:39" s="104" customFormat="1" ht="12.75" customHeight="1" thickBot="1">
      <c r="A23" s="553"/>
      <c r="B23" s="105"/>
      <c r="C23" s="105"/>
      <c r="D23" s="105"/>
      <c r="E23" s="105"/>
      <c r="F23" s="105"/>
      <c r="G23" s="105"/>
      <c r="H23" s="105"/>
      <c r="I23" s="105"/>
      <c r="J23" s="105"/>
      <c r="K23" s="105"/>
      <c r="L23" s="105"/>
      <c r="M23" s="105"/>
      <c r="N23" s="105"/>
      <c r="O23" s="105"/>
      <c r="P23" s="105"/>
      <c r="Q23" s="105"/>
      <c r="R23" s="109"/>
      <c r="S23" s="109"/>
      <c r="T23" s="109"/>
      <c r="U23" s="109"/>
      <c r="V23" s="105"/>
      <c r="W23" s="105"/>
      <c r="X23" s="105"/>
      <c r="Y23" s="105"/>
      <c r="Z23" s="105"/>
      <c r="AA23" s="105"/>
      <c r="AB23" s="105"/>
      <c r="AC23" s="105"/>
      <c r="AD23" s="105"/>
      <c r="AE23" s="105"/>
      <c r="AF23" s="105"/>
      <c r="AG23" s="105"/>
      <c r="AH23" s="105"/>
      <c r="AI23" s="105"/>
      <c r="AJ23" s="105"/>
      <c r="AK23" s="105"/>
      <c r="AL23" s="105"/>
      <c r="AM23" s="554"/>
    </row>
    <row r="24" spans="1:39" s="104" customFormat="1" ht="12.75" customHeight="1">
      <c r="A24" s="553"/>
      <c r="B24" s="105"/>
      <c r="C24" s="105"/>
      <c r="D24" s="105"/>
      <c r="E24" s="105"/>
      <c r="F24" s="105"/>
      <c r="G24" s="105"/>
      <c r="H24" s="105"/>
      <c r="I24" s="105"/>
      <c r="J24" s="105"/>
      <c r="K24" s="105"/>
      <c r="L24" s="105"/>
      <c r="M24" s="105"/>
      <c r="N24" s="105"/>
      <c r="O24" s="105"/>
      <c r="P24" s="105"/>
      <c r="Q24" s="105"/>
      <c r="R24" s="103"/>
      <c r="S24" s="103"/>
      <c r="T24" s="103"/>
      <c r="U24" s="103"/>
      <c r="V24" s="105"/>
      <c r="W24" s="105"/>
      <c r="X24" s="105"/>
      <c r="Y24" s="105"/>
      <c r="Z24" s="105"/>
      <c r="AA24" s="105"/>
      <c r="AB24" s="105"/>
      <c r="AC24" s="105"/>
      <c r="AD24" s="105"/>
      <c r="AE24" s="105"/>
      <c r="AF24" s="105"/>
      <c r="AG24" s="105"/>
      <c r="AH24" s="105"/>
      <c r="AI24" s="105"/>
      <c r="AJ24" s="105"/>
      <c r="AK24" s="105"/>
      <c r="AL24" s="105"/>
      <c r="AM24" s="554"/>
    </row>
    <row r="25" spans="1:39" s="104" customFormat="1" ht="12.75" customHeight="1">
      <c r="A25" s="559"/>
      <c r="B25" s="713" t="s">
        <v>7</v>
      </c>
      <c r="C25" s="713"/>
      <c r="D25" s="713"/>
      <c r="E25" s="713"/>
      <c r="F25" s="713"/>
      <c r="G25" s="713"/>
      <c r="H25" s="713"/>
      <c r="I25" s="713"/>
      <c r="J25" s="713"/>
      <c r="K25" s="713"/>
      <c r="L25" s="110"/>
      <c r="M25" s="714">
        <v>44926</v>
      </c>
      <c r="N25" s="714"/>
      <c r="O25" s="714"/>
      <c r="P25" s="714"/>
      <c r="Q25" s="714"/>
      <c r="R25" s="714"/>
      <c r="S25" s="714"/>
      <c r="T25" s="714"/>
      <c r="U25" s="714"/>
      <c r="V25" s="714"/>
      <c r="W25" s="714"/>
      <c r="X25" s="714"/>
      <c r="Y25" s="714"/>
      <c r="Z25" s="714"/>
      <c r="AA25" s="714"/>
      <c r="AB25" s="714"/>
      <c r="AC25" s="714"/>
      <c r="AD25" s="714"/>
      <c r="AE25" s="714"/>
      <c r="AF25" s="714"/>
      <c r="AG25" s="714"/>
      <c r="AH25" s="714"/>
      <c r="AI25" s="714"/>
      <c r="AJ25" s="714"/>
      <c r="AK25" s="714"/>
      <c r="AL25" s="110"/>
      <c r="AM25" s="560"/>
    </row>
    <row r="26" spans="1:39" s="104" customFormat="1" ht="12.75" customHeight="1" thickBot="1">
      <c r="A26" s="553"/>
      <c r="B26" s="105"/>
      <c r="C26" s="105"/>
      <c r="D26" s="105"/>
      <c r="E26" s="105"/>
      <c r="F26" s="105"/>
      <c r="G26" s="105"/>
      <c r="H26" s="105"/>
      <c r="I26" s="105"/>
      <c r="J26" s="105"/>
      <c r="K26" s="105"/>
      <c r="L26" s="105"/>
      <c r="M26" s="105"/>
      <c r="N26" s="105"/>
      <c r="O26" s="111"/>
      <c r="P26" s="105"/>
      <c r="Q26" s="105"/>
      <c r="R26" s="109"/>
      <c r="S26" s="109"/>
      <c r="T26" s="109"/>
      <c r="U26" s="109"/>
      <c r="V26" s="105"/>
      <c r="W26" s="105"/>
      <c r="X26" s="105"/>
      <c r="Y26" s="105"/>
      <c r="Z26" s="105"/>
      <c r="AA26" s="105"/>
      <c r="AB26" s="105"/>
      <c r="AC26" s="105"/>
      <c r="AD26" s="105"/>
      <c r="AE26" s="105"/>
      <c r="AF26" s="105"/>
      <c r="AG26" s="105"/>
      <c r="AH26" s="105"/>
      <c r="AI26" s="105"/>
      <c r="AJ26" s="105"/>
      <c r="AK26" s="105"/>
      <c r="AL26" s="105"/>
      <c r="AM26" s="554"/>
    </row>
    <row r="27" spans="1:39" s="104" customFormat="1" ht="12.75" customHeight="1">
      <c r="A27" s="553"/>
      <c r="B27" s="105"/>
      <c r="C27" s="105"/>
      <c r="D27" s="105"/>
      <c r="E27" s="105"/>
      <c r="F27" s="105"/>
      <c r="G27" s="105"/>
      <c r="H27" s="105"/>
      <c r="I27" s="105"/>
      <c r="J27" s="105"/>
      <c r="K27" s="105"/>
      <c r="L27" s="105"/>
      <c r="M27" s="105"/>
      <c r="N27" s="105"/>
      <c r="O27" s="105"/>
      <c r="P27" s="105"/>
      <c r="Q27" s="105"/>
      <c r="R27" s="103"/>
      <c r="S27" s="103"/>
      <c r="T27" s="103"/>
      <c r="U27" s="103"/>
      <c r="V27" s="105"/>
      <c r="W27" s="105"/>
      <c r="X27" s="105"/>
      <c r="Y27" s="105"/>
      <c r="Z27" s="105"/>
      <c r="AA27" s="105"/>
      <c r="AB27" s="105"/>
      <c r="AC27" s="105"/>
      <c r="AD27" s="105"/>
      <c r="AE27" s="105"/>
      <c r="AF27" s="105"/>
      <c r="AG27" s="105"/>
      <c r="AH27" s="105"/>
      <c r="AI27" s="105"/>
      <c r="AJ27" s="105"/>
      <c r="AK27" s="105"/>
      <c r="AL27" s="105"/>
      <c r="AM27" s="554"/>
    </row>
    <row r="28" spans="1:39" s="104" customFormat="1" ht="12.75" customHeight="1">
      <c r="A28" s="710" t="s">
        <v>8</v>
      </c>
      <c r="B28" s="711"/>
      <c r="C28" s="711"/>
      <c r="D28" s="711"/>
      <c r="E28" s="711"/>
      <c r="F28" s="711"/>
      <c r="G28" s="711"/>
      <c r="H28" s="711"/>
      <c r="I28" s="711"/>
      <c r="J28" s="711"/>
      <c r="K28" s="711"/>
      <c r="L28" s="711"/>
      <c r="M28" s="711"/>
      <c r="N28" s="711"/>
      <c r="O28" s="711"/>
      <c r="P28" s="711"/>
      <c r="Q28" s="711"/>
      <c r="R28" s="711"/>
      <c r="S28" s="711"/>
      <c r="T28" s="711"/>
      <c r="U28" s="711"/>
      <c r="V28" s="711"/>
      <c r="W28" s="711"/>
      <c r="X28" s="711"/>
      <c r="Y28" s="711"/>
      <c r="Z28" s="711"/>
      <c r="AA28" s="711"/>
      <c r="AB28" s="711"/>
      <c r="AC28" s="711"/>
      <c r="AD28" s="711"/>
      <c r="AE28" s="711"/>
      <c r="AF28" s="711"/>
      <c r="AG28" s="711"/>
      <c r="AH28" s="711"/>
      <c r="AI28" s="711"/>
      <c r="AJ28" s="711"/>
      <c r="AK28" s="711"/>
      <c r="AL28" s="711"/>
      <c r="AM28" s="712"/>
    </row>
    <row r="29" spans="1:39" s="104" customFormat="1" ht="12.75" customHeight="1">
      <c r="A29" s="553"/>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554"/>
    </row>
    <row r="30" spans="1:39" s="104" customFormat="1" ht="12.75" customHeight="1">
      <c r="A30" s="553"/>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554"/>
    </row>
    <row r="31" spans="1:39" s="104" customFormat="1" ht="12.75" customHeight="1">
      <c r="A31" s="553"/>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554"/>
    </row>
    <row r="32" spans="1:39" s="104" customFormat="1" ht="12.75" customHeight="1">
      <c r="A32" s="553"/>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554"/>
    </row>
    <row r="33" spans="1:39" s="104" customFormat="1" ht="12.75" customHeight="1">
      <c r="A33" s="553"/>
      <c r="B33" s="105"/>
      <c r="C33" s="106" t="s">
        <v>9</v>
      </c>
      <c r="D33" s="105"/>
      <c r="E33" s="105"/>
      <c r="F33" s="105"/>
      <c r="G33" s="105"/>
      <c r="H33" s="105"/>
      <c r="I33" s="105"/>
      <c r="J33" s="105"/>
      <c r="K33" s="105"/>
      <c r="L33" s="702" t="s">
        <v>1542</v>
      </c>
      <c r="M33" s="703"/>
      <c r="N33" s="703"/>
      <c r="O33" s="703"/>
      <c r="P33" s="703"/>
      <c r="Q33" s="703"/>
      <c r="R33" s="703"/>
      <c r="S33" s="703"/>
      <c r="T33" s="703"/>
      <c r="U33" s="703"/>
      <c r="V33" s="703"/>
      <c r="W33" s="703"/>
      <c r="X33" s="703"/>
      <c r="Y33" s="703"/>
      <c r="Z33" s="703"/>
      <c r="AA33" s="703"/>
      <c r="AB33" s="703"/>
      <c r="AC33" s="703"/>
      <c r="AD33" s="703"/>
      <c r="AE33" s="703"/>
      <c r="AF33" s="703"/>
      <c r="AG33" s="703"/>
      <c r="AH33" s="703"/>
      <c r="AI33" s="703"/>
      <c r="AJ33" s="703"/>
      <c r="AK33" s="704"/>
      <c r="AL33" s="105"/>
      <c r="AM33" s="554"/>
    </row>
    <row r="34" spans="1:39" s="104" customFormat="1" ht="12.75" customHeight="1">
      <c r="A34" s="553"/>
      <c r="B34" s="105"/>
      <c r="C34" s="112" t="s">
        <v>10</v>
      </c>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554"/>
    </row>
    <row r="35" spans="1:39" s="104" customFormat="1" ht="12.75" customHeight="1">
      <c r="A35" s="553"/>
      <c r="B35" s="105"/>
      <c r="C35" s="112"/>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554"/>
    </row>
    <row r="36" spans="1:39" s="104" customFormat="1" ht="12.75" customHeight="1">
      <c r="A36" s="553"/>
      <c r="B36" s="105"/>
      <c r="C36" s="112"/>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554"/>
    </row>
    <row r="37" spans="1:39" s="104" customFormat="1" ht="12.75" customHeight="1">
      <c r="A37" s="553"/>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554"/>
    </row>
    <row r="38" spans="1:39" s="104" customFormat="1" ht="12.75" customHeight="1">
      <c r="A38" s="553"/>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554"/>
    </row>
    <row r="39" spans="1:39" s="104" customFormat="1" ht="12.75" customHeight="1">
      <c r="A39" s="553"/>
      <c r="B39" s="105"/>
      <c r="C39" s="106" t="s">
        <v>11</v>
      </c>
      <c r="D39" s="105"/>
      <c r="E39" s="105"/>
      <c r="F39" s="105"/>
      <c r="G39" s="105"/>
      <c r="H39" s="730"/>
      <c r="I39" s="731"/>
      <c r="J39" s="731"/>
      <c r="K39" s="731"/>
      <c r="L39" s="731"/>
      <c r="M39" s="731"/>
      <c r="N39" s="731"/>
      <c r="O39" s="731"/>
      <c r="P39" s="731"/>
      <c r="Q39" s="731"/>
      <c r="R39" s="731"/>
      <c r="S39" s="731"/>
      <c r="T39" s="731"/>
      <c r="U39" s="731"/>
      <c r="V39" s="731"/>
      <c r="W39" s="731"/>
      <c r="X39" s="731"/>
      <c r="Y39" s="731"/>
      <c r="Z39" s="731"/>
      <c r="AA39" s="731"/>
      <c r="AB39" s="731"/>
      <c r="AC39" s="731"/>
      <c r="AD39" s="731"/>
      <c r="AE39" s="731"/>
      <c r="AF39" s="731"/>
      <c r="AG39" s="731"/>
      <c r="AH39" s="731"/>
      <c r="AI39" s="731"/>
      <c r="AJ39" s="731"/>
      <c r="AK39" s="732"/>
      <c r="AL39" s="105"/>
      <c r="AM39" s="554"/>
    </row>
    <row r="40" spans="1:39" s="104" customFormat="1" ht="12.75" customHeight="1">
      <c r="A40" s="553"/>
      <c r="B40" s="105"/>
      <c r="C40" s="106"/>
      <c r="D40" s="105"/>
      <c r="E40" s="105"/>
      <c r="F40" s="105"/>
      <c r="G40" s="105"/>
      <c r="H40" s="529"/>
      <c r="I40" s="530"/>
      <c r="J40" s="530"/>
      <c r="K40" s="530"/>
      <c r="L40" s="530"/>
      <c r="M40" s="530"/>
      <c r="N40" s="530"/>
      <c r="O40" s="530"/>
      <c r="P40" s="530"/>
      <c r="Q40" s="530"/>
      <c r="R40" s="530"/>
      <c r="S40" s="530"/>
      <c r="T40" s="530"/>
      <c r="U40" s="530"/>
      <c r="V40" s="530"/>
      <c r="W40" s="530"/>
      <c r="X40" s="530"/>
      <c r="Y40" s="530"/>
      <c r="Z40" s="530"/>
      <c r="AA40" s="530"/>
      <c r="AB40" s="530"/>
      <c r="AC40" s="530"/>
      <c r="AD40" s="530"/>
      <c r="AE40" s="530"/>
      <c r="AF40" s="530"/>
      <c r="AG40" s="530"/>
      <c r="AH40" s="530"/>
      <c r="AI40" s="530"/>
      <c r="AJ40" s="530"/>
      <c r="AK40" s="531"/>
      <c r="AL40" s="105"/>
      <c r="AM40" s="554"/>
    </row>
    <row r="41" spans="1:39" s="104" customFormat="1" ht="12.75" customHeight="1">
      <c r="A41" s="553"/>
      <c r="B41" s="105"/>
      <c r="C41" s="106"/>
      <c r="D41" s="105"/>
      <c r="E41" s="105"/>
      <c r="F41" s="105"/>
      <c r="G41" s="105"/>
      <c r="H41" s="529"/>
      <c r="I41" s="530"/>
      <c r="J41" s="530"/>
      <c r="K41" s="530"/>
      <c r="L41" s="530"/>
      <c r="M41" s="530"/>
      <c r="N41" s="530"/>
      <c r="O41" s="530"/>
      <c r="P41" s="530"/>
      <c r="Q41" s="530"/>
      <c r="R41" s="530"/>
      <c r="S41" s="530"/>
      <c r="T41" s="530"/>
      <c r="U41" s="530"/>
      <c r="V41" s="530"/>
      <c r="W41" s="530"/>
      <c r="X41" s="530"/>
      <c r="Y41" s="530"/>
      <c r="Z41" s="530"/>
      <c r="AA41" s="530"/>
      <c r="AB41" s="530"/>
      <c r="AC41" s="530"/>
      <c r="AD41" s="530"/>
      <c r="AE41" s="530"/>
      <c r="AF41" s="530"/>
      <c r="AG41" s="530"/>
      <c r="AH41" s="530"/>
      <c r="AI41" s="530"/>
      <c r="AJ41" s="530"/>
      <c r="AK41" s="531"/>
      <c r="AL41" s="105"/>
      <c r="AM41" s="554"/>
    </row>
    <row r="42" spans="1:39" s="104" customFormat="1" ht="12.75" customHeight="1">
      <c r="A42" s="553"/>
      <c r="B42" s="105"/>
      <c r="C42" s="107"/>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554"/>
    </row>
    <row r="43" spans="1:39" s="104" customFormat="1" ht="12.75" customHeight="1">
      <c r="A43" s="553"/>
      <c r="B43" s="105"/>
      <c r="C43" s="107"/>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554"/>
    </row>
    <row r="44" spans="1:39" s="104" customFormat="1" ht="12.75" customHeight="1">
      <c r="A44" s="553"/>
      <c r="B44" s="105"/>
      <c r="C44" s="106" t="s">
        <v>12</v>
      </c>
      <c r="D44" s="105"/>
      <c r="E44" s="105"/>
      <c r="F44" s="105"/>
      <c r="G44" s="105"/>
      <c r="H44" s="105"/>
      <c r="I44" s="105"/>
      <c r="J44" s="702" t="s">
        <v>1543</v>
      </c>
      <c r="K44" s="703"/>
      <c r="L44" s="703"/>
      <c r="M44" s="703"/>
      <c r="N44" s="703"/>
      <c r="O44" s="703"/>
      <c r="P44" s="703"/>
      <c r="Q44" s="703"/>
      <c r="R44" s="703"/>
      <c r="S44" s="703"/>
      <c r="T44" s="703"/>
      <c r="U44" s="703"/>
      <c r="V44" s="703"/>
      <c r="W44" s="703"/>
      <c r="X44" s="703"/>
      <c r="Y44" s="703"/>
      <c r="Z44" s="703"/>
      <c r="AA44" s="703"/>
      <c r="AB44" s="703"/>
      <c r="AC44" s="703"/>
      <c r="AD44" s="703"/>
      <c r="AE44" s="703"/>
      <c r="AF44" s="703"/>
      <c r="AG44" s="703"/>
      <c r="AH44" s="703"/>
      <c r="AI44" s="703"/>
      <c r="AJ44" s="703"/>
      <c r="AK44" s="704"/>
      <c r="AL44" s="105"/>
      <c r="AM44" s="554"/>
    </row>
    <row r="45" spans="1:39" s="104" customFormat="1" ht="12.75" customHeight="1">
      <c r="A45" s="553"/>
      <c r="B45" s="105"/>
      <c r="C45" s="106"/>
      <c r="D45" s="105"/>
      <c r="E45" s="105"/>
      <c r="F45" s="105"/>
      <c r="G45" s="105"/>
      <c r="H45" s="105"/>
      <c r="I45" s="105"/>
      <c r="J45" s="529"/>
      <c r="K45" s="530"/>
      <c r="L45" s="530"/>
      <c r="M45" s="530"/>
      <c r="N45" s="530"/>
      <c r="O45" s="530"/>
      <c r="P45" s="530"/>
      <c r="Q45" s="530"/>
      <c r="R45" s="530"/>
      <c r="S45" s="530"/>
      <c r="T45" s="530"/>
      <c r="U45" s="530"/>
      <c r="V45" s="530"/>
      <c r="W45" s="530"/>
      <c r="X45" s="530"/>
      <c r="Y45" s="530"/>
      <c r="Z45" s="530"/>
      <c r="AA45" s="530"/>
      <c r="AB45" s="530"/>
      <c r="AC45" s="530"/>
      <c r="AD45" s="530"/>
      <c r="AE45" s="530"/>
      <c r="AF45" s="530"/>
      <c r="AG45" s="530"/>
      <c r="AH45" s="530"/>
      <c r="AI45" s="530"/>
      <c r="AJ45" s="530"/>
      <c r="AK45" s="531"/>
      <c r="AL45" s="105"/>
      <c r="AM45" s="554"/>
    </row>
    <row r="46" spans="1:39" s="104" customFormat="1" ht="12.75" customHeight="1">
      <c r="A46" s="553"/>
      <c r="B46" s="105"/>
      <c r="C46" s="106"/>
      <c r="D46" s="105"/>
      <c r="E46" s="105"/>
      <c r="F46" s="105"/>
      <c r="G46" s="105"/>
      <c r="H46" s="105"/>
      <c r="I46" s="105"/>
      <c r="J46" s="529"/>
      <c r="K46" s="530"/>
      <c r="L46" s="530"/>
      <c r="M46" s="530"/>
      <c r="N46" s="530"/>
      <c r="O46" s="530"/>
      <c r="P46" s="530"/>
      <c r="Q46" s="530"/>
      <c r="R46" s="530"/>
      <c r="S46" s="530"/>
      <c r="T46" s="530"/>
      <c r="U46" s="530"/>
      <c r="V46" s="530"/>
      <c r="W46" s="530"/>
      <c r="X46" s="530"/>
      <c r="Y46" s="530"/>
      <c r="Z46" s="530"/>
      <c r="AA46" s="530"/>
      <c r="AB46" s="530"/>
      <c r="AC46" s="530"/>
      <c r="AD46" s="530"/>
      <c r="AE46" s="530"/>
      <c r="AF46" s="530"/>
      <c r="AG46" s="530"/>
      <c r="AH46" s="530"/>
      <c r="AI46" s="530"/>
      <c r="AJ46" s="530"/>
      <c r="AK46" s="531"/>
      <c r="AL46" s="105"/>
      <c r="AM46" s="554"/>
    </row>
    <row r="47" spans="1:39" s="104" customFormat="1" ht="12.75" customHeight="1">
      <c r="A47" s="553"/>
      <c r="B47" s="105"/>
      <c r="C47" s="107"/>
      <c r="D47" s="105"/>
      <c r="E47" s="105"/>
      <c r="F47" s="105"/>
      <c r="G47" s="105"/>
      <c r="H47" s="105"/>
      <c r="I47" s="105"/>
      <c r="J47" s="105"/>
      <c r="K47" s="105"/>
      <c r="L47" s="105"/>
      <c r="M47" s="105"/>
      <c r="N47" s="526"/>
      <c r="O47" s="526"/>
      <c r="P47" s="526"/>
      <c r="Q47" s="526"/>
      <c r="R47" s="526"/>
      <c r="S47" s="526"/>
      <c r="T47" s="526"/>
      <c r="U47" s="526"/>
      <c r="V47" s="526"/>
      <c r="W47" s="526"/>
      <c r="X47" s="526"/>
      <c r="Y47" s="526"/>
      <c r="Z47" s="526"/>
      <c r="AA47" s="526"/>
      <c r="AB47" s="526"/>
      <c r="AC47" s="526"/>
      <c r="AD47" s="526"/>
      <c r="AE47" s="526"/>
      <c r="AF47" s="526"/>
      <c r="AG47" s="105"/>
      <c r="AH47" s="105"/>
      <c r="AI47" s="105"/>
      <c r="AJ47" s="105"/>
      <c r="AK47" s="105"/>
      <c r="AL47" s="105"/>
      <c r="AM47" s="554"/>
    </row>
    <row r="48" spans="1:39" s="104" customFormat="1" ht="12.75" customHeight="1">
      <c r="A48" s="553"/>
      <c r="B48" s="105"/>
      <c r="C48" s="107"/>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554"/>
    </row>
    <row r="49" spans="1:39" s="104" customFormat="1" ht="12.75" customHeight="1">
      <c r="A49" s="553"/>
      <c r="B49" s="105"/>
      <c r="C49" s="106" t="s">
        <v>13</v>
      </c>
      <c r="D49" s="105"/>
      <c r="E49" s="105"/>
      <c r="F49" s="105"/>
      <c r="G49" s="105"/>
      <c r="H49" s="105"/>
      <c r="I49" s="105"/>
      <c r="J49" s="105"/>
      <c r="K49" s="105"/>
      <c r="L49" s="105"/>
      <c r="M49" s="529"/>
      <c r="N49" s="737" t="s">
        <v>1544</v>
      </c>
      <c r="O49" s="738"/>
      <c r="P49" s="738"/>
      <c r="Q49" s="738"/>
      <c r="R49" s="738"/>
      <c r="S49" s="738"/>
      <c r="T49" s="738"/>
      <c r="U49" s="738"/>
      <c r="V49" s="738"/>
      <c r="W49" s="738"/>
      <c r="X49" s="738"/>
      <c r="Y49" s="738"/>
      <c r="Z49" s="738"/>
      <c r="AA49" s="738"/>
      <c r="AB49" s="738"/>
      <c r="AC49" s="738"/>
      <c r="AD49" s="738"/>
      <c r="AE49" s="738"/>
      <c r="AF49" s="738"/>
      <c r="AG49" s="738"/>
      <c r="AH49" s="738"/>
      <c r="AI49" s="738"/>
      <c r="AJ49" s="738"/>
      <c r="AK49" s="531"/>
      <c r="AL49" s="105"/>
      <c r="AM49" s="554"/>
    </row>
    <row r="50" spans="1:39" s="104" customFormat="1" ht="12.75" customHeight="1">
      <c r="A50" s="553"/>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554"/>
    </row>
    <row r="51" spans="1:39" s="104" customFormat="1" ht="12.75" customHeight="1">
      <c r="A51" s="553"/>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554"/>
    </row>
    <row r="52" spans="1:39" s="104" customFormat="1" ht="12.75" customHeight="1">
      <c r="A52" s="553"/>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554"/>
    </row>
    <row r="53" spans="1:39" s="104" customFormat="1" ht="15">
      <c r="A53" s="553"/>
      <c r="B53" s="105"/>
      <c r="C53" s="724" t="s">
        <v>14</v>
      </c>
      <c r="D53" s="725"/>
      <c r="E53" s="725"/>
      <c r="F53" s="725"/>
      <c r="G53" s="725"/>
      <c r="H53" s="725"/>
      <c r="I53" s="725"/>
      <c r="J53" s="725"/>
      <c r="K53" s="725"/>
      <c r="L53" s="725"/>
      <c r="M53" s="725"/>
      <c r="N53" s="725"/>
      <c r="O53" s="725"/>
      <c r="P53" s="725"/>
      <c r="Q53" s="725"/>
      <c r="R53" s="725"/>
      <c r="S53" s="725"/>
      <c r="T53" s="725"/>
      <c r="U53" s="725"/>
      <c r="V53" s="725"/>
      <c r="W53" s="725"/>
      <c r="X53" s="725"/>
      <c r="Y53" s="725"/>
      <c r="Z53" s="725"/>
      <c r="AA53" s="725"/>
      <c r="AB53" s="725"/>
      <c r="AC53" s="725"/>
      <c r="AD53" s="725"/>
      <c r="AE53" s="725"/>
      <c r="AF53" s="725"/>
      <c r="AG53" s="725"/>
      <c r="AH53" s="725"/>
      <c r="AI53" s="725"/>
      <c r="AJ53" s="725"/>
      <c r="AK53" s="725"/>
      <c r="AL53" s="725"/>
      <c r="AM53" s="554"/>
    </row>
    <row r="54" spans="1:39" s="104" customFormat="1" ht="15">
      <c r="A54" s="553"/>
      <c r="B54" s="105"/>
      <c r="C54" s="527"/>
      <c r="D54" s="528"/>
      <c r="E54" s="528"/>
      <c r="F54" s="528"/>
      <c r="G54" s="528"/>
      <c r="H54" s="528"/>
      <c r="I54" s="528"/>
      <c r="J54" s="528"/>
      <c r="K54" s="528"/>
      <c r="L54" s="528"/>
      <c r="M54" s="528"/>
      <c r="N54" s="528"/>
      <c r="O54" s="528"/>
      <c r="P54" s="528"/>
      <c r="Q54" s="528"/>
      <c r="R54" s="528"/>
      <c r="S54" s="528"/>
      <c r="T54" s="528"/>
      <c r="U54" s="528"/>
      <c r="V54" s="528"/>
      <c r="W54" s="528"/>
      <c r="X54" s="528"/>
      <c r="Y54" s="528"/>
      <c r="Z54" s="528"/>
      <c r="AA54" s="528"/>
      <c r="AB54" s="528"/>
      <c r="AC54" s="528"/>
      <c r="AD54" s="528"/>
      <c r="AE54" s="528"/>
      <c r="AF54" s="528"/>
      <c r="AG54" s="528"/>
      <c r="AH54" s="528"/>
      <c r="AI54" s="528"/>
      <c r="AJ54" s="528"/>
      <c r="AK54" s="528"/>
      <c r="AL54" s="528"/>
      <c r="AM54" s="554"/>
    </row>
    <row r="55" spans="1:39" s="104" customFormat="1" ht="12.75" customHeight="1">
      <c r="A55" s="553"/>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554"/>
    </row>
    <row r="56" spans="1:39" s="104" customFormat="1" ht="12.75" customHeight="1">
      <c r="A56" s="553"/>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554"/>
    </row>
    <row r="57" spans="1:39" s="104" customFormat="1" ht="12.75" customHeight="1">
      <c r="A57" s="553"/>
      <c r="B57" s="105"/>
      <c r="C57" s="726" t="s">
        <v>15</v>
      </c>
      <c r="D57" s="711"/>
      <c r="E57" s="711"/>
      <c r="F57" s="711"/>
      <c r="G57" s="711"/>
      <c r="H57" s="711"/>
      <c r="I57" s="711"/>
      <c r="J57" s="711"/>
      <c r="K57" s="711"/>
      <c r="L57" s="711"/>
      <c r="M57" s="711"/>
      <c r="N57" s="711"/>
      <c r="O57" s="711"/>
      <c r="P57" s="711"/>
      <c r="Q57" s="711"/>
      <c r="R57" s="711"/>
      <c r="S57" s="711"/>
      <c r="T57" s="711"/>
      <c r="U57" s="105"/>
      <c r="V57" s="726" t="s">
        <v>16</v>
      </c>
      <c r="W57" s="711"/>
      <c r="X57" s="711"/>
      <c r="Y57" s="711"/>
      <c r="Z57" s="711"/>
      <c r="AA57" s="711"/>
      <c r="AB57" s="711"/>
      <c r="AC57" s="711"/>
      <c r="AD57" s="711"/>
      <c r="AE57" s="711"/>
      <c r="AF57" s="711"/>
      <c r="AG57" s="711"/>
      <c r="AH57" s="711"/>
      <c r="AI57" s="711"/>
      <c r="AJ57" s="711"/>
      <c r="AK57" s="711"/>
      <c r="AL57" s="711"/>
      <c r="AM57" s="554"/>
    </row>
    <row r="58" spans="1:39" s="104" customFormat="1" ht="12.75" customHeight="1">
      <c r="A58" s="553"/>
      <c r="B58" s="105"/>
      <c r="C58" s="113"/>
      <c r="D58" s="113"/>
      <c r="E58" s="113"/>
      <c r="F58" s="113"/>
      <c r="G58" s="113"/>
      <c r="H58" s="113"/>
      <c r="I58" s="113"/>
      <c r="J58" s="113"/>
      <c r="K58" s="113"/>
      <c r="L58" s="113"/>
      <c r="M58" s="113"/>
      <c r="N58" s="113"/>
      <c r="O58" s="113"/>
      <c r="P58" s="113"/>
      <c r="Q58" s="113"/>
      <c r="R58" s="113"/>
      <c r="S58" s="113"/>
      <c r="T58" s="113"/>
      <c r="U58" s="105"/>
      <c r="V58" s="113"/>
      <c r="W58" s="113"/>
      <c r="X58" s="113"/>
      <c r="Y58" s="113"/>
      <c r="Z58" s="113"/>
      <c r="AA58" s="113"/>
      <c r="AB58" s="113"/>
      <c r="AC58" s="113"/>
      <c r="AD58" s="113"/>
      <c r="AE58" s="113"/>
      <c r="AF58" s="113"/>
      <c r="AG58" s="113"/>
      <c r="AH58" s="113"/>
      <c r="AI58" s="113"/>
      <c r="AJ58" s="113"/>
      <c r="AK58" s="113"/>
      <c r="AL58" s="113"/>
      <c r="AM58" s="554"/>
    </row>
    <row r="59" spans="1:39" s="104" customFormat="1" ht="8.15" customHeight="1">
      <c r="A59" s="553"/>
      <c r="B59" s="114"/>
      <c r="C59" s="115"/>
      <c r="D59" s="116"/>
      <c r="E59" s="116"/>
      <c r="F59" s="116"/>
      <c r="G59" s="116"/>
      <c r="H59" s="116"/>
      <c r="I59" s="116"/>
      <c r="J59" s="116"/>
      <c r="K59" s="116"/>
      <c r="L59" s="116"/>
      <c r="M59" s="116"/>
      <c r="N59" s="116"/>
      <c r="O59" s="116"/>
      <c r="P59" s="116"/>
      <c r="Q59" s="117"/>
      <c r="R59" s="115"/>
      <c r="S59" s="118"/>
      <c r="T59" s="117"/>
      <c r="U59" s="119"/>
      <c r="V59" s="115"/>
      <c r="W59" s="116"/>
      <c r="X59" s="116"/>
      <c r="Y59" s="116"/>
      <c r="Z59" s="116"/>
      <c r="AA59" s="116"/>
      <c r="AB59" s="116"/>
      <c r="AC59" s="116"/>
      <c r="AD59" s="116"/>
      <c r="AE59" s="116"/>
      <c r="AF59" s="116"/>
      <c r="AG59" s="116"/>
      <c r="AH59" s="116"/>
      <c r="AI59" s="116"/>
      <c r="AJ59" s="116"/>
      <c r="AK59" s="116"/>
      <c r="AL59" s="117"/>
      <c r="AM59" s="561"/>
    </row>
    <row r="60" spans="1:39" s="104" customFormat="1" ht="12.75" customHeight="1">
      <c r="A60" s="553"/>
      <c r="B60" s="114"/>
      <c r="C60" s="120" t="s">
        <v>17</v>
      </c>
      <c r="D60" s="105"/>
      <c r="E60" s="105"/>
      <c r="F60" s="105"/>
      <c r="G60" s="105"/>
      <c r="H60" s="105"/>
      <c r="I60" s="105"/>
      <c r="J60" s="105"/>
      <c r="K60" s="105"/>
      <c r="L60" s="105"/>
      <c r="M60" s="105"/>
      <c r="N60" s="105"/>
      <c r="O60" s="105"/>
      <c r="P60" s="105"/>
      <c r="Q60" s="114"/>
      <c r="R60" s="119"/>
      <c r="S60" s="121" t="s">
        <v>18</v>
      </c>
      <c r="T60" s="119"/>
      <c r="U60" s="119"/>
      <c r="V60" s="727" t="s">
        <v>19</v>
      </c>
      <c r="W60" s="728"/>
      <c r="X60" s="728"/>
      <c r="Y60" s="728"/>
      <c r="Z60" s="728"/>
      <c r="AA60" s="728"/>
      <c r="AB60" s="728"/>
      <c r="AC60" s="728"/>
      <c r="AD60" s="728"/>
      <c r="AE60" s="728"/>
      <c r="AF60" s="728"/>
      <c r="AG60" s="728"/>
      <c r="AH60" s="728"/>
      <c r="AI60" s="728"/>
      <c r="AJ60" s="728"/>
      <c r="AK60" s="728"/>
      <c r="AL60" s="729"/>
      <c r="AM60" s="561"/>
    </row>
    <row r="61" spans="1:39" s="104" customFormat="1" ht="8.15" customHeight="1">
      <c r="A61" s="553"/>
      <c r="B61" s="114"/>
      <c r="C61" s="122"/>
      <c r="D61" s="105"/>
      <c r="E61" s="105"/>
      <c r="F61" s="105"/>
      <c r="G61" s="105"/>
      <c r="H61" s="105"/>
      <c r="I61" s="105"/>
      <c r="J61" s="105"/>
      <c r="K61" s="105"/>
      <c r="L61" s="105"/>
      <c r="M61" s="105"/>
      <c r="N61" s="105"/>
      <c r="O61" s="105"/>
      <c r="P61" s="105"/>
      <c r="Q61" s="114"/>
      <c r="R61" s="123"/>
      <c r="S61" s="118"/>
      <c r="T61" s="114"/>
      <c r="U61" s="119"/>
      <c r="V61" s="123"/>
      <c r="W61" s="105"/>
      <c r="X61" s="105"/>
      <c r="Y61" s="105"/>
      <c r="Z61" s="105"/>
      <c r="AA61" s="105"/>
      <c r="AB61" s="105"/>
      <c r="AC61" s="105"/>
      <c r="AD61" s="105"/>
      <c r="AE61" s="105"/>
      <c r="AF61" s="105"/>
      <c r="AG61" s="105"/>
      <c r="AH61" s="105"/>
      <c r="AI61" s="105"/>
      <c r="AJ61" s="105"/>
      <c r="AK61" s="105"/>
      <c r="AL61" s="114"/>
      <c r="AM61" s="561"/>
    </row>
    <row r="62" spans="1:39" s="104" customFormat="1" ht="12.75" customHeight="1">
      <c r="A62" s="553"/>
      <c r="B62" s="114"/>
      <c r="C62" s="120" t="s">
        <v>20</v>
      </c>
      <c r="D62" s="105"/>
      <c r="E62" s="105"/>
      <c r="F62" s="105"/>
      <c r="G62" s="105"/>
      <c r="H62" s="105"/>
      <c r="I62" s="105"/>
      <c r="J62" s="105"/>
      <c r="K62" s="105"/>
      <c r="L62" s="105"/>
      <c r="M62" s="105"/>
      <c r="N62" s="105"/>
      <c r="O62" s="105"/>
      <c r="P62" s="105"/>
      <c r="Q62" s="114"/>
      <c r="R62" s="119"/>
      <c r="S62" s="121" t="s">
        <v>18</v>
      </c>
      <c r="T62" s="119"/>
      <c r="U62" s="119"/>
      <c r="V62" s="123"/>
      <c r="W62" s="715"/>
      <c r="X62" s="716"/>
      <c r="Y62" s="716"/>
      <c r="Z62" s="716"/>
      <c r="AA62" s="716"/>
      <c r="AB62" s="716"/>
      <c r="AC62" s="716"/>
      <c r="AD62" s="716"/>
      <c r="AE62" s="716"/>
      <c r="AF62" s="716"/>
      <c r="AG62" s="716"/>
      <c r="AH62" s="716"/>
      <c r="AI62" s="716"/>
      <c r="AJ62" s="716"/>
      <c r="AK62" s="717"/>
      <c r="AL62" s="114"/>
      <c r="AM62" s="561"/>
    </row>
    <row r="63" spans="1:39" s="104" customFormat="1" ht="8.15" customHeight="1">
      <c r="A63" s="553"/>
      <c r="B63" s="114"/>
      <c r="C63" s="122"/>
      <c r="D63" s="105"/>
      <c r="E63" s="105"/>
      <c r="F63" s="105"/>
      <c r="G63" s="105"/>
      <c r="H63" s="105"/>
      <c r="I63" s="105"/>
      <c r="J63" s="105"/>
      <c r="K63" s="105"/>
      <c r="L63" s="105"/>
      <c r="M63" s="105"/>
      <c r="N63" s="105"/>
      <c r="O63" s="105"/>
      <c r="P63" s="105"/>
      <c r="Q63" s="114"/>
      <c r="R63" s="123"/>
      <c r="S63" s="118"/>
      <c r="T63" s="114"/>
      <c r="U63" s="119"/>
      <c r="V63" s="124"/>
      <c r="W63" s="113"/>
      <c r="X63" s="113"/>
      <c r="Y63" s="113"/>
      <c r="Z63" s="113"/>
      <c r="AA63" s="113"/>
      <c r="AB63" s="113"/>
      <c r="AC63" s="113"/>
      <c r="AD63" s="113"/>
      <c r="AE63" s="113"/>
      <c r="AF63" s="113"/>
      <c r="AG63" s="113"/>
      <c r="AH63" s="113"/>
      <c r="AI63" s="113"/>
      <c r="AJ63" s="113"/>
      <c r="AK63" s="113"/>
      <c r="AL63" s="125"/>
      <c r="AM63" s="561"/>
    </row>
    <row r="64" spans="1:39" s="104" customFormat="1" ht="12.75" customHeight="1">
      <c r="A64" s="553"/>
      <c r="B64" s="114"/>
      <c r="C64" s="120" t="s">
        <v>21</v>
      </c>
      <c r="D64" s="105"/>
      <c r="E64" s="105"/>
      <c r="F64" s="105"/>
      <c r="G64" s="105"/>
      <c r="H64" s="105"/>
      <c r="I64" s="105"/>
      <c r="J64" s="105"/>
      <c r="K64" s="105"/>
      <c r="L64" s="105"/>
      <c r="M64" s="105"/>
      <c r="N64" s="105"/>
      <c r="O64" s="105"/>
      <c r="P64" s="105"/>
      <c r="Q64" s="114"/>
      <c r="R64" s="119"/>
      <c r="S64" s="121" t="s">
        <v>18</v>
      </c>
      <c r="T64" s="119"/>
      <c r="U64" s="119"/>
      <c r="V64" s="733" t="s">
        <v>22</v>
      </c>
      <c r="W64" s="734"/>
      <c r="X64" s="734"/>
      <c r="Y64" s="734"/>
      <c r="Z64" s="734"/>
      <c r="AA64" s="734"/>
      <c r="AB64" s="734"/>
      <c r="AC64" s="734"/>
      <c r="AD64" s="734"/>
      <c r="AE64" s="734"/>
      <c r="AF64" s="734"/>
      <c r="AG64" s="734"/>
      <c r="AH64" s="734"/>
      <c r="AI64" s="734"/>
      <c r="AJ64" s="734"/>
      <c r="AK64" s="734"/>
      <c r="AL64" s="735"/>
      <c r="AM64" s="561"/>
    </row>
    <row r="65" spans="1:39" s="104" customFormat="1" ht="8.15" customHeight="1">
      <c r="A65" s="553"/>
      <c r="B65" s="114"/>
      <c r="C65" s="122"/>
      <c r="D65" s="105"/>
      <c r="E65" s="105"/>
      <c r="F65" s="105"/>
      <c r="G65" s="105"/>
      <c r="H65" s="105"/>
      <c r="I65" s="105"/>
      <c r="J65" s="105"/>
      <c r="K65" s="105"/>
      <c r="L65" s="105"/>
      <c r="M65" s="105"/>
      <c r="N65" s="105"/>
      <c r="O65" s="105"/>
      <c r="P65" s="105"/>
      <c r="Q65" s="114"/>
      <c r="R65" s="123"/>
      <c r="S65" s="118"/>
      <c r="T65" s="114"/>
      <c r="U65" s="119"/>
      <c r="V65" s="736"/>
      <c r="W65" s="728"/>
      <c r="X65" s="728"/>
      <c r="Y65" s="728"/>
      <c r="Z65" s="728"/>
      <c r="AA65" s="728"/>
      <c r="AB65" s="728"/>
      <c r="AC65" s="728"/>
      <c r="AD65" s="728"/>
      <c r="AE65" s="728"/>
      <c r="AF65" s="728"/>
      <c r="AG65" s="728"/>
      <c r="AH65" s="728"/>
      <c r="AI65" s="728"/>
      <c r="AJ65" s="728"/>
      <c r="AK65" s="728"/>
      <c r="AL65" s="729"/>
      <c r="AM65" s="561"/>
    </row>
    <row r="66" spans="1:39" s="104" customFormat="1" ht="12.75" customHeight="1">
      <c r="A66" s="553"/>
      <c r="B66" s="114"/>
      <c r="C66" s="120" t="s">
        <v>23</v>
      </c>
      <c r="D66" s="105"/>
      <c r="E66" s="105"/>
      <c r="F66" s="105"/>
      <c r="G66" s="105"/>
      <c r="H66" s="105"/>
      <c r="I66" s="105"/>
      <c r="J66" s="105"/>
      <c r="K66" s="105"/>
      <c r="L66" s="105"/>
      <c r="M66" s="105"/>
      <c r="N66" s="105"/>
      <c r="O66" s="105"/>
      <c r="P66" s="105"/>
      <c r="Q66" s="114"/>
      <c r="R66" s="119"/>
      <c r="S66" s="121" t="s">
        <v>18</v>
      </c>
      <c r="T66" s="119"/>
      <c r="U66" s="119"/>
      <c r="V66" s="123"/>
      <c r="W66" s="715"/>
      <c r="X66" s="716"/>
      <c r="Y66" s="716"/>
      <c r="Z66" s="716"/>
      <c r="AA66" s="716"/>
      <c r="AB66" s="716"/>
      <c r="AC66" s="716"/>
      <c r="AD66" s="716"/>
      <c r="AE66" s="716"/>
      <c r="AF66" s="716"/>
      <c r="AG66" s="716"/>
      <c r="AH66" s="716"/>
      <c r="AI66" s="716"/>
      <c r="AJ66" s="716"/>
      <c r="AK66" s="717"/>
      <c r="AL66" s="114"/>
      <c r="AM66" s="561"/>
    </row>
    <row r="67" spans="1:39" s="104" customFormat="1" ht="8.15" customHeight="1">
      <c r="A67" s="553"/>
      <c r="B67" s="114"/>
      <c r="C67" s="122"/>
      <c r="D67" s="105"/>
      <c r="E67" s="105"/>
      <c r="F67" s="105"/>
      <c r="G67" s="105"/>
      <c r="H67" s="105"/>
      <c r="I67" s="105"/>
      <c r="J67" s="105"/>
      <c r="K67" s="105"/>
      <c r="L67" s="105"/>
      <c r="M67" s="105"/>
      <c r="N67" s="105"/>
      <c r="O67" s="105"/>
      <c r="P67" s="105"/>
      <c r="Q67" s="114"/>
      <c r="R67" s="123"/>
      <c r="S67" s="118"/>
      <c r="T67" s="114"/>
      <c r="U67" s="119"/>
      <c r="V67" s="124"/>
      <c r="W67" s="113"/>
      <c r="X67" s="113"/>
      <c r="Y67" s="113"/>
      <c r="Z67" s="113"/>
      <c r="AA67" s="113"/>
      <c r="AB67" s="113"/>
      <c r="AC67" s="113"/>
      <c r="AD67" s="113"/>
      <c r="AE67" s="113"/>
      <c r="AF67" s="113"/>
      <c r="AG67" s="113"/>
      <c r="AH67" s="113"/>
      <c r="AI67" s="113"/>
      <c r="AJ67" s="113"/>
      <c r="AK67" s="113"/>
      <c r="AL67" s="125"/>
      <c r="AM67" s="561"/>
    </row>
    <row r="68" spans="1:39" s="104" customFormat="1" ht="12.75" customHeight="1">
      <c r="A68" s="553"/>
      <c r="B68" s="114"/>
      <c r="C68" s="120" t="s">
        <v>24</v>
      </c>
      <c r="D68" s="105"/>
      <c r="E68" s="105"/>
      <c r="F68" s="105"/>
      <c r="G68" s="105"/>
      <c r="H68" s="105"/>
      <c r="I68" s="105"/>
      <c r="J68" s="105"/>
      <c r="K68" s="105"/>
      <c r="L68" s="105"/>
      <c r="M68" s="105"/>
      <c r="N68" s="105"/>
      <c r="O68" s="105"/>
      <c r="P68" s="105"/>
      <c r="Q68" s="114"/>
      <c r="R68" s="119"/>
      <c r="S68" s="121" t="s">
        <v>18</v>
      </c>
      <c r="T68" s="119"/>
      <c r="U68" s="119"/>
      <c r="V68" s="733" t="s">
        <v>25</v>
      </c>
      <c r="W68" s="734"/>
      <c r="X68" s="734"/>
      <c r="Y68" s="734"/>
      <c r="Z68" s="734"/>
      <c r="AA68" s="734"/>
      <c r="AB68" s="734"/>
      <c r="AC68" s="734"/>
      <c r="AD68" s="734"/>
      <c r="AE68" s="734"/>
      <c r="AF68" s="734"/>
      <c r="AG68" s="734"/>
      <c r="AH68" s="734"/>
      <c r="AI68" s="734"/>
      <c r="AJ68" s="734"/>
      <c r="AK68" s="734"/>
      <c r="AL68" s="735"/>
      <c r="AM68" s="561"/>
    </row>
    <row r="69" spans="1:39" s="104" customFormat="1" ht="8.15" customHeight="1">
      <c r="A69" s="553"/>
      <c r="B69" s="114"/>
      <c r="C69" s="124"/>
      <c r="D69" s="113"/>
      <c r="E69" s="113"/>
      <c r="F69" s="113"/>
      <c r="G69" s="113"/>
      <c r="H69" s="113"/>
      <c r="I69" s="113"/>
      <c r="J69" s="113"/>
      <c r="K69" s="113"/>
      <c r="L69" s="113"/>
      <c r="M69" s="113"/>
      <c r="N69" s="113"/>
      <c r="O69" s="113"/>
      <c r="P69" s="113"/>
      <c r="Q69" s="125"/>
      <c r="R69" s="124"/>
      <c r="S69" s="118"/>
      <c r="T69" s="125"/>
      <c r="U69" s="119"/>
      <c r="V69" s="123"/>
      <c r="W69" s="105"/>
      <c r="X69" s="105"/>
      <c r="Y69" s="105"/>
      <c r="Z69" s="105"/>
      <c r="AA69" s="105"/>
      <c r="AB69" s="105"/>
      <c r="AC69" s="105"/>
      <c r="AD69" s="105"/>
      <c r="AE69" s="105"/>
      <c r="AF69" s="105"/>
      <c r="AG69" s="105"/>
      <c r="AH69" s="105"/>
      <c r="AI69" s="105"/>
      <c r="AJ69" s="105"/>
      <c r="AK69" s="105"/>
      <c r="AL69" s="114"/>
      <c r="AM69" s="561"/>
    </row>
    <row r="70" spans="1:39" s="104" customFormat="1" ht="12.75" customHeight="1">
      <c r="A70" s="553"/>
      <c r="B70" s="114"/>
      <c r="C70" s="126" t="s">
        <v>26</v>
      </c>
      <c r="D70" s="116"/>
      <c r="E70" s="116"/>
      <c r="F70" s="116"/>
      <c r="G70" s="116"/>
      <c r="H70" s="116"/>
      <c r="I70" s="116"/>
      <c r="J70" s="116"/>
      <c r="K70" s="116"/>
      <c r="L70" s="116"/>
      <c r="M70" s="116"/>
      <c r="N70" s="116"/>
      <c r="O70" s="116"/>
      <c r="P70" s="116"/>
      <c r="Q70" s="116"/>
      <c r="R70" s="718"/>
      <c r="S70" s="719"/>
      <c r="T70" s="720"/>
      <c r="U70" s="119"/>
      <c r="V70" s="123"/>
      <c r="W70" s="715"/>
      <c r="X70" s="716"/>
      <c r="Y70" s="716"/>
      <c r="Z70" s="716"/>
      <c r="AA70" s="716"/>
      <c r="AB70" s="716"/>
      <c r="AC70" s="716"/>
      <c r="AD70" s="716"/>
      <c r="AE70" s="716"/>
      <c r="AF70" s="716"/>
      <c r="AG70" s="716"/>
      <c r="AH70" s="716"/>
      <c r="AI70" s="716"/>
      <c r="AJ70" s="716"/>
      <c r="AK70" s="717"/>
      <c r="AL70" s="114"/>
      <c r="AM70" s="561"/>
    </row>
    <row r="71" spans="1:39" s="104" customFormat="1" ht="12.75" customHeight="1">
      <c r="A71" s="553"/>
      <c r="B71" s="114"/>
      <c r="C71" s="127" t="s">
        <v>27</v>
      </c>
      <c r="D71" s="113"/>
      <c r="E71" s="113"/>
      <c r="F71" s="113"/>
      <c r="G71" s="113"/>
      <c r="H71" s="113"/>
      <c r="I71" s="113"/>
      <c r="J71" s="113"/>
      <c r="K71" s="113"/>
      <c r="L71" s="113"/>
      <c r="M71" s="113"/>
      <c r="N71" s="113"/>
      <c r="O71" s="113"/>
      <c r="P71" s="113"/>
      <c r="Q71" s="113"/>
      <c r="R71" s="721">
        <v>5</v>
      </c>
      <c r="S71" s="722"/>
      <c r="T71" s="723"/>
      <c r="U71" s="119"/>
      <c r="V71" s="124"/>
      <c r="W71" s="113"/>
      <c r="X71" s="113"/>
      <c r="Y71" s="113"/>
      <c r="Z71" s="113"/>
      <c r="AA71" s="113"/>
      <c r="AB71" s="113"/>
      <c r="AC71" s="113"/>
      <c r="AD71" s="113"/>
      <c r="AE71" s="113"/>
      <c r="AF71" s="113"/>
      <c r="AG71" s="113"/>
      <c r="AH71" s="113"/>
      <c r="AI71" s="113"/>
      <c r="AJ71" s="113"/>
      <c r="AK71" s="113"/>
      <c r="AL71" s="125"/>
      <c r="AM71" s="561"/>
    </row>
    <row r="72" spans="1:39" s="104" customFormat="1" ht="12.75" customHeight="1">
      <c r="A72" s="553"/>
      <c r="B72" s="105"/>
      <c r="C72" s="116"/>
      <c r="D72" s="116"/>
      <c r="E72" s="116"/>
      <c r="F72" s="116"/>
      <c r="G72" s="116"/>
      <c r="H72" s="116"/>
      <c r="I72" s="116"/>
      <c r="J72" s="116"/>
      <c r="K72" s="116"/>
      <c r="L72" s="116"/>
      <c r="M72" s="116"/>
      <c r="N72" s="116"/>
      <c r="O72" s="116"/>
      <c r="P72" s="116"/>
      <c r="Q72" s="116"/>
      <c r="R72" s="116"/>
      <c r="S72" s="116"/>
      <c r="T72" s="116"/>
      <c r="U72" s="105"/>
      <c r="V72" s="116"/>
      <c r="W72" s="116"/>
      <c r="X72" s="116"/>
      <c r="Y72" s="116"/>
      <c r="Z72" s="116"/>
      <c r="AA72" s="116"/>
      <c r="AB72" s="116"/>
      <c r="AC72" s="116"/>
      <c r="AD72" s="116"/>
      <c r="AE72" s="116"/>
      <c r="AF72" s="116"/>
      <c r="AG72" s="116"/>
      <c r="AH72" s="116"/>
      <c r="AI72" s="116"/>
      <c r="AJ72" s="116"/>
      <c r="AK72" s="116"/>
      <c r="AL72" s="116"/>
      <c r="AM72" s="554"/>
    </row>
    <row r="73" spans="1:39" s="104" customFormat="1" ht="12.75" customHeight="1">
      <c r="A73" s="562"/>
      <c r="B73" s="563"/>
      <c r="C73" s="563"/>
      <c r="D73" s="563"/>
      <c r="E73" s="563"/>
      <c r="F73" s="563"/>
      <c r="G73" s="563"/>
      <c r="H73" s="563"/>
      <c r="I73" s="563"/>
      <c r="J73" s="563"/>
      <c r="K73" s="563"/>
      <c r="L73" s="563"/>
      <c r="M73" s="563"/>
      <c r="N73" s="563"/>
      <c r="O73" s="563"/>
      <c r="P73" s="563"/>
      <c r="Q73" s="563"/>
      <c r="R73" s="563"/>
      <c r="S73" s="563"/>
      <c r="T73" s="563"/>
      <c r="U73" s="563"/>
      <c r="V73" s="563"/>
      <c r="W73" s="563"/>
      <c r="X73" s="563"/>
      <c r="Y73" s="563"/>
      <c r="Z73" s="563"/>
      <c r="AA73" s="563"/>
      <c r="AB73" s="563"/>
      <c r="AC73" s="563"/>
      <c r="AD73" s="563"/>
      <c r="AE73" s="563"/>
      <c r="AF73" s="563"/>
      <c r="AG73" s="563"/>
      <c r="AH73" s="563"/>
      <c r="AI73" s="563"/>
      <c r="AJ73" s="563"/>
      <c r="AK73" s="563"/>
      <c r="AL73" s="563"/>
      <c r="AM73" s="564"/>
    </row>
  </sheetData>
  <sheetProtection sheet="false"/>
  <mergeCells count="24">
    <mergeCell ref="W70:AK70"/>
    <mergeCell ref="R70:T70"/>
    <mergeCell ref="R71:T71"/>
    <mergeCell ref="A22:AM22"/>
    <mergeCell ref="C53:AL53"/>
    <mergeCell ref="C57:T57"/>
    <mergeCell ref="V57:AL57"/>
    <mergeCell ref="V60:AL60"/>
    <mergeCell ref="H39:AK39"/>
    <mergeCell ref="J44:AK44"/>
    <mergeCell ref="V68:AL68"/>
    <mergeCell ref="V64:AL65"/>
    <mergeCell ref="W62:AK62"/>
    <mergeCell ref="W66:AK66"/>
    <mergeCell ref="N49:AJ49"/>
    <mergeCell ref="A28:AM28"/>
    <mergeCell ref="L33:AK33"/>
    <mergeCell ref="B15:AL15"/>
    <mergeCell ref="I3:Y3"/>
    <mergeCell ref="I5:Y5"/>
    <mergeCell ref="I7:Y7"/>
    <mergeCell ref="A21:AM21"/>
    <mergeCell ref="B25:K25"/>
    <mergeCell ref="M25:AK25"/>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pageSetUpPr fitToPage="1"/>
  </sheetPr>
  <dimension ref="B3:IW82"/>
  <sheetViews>
    <sheetView zoomScale="65" zoomScaleNormal="65" workbookViewId="0">
      <selection activeCell="T71" sqref="T71:AM72"/>
    </sheetView>
  </sheetViews>
  <sheetFormatPr baseColWidth="10" defaultColWidth="15.69921875" defaultRowHeight="12.75" customHeight="1"/>
  <cols>
    <col min="1" max="1" customWidth="true" style="473" width="2.296875" collapsed="true"/>
    <col min="2" max="2" customWidth="true" style="130" width="4.3984375" collapsed="true"/>
    <col min="3" max="3" customWidth="true" style="130" width="2.296875" collapsed="true"/>
    <col min="4" max="20" customWidth="true" style="130" width="3.3984375" collapsed="true"/>
    <col min="21" max="21" customWidth="true" style="130" width="4.09765625" collapsed="true"/>
    <col min="22" max="25" customWidth="true" style="130" width="3.3984375" collapsed="true"/>
    <col min="26" max="26" customWidth="true" style="130" width="4.796875" collapsed="true"/>
    <col min="27" max="30" customWidth="true" style="130" width="3.3984375" collapsed="true"/>
    <col min="31" max="31" customWidth="true" style="130" width="1.796875" collapsed="true"/>
    <col min="32" max="37" customWidth="true" style="130" width="3.3984375" collapsed="true"/>
    <col min="38" max="38" customWidth="true" style="130" width="3.69921875" collapsed="true"/>
    <col min="39" max="39" customWidth="true" style="130" width="3.3984375" collapsed="true"/>
    <col min="40" max="40" customWidth="true" style="130" width="3.296875" collapsed="true"/>
    <col min="41" max="257" customWidth="true" style="130" width="15.69921875" collapsed="true"/>
    <col min="258" max="16384" style="473" width="15.69921875" collapsed="true"/>
  </cols>
  <sheetData>
    <row r="3" spans="2:257" ht="12.75" customHeight="1">
      <c r="B3" s="129"/>
      <c r="C3" s="129"/>
      <c r="D3" s="129"/>
      <c r="E3" s="129"/>
      <c r="F3" s="129"/>
      <c r="G3" s="129"/>
      <c r="H3" s="129"/>
      <c r="I3" s="185" t="s">
        <v>28</v>
      </c>
      <c r="J3" s="805" t="str">
        <f>+'Page de garde'!L33</f>
        <v>IAMGOLD BOTO SA</v>
      </c>
      <c r="K3" s="805"/>
      <c r="L3" s="805"/>
      <c r="M3" s="805"/>
      <c r="N3" s="805"/>
      <c r="O3" s="805"/>
      <c r="P3" s="805"/>
      <c r="Q3" s="805"/>
      <c r="R3" s="805"/>
      <c r="S3" s="805"/>
      <c r="T3" s="805"/>
      <c r="U3" s="805"/>
      <c r="V3" s="805"/>
      <c r="W3" s="805"/>
      <c r="X3" s="805"/>
      <c r="Y3" s="805"/>
      <c r="Z3" s="805"/>
      <c r="AA3" s="805"/>
      <c r="AB3" s="805"/>
      <c r="AC3" s="805"/>
      <c r="AD3" s="805"/>
      <c r="AE3" s="805"/>
      <c r="AF3" s="805"/>
      <c r="AG3" s="805"/>
      <c r="AH3" s="805"/>
      <c r="AI3" s="805"/>
      <c r="AJ3" s="805"/>
      <c r="AK3" s="805"/>
      <c r="AL3" s="805"/>
      <c r="AM3" s="805"/>
      <c r="AN3" s="129"/>
    </row>
    <row r="4" spans="2:257" ht="8.15" customHeight="1">
      <c r="B4" s="129"/>
      <c r="C4" s="129"/>
      <c r="D4" s="129"/>
      <c r="E4" s="129"/>
      <c r="F4" s="129"/>
      <c r="G4" s="129"/>
      <c r="H4" s="129"/>
      <c r="I4" s="329"/>
      <c r="J4" s="474"/>
      <c r="K4" s="132"/>
      <c r="L4" s="133"/>
      <c r="M4" s="133"/>
      <c r="N4" s="133"/>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29"/>
    </row>
    <row r="5" spans="2:257" ht="8.15" customHeight="1">
      <c r="B5" s="129"/>
      <c r="C5" s="129"/>
      <c r="D5" s="129"/>
      <c r="E5" s="129"/>
      <c r="F5" s="129"/>
      <c r="G5" s="129"/>
      <c r="H5" s="129"/>
      <c r="I5" s="329"/>
      <c r="J5" s="475"/>
      <c r="K5" s="476"/>
      <c r="L5" s="477"/>
      <c r="M5" s="477"/>
      <c r="N5" s="477"/>
      <c r="O5" s="478"/>
      <c r="P5" s="478"/>
      <c r="Q5" s="478"/>
      <c r="R5" s="478"/>
      <c r="S5" s="478"/>
      <c r="T5" s="478"/>
      <c r="U5" s="478"/>
      <c r="V5" s="478"/>
      <c r="W5" s="478"/>
      <c r="X5" s="478"/>
      <c r="Y5" s="478"/>
      <c r="Z5" s="332"/>
      <c r="AA5" s="332"/>
      <c r="AB5" s="332"/>
      <c r="AC5" s="332"/>
      <c r="AD5" s="478"/>
      <c r="AE5" s="478"/>
      <c r="AF5" s="478"/>
      <c r="AG5" s="478"/>
      <c r="AH5" s="478"/>
      <c r="AI5" s="478"/>
      <c r="AJ5" s="478"/>
      <c r="AK5" s="478"/>
      <c r="AL5" s="478"/>
      <c r="AM5" s="478"/>
      <c r="AN5" s="129"/>
    </row>
    <row r="6" spans="2:257" ht="12.75" customHeight="1">
      <c r="B6" s="129"/>
      <c r="C6" s="129"/>
      <c r="D6" s="129"/>
      <c r="E6" s="129"/>
      <c r="F6" s="129"/>
      <c r="G6" s="129"/>
      <c r="H6" s="129"/>
      <c r="I6" s="185" t="s">
        <v>29</v>
      </c>
      <c r="J6" s="805" t="str">
        <f>'Page de garde'!J44</f>
        <v>PARCELLE 08 ZONE 7 ALMADIES DERRIERE HOTEL LODGE</v>
      </c>
      <c r="K6" s="806"/>
      <c r="L6" s="806"/>
      <c r="M6" s="806"/>
      <c r="N6" s="806"/>
      <c r="O6" s="806"/>
      <c r="P6" s="806"/>
      <c r="Q6" s="806"/>
      <c r="R6" s="806"/>
      <c r="S6" s="806"/>
      <c r="T6" s="806"/>
      <c r="U6" s="806"/>
      <c r="V6" s="806"/>
      <c r="W6" s="806"/>
      <c r="X6" s="806"/>
      <c r="Y6" s="806"/>
      <c r="Z6" s="129"/>
      <c r="AA6" s="129"/>
      <c r="AB6" s="129"/>
      <c r="AC6" s="185" t="s">
        <v>30</v>
      </c>
      <c r="AD6" s="805">
        <f>+'Page de garde'!H39</f>
        <v>0</v>
      </c>
      <c r="AE6" s="806"/>
      <c r="AF6" s="806"/>
      <c r="AG6" s="806"/>
      <c r="AH6" s="806"/>
      <c r="AI6" s="806"/>
      <c r="AJ6" s="806"/>
      <c r="AK6" s="806"/>
      <c r="AL6" s="806"/>
      <c r="AM6" s="806"/>
      <c r="AN6" s="129"/>
    </row>
    <row r="7" spans="2:257" ht="8.15" customHeight="1">
      <c r="B7" s="129"/>
      <c r="C7" s="129"/>
      <c r="D7" s="129"/>
      <c r="E7" s="129"/>
      <c r="F7" s="129"/>
      <c r="G7" s="129"/>
      <c r="H7" s="129"/>
      <c r="I7" s="329"/>
      <c r="J7" s="474"/>
      <c r="K7" s="474"/>
      <c r="L7" s="479"/>
      <c r="M7" s="132"/>
      <c r="N7" s="132"/>
      <c r="O7" s="134"/>
      <c r="P7" s="134"/>
      <c r="Q7" s="134"/>
      <c r="R7" s="134"/>
      <c r="S7" s="134"/>
      <c r="T7" s="134"/>
      <c r="U7" s="134"/>
      <c r="V7" s="134"/>
      <c r="W7" s="134"/>
      <c r="X7" s="134"/>
      <c r="Y7" s="134"/>
      <c r="Z7" s="129"/>
      <c r="AA7" s="129"/>
      <c r="AB7" s="129"/>
      <c r="AC7" s="129"/>
      <c r="AD7" s="134"/>
      <c r="AE7" s="134"/>
      <c r="AF7" s="134"/>
      <c r="AG7" s="134"/>
      <c r="AH7" s="134"/>
      <c r="AI7" s="134"/>
      <c r="AJ7" s="134"/>
      <c r="AK7" s="134"/>
      <c r="AL7" s="134"/>
      <c r="AM7" s="134"/>
      <c r="AN7" s="129"/>
    </row>
    <row r="8" spans="2:257" ht="8.15" customHeight="1">
      <c r="B8" s="129"/>
      <c r="C8" s="129"/>
      <c r="D8" s="129"/>
      <c r="E8" s="129"/>
      <c r="F8" s="129"/>
      <c r="G8" s="129"/>
      <c r="H8" s="129"/>
      <c r="I8" s="329"/>
      <c r="J8" s="475"/>
      <c r="K8" s="475"/>
      <c r="L8" s="480"/>
      <c r="M8" s="476"/>
      <c r="N8" s="476"/>
      <c r="O8" s="478"/>
      <c r="P8" s="478"/>
      <c r="Q8" s="332"/>
      <c r="R8" s="332"/>
      <c r="S8" s="332"/>
      <c r="T8" s="332"/>
      <c r="U8" s="332"/>
      <c r="V8" s="478"/>
      <c r="W8" s="478"/>
      <c r="X8" s="478"/>
      <c r="Y8" s="478"/>
      <c r="Z8" s="481"/>
      <c r="AA8" s="481"/>
      <c r="AB8" s="481"/>
      <c r="AC8" s="129"/>
      <c r="AD8" s="332"/>
      <c r="AE8" s="332"/>
      <c r="AF8" s="332"/>
      <c r="AG8" s="332"/>
      <c r="AH8" s="478"/>
      <c r="AI8" s="478"/>
      <c r="AJ8" s="478"/>
      <c r="AK8" s="478"/>
      <c r="AL8" s="478"/>
      <c r="AM8" s="478"/>
      <c r="AN8" s="129"/>
    </row>
    <row r="9" spans="2:257" ht="12.75" customHeight="1">
      <c r="B9" s="129"/>
      <c r="C9" s="129"/>
      <c r="D9" s="129"/>
      <c r="E9" s="129"/>
      <c r="F9" s="129"/>
      <c r="G9" s="129"/>
      <c r="H9" s="129"/>
      <c r="I9" s="185" t="s">
        <v>31</v>
      </c>
      <c r="J9" s="807" t="str">
        <f>'Page de garde'!N49</f>
        <v>007768007</v>
      </c>
      <c r="K9" s="806"/>
      <c r="L9" s="806"/>
      <c r="M9" s="806"/>
      <c r="N9" s="806"/>
      <c r="O9" s="806"/>
      <c r="P9" s="806"/>
      <c r="Q9" s="129"/>
      <c r="R9" s="129"/>
      <c r="S9" s="129"/>
      <c r="T9" s="129"/>
      <c r="U9" s="185" t="s">
        <v>32</v>
      </c>
      <c r="V9" s="808">
        <f>+'Page de garde'!M25</f>
        <v>44926</v>
      </c>
      <c r="W9" s="806"/>
      <c r="X9" s="806"/>
      <c r="Y9" s="806"/>
      <c r="Z9" s="806"/>
      <c r="AA9" s="806"/>
      <c r="AB9" s="806"/>
      <c r="AC9" s="129"/>
      <c r="AD9" s="129"/>
      <c r="AE9" s="129"/>
      <c r="AF9" s="129"/>
      <c r="AG9" s="185" t="s">
        <v>33</v>
      </c>
      <c r="AH9" s="805">
        <v>12</v>
      </c>
      <c r="AI9" s="806"/>
      <c r="AJ9" s="806"/>
      <c r="AK9" s="806"/>
      <c r="AL9" s="806"/>
      <c r="AM9" s="806"/>
      <c r="AN9" s="129"/>
    </row>
    <row r="10" spans="2:257" ht="8.15" customHeight="1">
      <c r="B10" s="481"/>
      <c r="C10" s="481"/>
      <c r="D10" s="481"/>
      <c r="E10" s="481"/>
      <c r="F10" s="481"/>
      <c r="G10" s="481"/>
      <c r="H10" s="481"/>
      <c r="I10" s="482"/>
      <c r="J10" s="483"/>
      <c r="K10" s="484"/>
      <c r="L10" s="485"/>
      <c r="M10" s="485"/>
      <c r="N10" s="485"/>
      <c r="O10" s="483"/>
      <c r="P10" s="483"/>
      <c r="Q10" s="481"/>
      <c r="R10" s="481"/>
      <c r="S10" s="481"/>
      <c r="T10" s="481"/>
      <c r="U10" s="481"/>
      <c r="V10" s="483"/>
      <c r="W10" s="483"/>
      <c r="X10" s="483"/>
      <c r="Y10" s="483"/>
      <c r="Z10" s="483"/>
      <c r="AA10" s="483"/>
      <c r="AB10" s="483"/>
      <c r="AC10" s="481"/>
      <c r="AD10" s="481"/>
      <c r="AE10" s="481"/>
      <c r="AF10" s="481"/>
      <c r="AG10" s="481"/>
      <c r="AH10" s="483"/>
      <c r="AI10" s="483"/>
      <c r="AJ10" s="483"/>
      <c r="AK10" s="483"/>
      <c r="AL10" s="483"/>
      <c r="AM10" s="483"/>
      <c r="AN10" s="481"/>
    </row>
    <row r="11" spans="2:257" s="492" customFormat="1" ht="8.15" customHeight="1">
      <c r="B11" s="486"/>
      <c r="C11" s="487"/>
      <c r="D11" s="487"/>
      <c r="E11" s="487"/>
      <c r="F11" s="487"/>
      <c r="G11" s="487"/>
      <c r="H11" s="487"/>
      <c r="I11" s="488"/>
      <c r="J11" s="487"/>
      <c r="K11" s="489"/>
      <c r="L11" s="490"/>
      <c r="M11" s="490"/>
      <c r="N11" s="490"/>
      <c r="O11" s="487"/>
      <c r="P11" s="487"/>
      <c r="Q11" s="487"/>
      <c r="R11" s="487"/>
      <c r="S11" s="487"/>
      <c r="T11" s="487"/>
      <c r="U11" s="487"/>
      <c r="V11" s="487"/>
      <c r="W11" s="487"/>
      <c r="X11" s="487"/>
      <c r="Y11" s="491"/>
      <c r="Z11" s="491"/>
      <c r="AA11" s="491"/>
      <c r="AB11" s="491"/>
      <c r="AC11" s="491"/>
      <c r="AD11" s="491"/>
      <c r="AE11" s="487"/>
      <c r="AF11" s="487"/>
      <c r="AG11" s="487"/>
      <c r="AH11" s="491"/>
      <c r="AI11" s="491"/>
      <c r="AJ11" s="491"/>
      <c r="AK11" s="491"/>
      <c r="AL11" s="491"/>
      <c r="AM11" s="491"/>
      <c r="AN11" s="487"/>
      <c r="AO11" s="334"/>
      <c r="AP11" s="334"/>
      <c r="AQ11" s="334"/>
      <c r="AR11" s="334"/>
      <c r="AS11" s="334"/>
      <c r="AT11" s="334"/>
      <c r="AU11" s="334"/>
      <c r="AV11" s="334"/>
      <c r="AW11" s="334"/>
      <c r="AX11" s="334"/>
      <c r="AY11" s="334"/>
      <c r="AZ11" s="334"/>
      <c r="BA11" s="334"/>
      <c r="BB11" s="334"/>
      <c r="BC11" s="334"/>
      <c r="BD11" s="334"/>
      <c r="BE11" s="334"/>
      <c r="BF11" s="334"/>
      <c r="BG11" s="334"/>
      <c r="BH11" s="334"/>
      <c r="BI11" s="334"/>
      <c r="BJ11" s="334"/>
      <c r="BK11" s="334"/>
      <c r="BL11" s="334"/>
      <c r="BM11" s="334"/>
      <c r="BN11" s="334"/>
      <c r="BO11" s="334"/>
      <c r="BP11" s="334"/>
      <c r="BQ11" s="334"/>
      <c r="BR11" s="334"/>
      <c r="BS11" s="334"/>
      <c r="BT11" s="334"/>
      <c r="BU11" s="334"/>
      <c r="BV11" s="334"/>
      <c r="BW11" s="334"/>
      <c r="BX11" s="334"/>
      <c r="BY11" s="334"/>
      <c r="BZ11" s="334"/>
      <c r="CA11" s="334"/>
      <c r="CB11" s="334"/>
      <c r="CC11" s="334"/>
      <c r="CD11" s="334"/>
      <c r="CE11" s="334"/>
      <c r="CF11" s="334"/>
      <c r="CG11" s="334"/>
      <c r="CH11" s="334"/>
      <c r="CI11" s="334"/>
      <c r="CJ11" s="334"/>
      <c r="CK11" s="334"/>
      <c r="CL11" s="334"/>
      <c r="CM11" s="334"/>
      <c r="CN11" s="334"/>
      <c r="CO11" s="334"/>
      <c r="CP11" s="334"/>
      <c r="CQ11" s="334"/>
      <c r="CR11" s="334"/>
      <c r="CS11" s="334"/>
      <c r="CT11" s="334"/>
      <c r="CU11" s="334"/>
      <c r="CV11" s="334"/>
      <c r="CW11" s="334"/>
      <c r="CX11" s="334"/>
      <c r="CY11" s="334"/>
      <c r="CZ11" s="334"/>
      <c r="DA11" s="334"/>
      <c r="DB11" s="334"/>
      <c r="DC11" s="334"/>
      <c r="DD11" s="334"/>
      <c r="DE11" s="334"/>
      <c r="DF11" s="334"/>
      <c r="DG11" s="334"/>
      <c r="DH11" s="334"/>
      <c r="DI11" s="334"/>
      <c r="DJ11" s="334"/>
      <c r="DK11" s="334"/>
      <c r="DL11" s="334"/>
      <c r="DM11" s="334"/>
      <c r="DN11" s="334"/>
      <c r="DO11" s="334"/>
      <c r="DP11" s="334"/>
      <c r="DQ11" s="334"/>
      <c r="DR11" s="334"/>
      <c r="DS11" s="334"/>
      <c r="DT11" s="334"/>
      <c r="DU11" s="334"/>
      <c r="DV11" s="334"/>
      <c r="DW11" s="334"/>
      <c r="DX11" s="334"/>
      <c r="DY11" s="334"/>
      <c r="DZ11" s="334"/>
      <c r="EA11" s="334"/>
      <c r="EB11" s="334"/>
      <c r="EC11" s="334"/>
      <c r="ED11" s="334"/>
      <c r="EE11" s="334"/>
      <c r="EF11" s="334"/>
      <c r="EG11" s="334"/>
      <c r="EH11" s="334"/>
      <c r="EI11" s="334"/>
      <c r="EJ11" s="334"/>
      <c r="EK11" s="334"/>
      <c r="EL11" s="334"/>
      <c r="EM11" s="334"/>
      <c r="EN11" s="334"/>
      <c r="EO11" s="334"/>
      <c r="EP11" s="334"/>
      <c r="EQ11" s="334"/>
      <c r="ER11" s="334"/>
      <c r="ES11" s="334"/>
      <c r="ET11" s="334"/>
      <c r="EU11" s="334"/>
      <c r="EV11" s="334"/>
      <c r="EW11" s="334"/>
      <c r="EX11" s="334"/>
      <c r="EY11" s="334"/>
      <c r="EZ11" s="334"/>
      <c r="FA11" s="334"/>
      <c r="FB11" s="334"/>
      <c r="FC11" s="334"/>
      <c r="FD11" s="334"/>
      <c r="FE11" s="334"/>
      <c r="FF11" s="334"/>
      <c r="FG11" s="334"/>
      <c r="FH11" s="334"/>
      <c r="FI11" s="334"/>
      <c r="FJ11" s="334"/>
      <c r="FK11" s="334"/>
      <c r="FL11" s="334"/>
      <c r="FM11" s="334"/>
      <c r="FN11" s="334"/>
      <c r="FO11" s="334"/>
      <c r="FP11" s="334"/>
      <c r="FQ11" s="334"/>
      <c r="FR11" s="334"/>
      <c r="FS11" s="334"/>
      <c r="FT11" s="334"/>
      <c r="FU11" s="334"/>
      <c r="FV11" s="334"/>
      <c r="FW11" s="334"/>
      <c r="FX11" s="334"/>
      <c r="FY11" s="334"/>
      <c r="FZ11" s="334"/>
      <c r="GA11" s="334"/>
      <c r="GB11" s="334"/>
      <c r="GC11" s="334"/>
      <c r="GD11" s="334"/>
      <c r="GE11" s="334"/>
      <c r="GF11" s="334"/>
      <c r="GG11" s="334"/>
      <c r="GH11" s="334"/>
      <c r="GI11" s="334"/>
      <c r="GJ11" s="334"/>
      <c r="GK11" s="334"/>
      <c r="GL11" s="334"/>
      <c r="GM11" s="334"/>
      <c r="GN11" s="334"/>
      <c r="GO11" s="334"/>
      <c r="GP11" s="334"/>
      <c r="GQ11" s="334"/>
      <c r="GR11" s="334"/>
      <c r="GS11" s="334"/>
      <c r="GT11" s="334"/>
      <c r="GU11" s="334"/>
      <c r="GV11" s="334"/>
      <c r="GW11" s="334"/>
      <c r="GX11" s="334"/>
      <c r="GY11" s="334"/>
      <c r="GZ11" s="334"/>
      <c r="HA11" s="334"/>
      <c r="HB11" s="334"/>
      <c r="HC11" s="334"/>
      <c r="HD11" s="334"/>
      <c r="HE11" s="334"/>
      <c r="HF11" s="334"/>
      <c r="HG11" s="334"/>
      <c r="HH11" s="334"/>
      <c r="HI11" s="334"/>
      <c r="HJ11" s="334"/>
      <c r="HK11" s="334"/>
      <c r="HL11" s="334"/>
      <c r="HM11" s="334"/>
      <c r="HN11" s="334"/>
      <c r="HO11" s="334"/>
      <c r="HP11" s="334"/>
      <c r="HQ11" s="334"/>
      <c r="HR11" s="334"/>
      <c r="HS11" s="334"/>
      <c r="HT11" s="334"/>
      <c r="HU11" s="334"/>
      <c r="HV11" s="334"/>
      <c r="HW11" s="334"/>
      <c r="HX11" s="334"/>
      <c r="HY11" s="334"/>
      <c r="HZ11" s="334"/>
      <c r="IA11" s="334"/>
      <c r="IB11" s="334"/>
      <c r="IC11" s="334"/>
      <c r="ID11" s="334"/>
      <c r="IE11" s="334"/>
      <c r="IF11" s="334"/>
      <c r="IG11" s="334"/>
      <c r="IH11" s="334"/>
      <c r="II11" s="334"/>
      <c r="IJ11" s="334"/>
      <c r="IK11" s="334"/>
      <c r="IL11" s="334"/>
      <c r="IM11" s="334"/>
      <c r="IN11" s="334"/>
      <c r="IO11" s="334"/>
      <c r="IP11" s="334"/>
      <c r="IQ11" s="334"/>
      <c r="IR11" s="334"/>
      <c r="IS11" s="334"/>
      <c r="IT11" s="334"/>
      <c r="IU11" s="334"/>
      <c r="IV11" s="334"/>
      <c r="IW11" s="334"/>
    </row>
    <row r="12" spans="2:257" ht="12.75" customHeight="1">
      <c r="B12" s="192" t="s">
        <v>34</v>
      </c>
      <c r="C12" s="142"/>
      <c r="D12" s="129"/>
      <c r="E12" s="150" t="s">
        <v>35</v>
      </c>
      <c r="F12" s="129"/>
      <c r="G12" s="129"/>
      <c r="H12" s="129"/>
      <c r="I12" s="129"/>
      <c r="J12" s="129"/>
      <c r="K12" s="129"/>
      <c r="L12" s="129"/>
      <c r="M12" s="129"/>
      <c r="N12" s="129"/>
      <c r="O12" s="129"/>
      <c r="P12" s="129"/>
      <c r="Q12" s="129"/>
      <c r="R12" s="129"/>
      <c r="S12" s="129"/>
      <c r="T12" s="129"/>
      <c r="U12" s="129"/>
      <c r="V12" s="129"/>
      <c r="W12" s="330" t="s">
        <v>36</v>
      </c>
      <c r="X12" s="129"/>
      <c r="Y12" s="809">
        <v>44562</v>
      </c>
      <c r="Z12" s="809"/>
      <c r="AA12" s="809"/>
      <c r="AB12" s="809"/>
      <c r="AC12" s="809"/>
      <c r="AD12" s="809"/>
      <c r="AE12" s="129"/>
      <c r="AF12" s="330" t="s">
        <v>37</v>
      </c>
      <c r="AG12" s="129"/>
      <c r="AH12" s="809">
        <v>44926</v>
      </c>
      <c r="AI12" s="810"/>
      <c r="AJ12" s="810"/>
      <c r="AK12" s="810"/>
      <c r="AL12" s="810"/>
      <c r="AM12" s="810"/>
      <c r="AN12" s="129"/>
    </row>
    <row r="13" spans="2:257" ht="8.15" customHeight="1">
      <c r="B13" s="493"/>
      <c r="C13" s="481"/>
      <c r="D13" s="481"/>
      <c r="E13" s="481"/>
      <c r="F13" s="481"/>
      <c r="G13" s="481"/>
      <c r="H13" s="481"/>
      <c r="I13" s="481"/>
      <c r="J13" s="481"/>
      <c r="K13" s="481"/>
      <c r="L13" s="481"/>
      <c r="M13" s="481"/>
      <c r="N13" s="481"/>
      <c r="O13" s="481"/>
      <c r="P13" s="481"/>
      <c r="Q13" s="481"/>
      <c r="R13" s="481"/>
      <c r="S13" s="481"/>
      <c r="T13" s="481"/>
      <c r="U13" s="481"/>
      <c r="V13" s="481"/>
      <c r="W13" s="481"/>
      <c r="X13" s="481"/>
      <c r="Y13" s="483"/>
      <c r="Z13" s="483"/>
      <c r="AA13" s="483"/>
      <c r="AB13" s="483"/>
      <c r="AC13" s="483"/>
      <c r="AD13" s="483"/>
      <c r="AE13" s="481"/>
      <c r="AF13" s="481"/>
      <c r="AG13" s="481"/>
      <c r="AH13" s="483"/>
      <c r="AI13" s="483"/>
      <c r="AJ13" s="483"/>
      <c r="AK13" s="483"/>
      <c r="AL13" s="483"/>
      <c r="AM13" s="483"/>
      <c r="AN13" s="481"/>
    </row>
    <row r="14" spans="2:257" s="492" customFormat="1" ht="8.15" customHeight="1">
      <c r="B14" s="486"/>
      <c r="C14" s="487"/>
      <c r="D14" s="487"/>
      <c r="E14" s="487"/>
      <c r="F14" s="487"/>
      <c r="G14" s="487"/>
      <c r="H14" s="487"/>
      <c r="I14" s="487"/>
      <c r="J14" s="487"/>
      <c r="K14" s="487"/>
      <c r="L14" s="487"/>
      <c r="M14" s="487"/>
      <c r="N14" s="487"/>
      <c r="O14" s="487"/>
      <c r="P14" s="487"/>
      <c r="Q14" s="487"/>
      <c r="R14" s="487"/>
      <c r="S14" s="487"/>
      <c r="T14" s="487"/>
      <c r="U14" s="491"/>
      <c r="V14" s="491"/>
      <c r="W14" s="491"/>
      <c r="X14" s="491"/>
      <c r="Y14" s="491"/>
      <c r="Z14" s="491"/>
      <c r="AA14" s="487"/>
      <c r="AB14" s="487"/>
      <c r="AC14" s="487"/>
      <c r="AD14" s="487"/>
      <c r="AE14" s="487"/>
      <c r="AF14" s="487"/>
      <c r="AG14" s="487"/>
      <c r="AH14" s="487"/>
      <c r="AI14" s="487"/>
      <c r="AJ14" s="487"/>
      <c r="AK14" s="487"/>
      <c r="AL14" s="487"/>
      <c r="AM14" s="487"/>
      <c r="AN14" s="487"/>
      <c r="AO14" s="334"/>
      <c r="AP14" s="334"/>
      <c r="AQ14" s="334"/>
      <c r="AR14" s="334"/>
      <c r="AS14" s="334"/>
      <c r="AT14" s="334"/>
      <c r="AU14" s="334"/>
      <c r="AV14" s="334"/>
      <c r="AW14" s="334"/>
      <c r="AX14" s="334"/>
      <c r="AY14" s="334"/>
      <c r="AZ14" s="334"/>
      <c r="BA14" s="334"/>
      <c r="BB14" s="334"/>
      <c r="BC14" s="334"/>
      <c r="BD14" s="334"/>
      <c r="BE14" s="334"/>
      <c r="BF14" s="334"/>
      <c r="BG14" s="334"/>
      <c r="BH14" s="334"/>
      <c r="BI14" s="334"/>
      <c r="BJ14" s="334"/>
      <c r="BK14" s="334"/>
      <c r="BL14" s="334"/>
      <c r="BM14" s="334"/>
      <c r="BN14" s="334"/>
      <c r="BO14" s="334"/>
      <c r="BP14" s="334"/>
      <c r="BQ14" s="334"/>
      <c r="BR14" s="334"/>
      <c r="BS14" s="334"/>
      <c r="BT14" s="334"/>
      <c r="BU14" s="334"/>
      <c r="BV14" s="334"/>
      <c r="BW14" s="334"/>
      <c r="BX14" s="334"/>
      <c r="BY14" s="334"/>
      <c r="BZ14" s="334"/>
      <c r="CA14" s="334"/>
      <c r="CB14" s="334"/>
      <c r="CC14" s="334"/>
      <c r="CD14" s="334"/>
      <c r="CE14" s="334"/>
      <c r="CF14" s="334"/>
      <c r="CG14" s="334"/>
      <c r="CH14" s="334"/>
      <c r="CI14" s="334"/>
      <c r="CJ14" s="334"/>
      <c r="CK14" s="334"/>
      <c r="CL14" s="334"/>
      <c r="CM14" s="334"/>
      <c r="CN14" s="334"/>
      <c r="CO14" s="334"/>
      <c r="CP14" s="334"/>
      <c r="CQ14" s="334"/>
      <c r="CR14" s="334"/>
      <c r="CS14" s="334"/>
      <c r="CT14" s="334"/>
      <c r="CU14" s="334"/>
      <c r="CV14" s="334"/>
      <c r="CW14" s="334"/>
      <c r="CX14" s="334"/>
      <c r="CY14" s="334"/>
      <c r="CZ14" s="334"/>
      <c r="DA14" s="334"/>
      <c r="DB14" s="334"/>
      <c r="DC14" s="334"/>
      <c r="DD14" s="334"/>
      <c r="DE14" s="334"/>
      <c r="DF14" s="334"/>
      <c r="DG14" s="334"/>
      <c r="DH14" s="334"/>
      <c r="DI14" s="334"/>
      <c r="DJ14" s="334"/>
      <c r="DK14" s="334"/>
      <c r="DL14" s="334"/>
      <c r="DM14" s="334"/>
      <c r="DN14" s="334"/>
      <c r="DO14" s="334"/>
      <c r="DP14" s="334"/>
      <c r="DQ14" s="334"/>
      <c r="DR14" s="334"/>
      <c r="DS14" s="334"/>
      <c r="DT14" s="334"/>
      <c r="DU14" s="334"/>
      <c r="DV14" s="334"/>
      <c r="DW14" s="334"/>
      <c r="DX14" s="334"/>
      <c r="DY14" s="334"/>
      <c r="DZ14" s="334"/>
      <c r="EA14" s="334"/>
      <c r="EB14" s="334"/>
      <c r="EC14" s="334"/>
      <c r="ED14" s="334"/>
      <c r="EE14" s="334"/>
      <c r="EF14" s="334"/>
      <c r="EG14" s="334"/>
      <c r="EH14" s="334"/>
      <c r="EI14" s="334"/>
      <c r="EJ14" s="334"/>
      <c r="EK14" s="334"/>
      <c r="EL14" s="334"/>
      <c r="EM14" s="334"/>
      <c r="EN14" s="334"/>
      <c r="EO14" s="334"/>
      <c r="EP14" s="334"/>
      <c r="EQ14" s="334"/>
      <c r="ER14" s="334"/>
      <c r="ES14" s="334"/>
      <c r="ET14" s="334"/>
      <c r="EU14" s="334"/>
      <c r="EV14" s="334"/>
      <c r="EW14" s="334"/>
      <c r="EX14" s="334"/>
      <c r="EY14" s="334"/>
      <c r="EZ14" s="334"/>
      <c r="FA14" s="334"/>
      <c r="FB14" s="334"/>
      <c r="FC14" s="334"/>
      <c r="FD14" s="334"/>
      <c r="FE14" s="334"/>
      <c r="FF14" s="334"/>
      <c r="FG14" s="334"/>
      <c r="FH14" s="334"/>
      <c r="FI14" s="334"/>
      <c r="FJ14" s="334"/>
      <c r="FK14" s="334"/>
      <c r="FL14" s="334"/>
      <c r="FM14" s="334"/>
      <c r="FN14" s="334"/>
      <c r="FO14" s="334"/>
      <c r="FP14" s="334"/>
      <c r="FQ14" s="334"/>
      <c r="FR14" s="334"/>
      <c r="FS14" s="334"/>
      <c r="FT14" s="334"/>
      <c r="FU14" s="334"/>
      <c r="FV14" s="334"/>
      <c r="FW14" s="334"/>
      <c r="FX14" s="334"/>
      <c r="FY14" s="334"/>
      <c r="FZ14" s="334"/>
      <c r="GA14" s="334"/>
      <c r="GB14" s="334"/>
      <c r="GC14" s="334"/>
      <c r="GD14" s="334"/>
      <c r="GE14" s="334"/>
      <c r="GF14" s="334"/>
      <c r="GG14" s="334"/>
      <c r="GH14" s="334"/>
      <c r="GI14" s="334"/>
      <c r="GJ14" s="334"/>
      <c r="GK14" s="334"/>
      <c r="GL14" s="334"/>
      <c r="GM14" s="334"/>
      <c r="GN14" s="334"/>
      <c r="GO14" s="334"/>
      <c r="GP14" s="334"/>
      <c r="GQ14" s="334"/>
      <c r="GR14" s="334"/>
      <c r="GS14" s="334"/>
      <c r="GT14" s="334"/>
      <c r="GU14" s="334"/>
      <c r="GV14" s="334"/>
      <c r="GW14" s="334"/>
      <c r="GX14" s="334"/>
      <c r="GY14" s="334"/>
      <c r="GZ14" s="334"/>
      <c r="HA14" s="334"/>
      <c r="HB14" s="334"/>
      <c r="HC14" s="334"/>
      <c r="HD14" s="334"/>
      <c r="HE14" s="334"/>
      <c r="HF14" s="334"/>
      <c r="HG14" s="334"/>
      <c r="HH14" s="334"/>
      <c r="HI14" s="334"/>
      <c r="HJ14" s="334"/>
      <c r="HK14" s="334"/>
      <c r="HL14" s="334"/>
      <c r="HM14" s="334"/>
      <c r="HN14" s="334"/>
      <c r="HO14" s="334"/>
      <c r="HP14" s="334"/>
      <c r="HQ14" s="334"/>
      <c r="HR14" s="334"/>
      <c r="HS14" s="334"/>
      <c r="HT14" s="334"/>
      <c r="HU14" s="334"/>
      <c r="HV14" s="334"/>
      <c r="HW14" s="334"/>
      <c r="HX14" s="334"/>
      <c r="HY14" s="334"/>
      <c r="HZ14" s="334"/>
      <c r="IA14" s="334"/>
      <c r="IB14" s="334"/>
      <c r="IC14" s="334"/>
      <c r="ID14" s="334"/>
      <c r="IE14" s="334"/>
      <c r="IF14" s="334"/>
      <c r="IG14" s="334"/>
      <c r="IH14" s="334"/>
      <c r="II14" s="334"/>
      <c r="IJ14" s="334"/>
      <c r="IK14" s="334"/>
      <c r="IL14" s="334"/>
      <c r="IM14" s="334"/>
      <c r="IN14" s="334"/>
      <c r="IO14" s="334"/>
      <c r="IP14" s="334"/>
      <c r="IQ14" s="334"/>
      <c r="IR14" s="334"/>
      <c r="IS14" s="334"/>
      <c r="IT14" s="334"/>
      <c r="IU14" s="334"/>
      <c r="IV14" s="334"/>
      <c r="IW14" s="334"/>
    </row>
    <row r="15" spans="2:257" ht="12.75" customHeight="1">
      <c r="B15" s="192" t="s">
        <v>38</v>
      </c>
      <c r="C15" s="142"/>
      <c r="D15" s="129"/>
      <c r="E15" s="150" t="s">
        <v>39</v>
      </c>
      <c r="F15" s="129"/>
      <c r="G15" s="129"/>
      <c r="H15" s="129"/>
      <c r="I15" s="129"/>
      <c r="J15" s="129"/>
      <c r="K15" s="129"/>
      <c r="L15" s="129"/>
      <c r="M15" s="129"/>
      <c r="N15" s="129"/>
      <c r="O15" s="129"/>
      <c r="P15" s="129"/>
      <c r="Q15" s="129"/>
      <c r="R15" s="129"/>
      <c r="S15" s="129"/>
      <c r="T15" s="167"/>
      <c r="U15" s="809">
        <f>+V9</f>
        <v>44926</v>
      </c>
      <c r="V15" s="809"/>
      <c r="W15" s="809"/>
      <c r="X15" s="809"/>
      <c r="Y15" s="809"/>
      <c r="Z15" s="809"/>
      <c r="AA15" s="142"/>
      <c r="AB15" s="129"/>
      <c r="AC15" s="129"/>
      <c r="AD15" s="129"/>
      <c r="AE15" s="129"/>
      <c r="AF15" s="129"/>
      <c r="AG15" s="129"/>
      <c r="AH15" s="129"/>
      <c r="AI15" s="129"/>
      <c r="AJ15" s="129"/>
      <c r="AK15" s="129"/>
      <c r="AL15" s="129"/>
      <c r="AM15" s="129"/>
      <c r="AN15" s="129"/>
    </row>
    <row r="16" spans="2:257" ht="8.15" customHeight="1">
      <c r="B16" s="163"/>
      <c r="C16" s="129"/>
      <c r="D16" s="129"/>
      <c r="E16" s="129"/>
      <c r="F16" s="129"/>
      <c r="G16" s="129"/>
      <c r="H16" s="129"/>
      <c r="I16" s="129"/>
      <c r="J16" s="129"/>
      <c r="K16" s="129"/>
      <c r="L16" s="129"/>
      <c r="M16" s="129"/>
      <c r="N16" s="129"/>
      <c r="O16" s="129"/>
      <c r="P16" s="129"/>
      <c r="Q16" s="129"/>
      <c r="R16" s="129"/>
      <c r="S16" s="129"/>
      <c r="T16" s="129"/>
      <c r="U16" s="163"/>
      <c r="V16" s="494"/>
      <c r="W16" s="163"/>
      <c r="X16" s="163"/>
      <c r="Y16" s="163"/>
      <c r="Z16" s="163"/>
      <c r="AA16" s="129"/>
      <c r="AB16" s="129"/>
      <c r="AC16" s="129"/>
      <c r="AD16" s="129"/>
      <c r="AE16" s="129"/>
      <c r="AF16" s="129"/>
      <c r="AG16" s="129"/>
      <c r="AH16" s="129"/>
      <c r="AI16" s="129"/>
      <c r="AJ16" s="129"/>
      <c r="AK16" s="129"/>
      <c r="AL16" s="129"/>
      <c r="AM16" s="129"/>
      <c r="AN16" s="129"/>
    </row>
    <row r="17" spans="2:257" ht="8.15" customHeight="1">
      <c r="B17" s="481"/>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row>
    <row r="18" spans="2:257" s="492" customFormat="1" ht="8.15" customHeight="1">
      <c r="B18" s="486"/>
      <c r="C18" s="487"/>
      <c r="D18" s="487"/>
      <c r="E18" s="487"/>
      <c r="F18" s="487"/>
      <c r="G18" s="487"/>
      <c r="H18" s="487"/>
      <c r="I18" s="487"/>
      <c r="J18" s="487"/>
      <c r="K18" s="487"/>
      <c r="L18" s="487"/>
      <c r="M18" s="487"/>
      <c r="N18" s="487"/>
      <c r="O18" s="487"/>
      <c r="P18" s="487"/>
      <c r="Q18" s="491"/>
      <c r="R18" s="491"/>
      <c r="S18" s="491"/>
      <c r="T18" s="491"/>
      <c r="U18" s="491"/>
      <c r="V18" s="491"/>
      <c r="W18" s="487"/>
      <c r="X18" s="487"/>
      <c r="Y18" s="487"/>
      <c r="Z18" s="487"/>
      <c r="AA18" s="487"/>
      <c r="AB18" s="487"/>
      <c r="AC18" s="487"/>
      <c r="AD18" s="487"/>
      <c r="AE18" s="487"/>
      <c r="AF18" s="487"/>
      <c r="AG18" s="487"/>
      <c r="AH18" s="487"/>
      <c r="AI18" s="487"/>
      <c r="AJ18" s="487"/>
      <c r="AK18" s="487"/>
      <c r="AL18" s="491"/>
      <c r="AM18" s="491"/>
      <c r="AN18" s="487"/>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4"/>
      <c r="BK18" s="334"/>
      <c r="BL18" s="334"/>
      <c r="BM18" s="334"/>
      <c r="BN18" s="334"/>
      <c r="BO18" s="334"/>
      <c r="BP18" s="334"/>
      <c r="BQ18" s="334"/>
      <c r="BR18" s="334"/>
      <c r="BS18" s="334"/>
      <c r="BT18" s="334"/>
      <c r="BU18" s="334"/>
      <c r="BV18" s="334"/>
      <c r="BW18" s="334"/>
      <c r="BX18" s="334"/>
      <c r="BY18" s="334"/>
      <c r="BZ18" s="334"/>
      <c r="CA18" s="334"/>
      <c r="CB18" s="334"/>
      <c r="CC18" s="334"/>
      <c r="CD18" s="334"/>
      <c r="CE18" s="334"/>
      <c r="CF18" s="334"/>
      <c r="CG18" s="334"/>
      <c r="CH18" s="334"/>
      <c r="CI18" s="334"/>
      <c r="CJ18" s="334"/>
      <c r="CK18" s="334"/>
      <c r="CL18" s="334"/>
      <c r="CM18" s="334"/>
      <c r="CN18" s="334"/>
      <c r="CO18" s="334"/>
      <c r="CP18" s="334"/>
      <c r="CQ18" s="334"/>
      <c r="CR18" s="334"/>
      <c r="CS18" s="334"/>
      <c r="CT18" s="334"/>
      <c r="CU18" s="334"/>
      <c r="CV18" s="334"/>
      <c r="CW18" s="334"/>
      <c r="CX18" s="334"/>
      <c r="CY18" s="334"/>
      <c r="CZ18" s="334"/>
      <c r="DA18" s="334"/>
      <c r="DB18" s="334"/>
      <c r="DC18" s="334"/>
      <c r="DD18" s="334"/>
      <c r="DE18" s="334"/>
      <c r="DF18" s="334"/>
      <c r="DG18" s="334"/>
      <c r="DH18" s="334"/>
      <c r="DI18" s="334"/>
      <c r="DJ18" s="334"/>
      <c r="DK18" s="334"/>
      <c r="DL18" s="334"/>
      <c r="DM18" s="334"/>
      <c r="DN18" s="334"/>
      <c r="DO18" s="334"/>
      <c r="DP18" s="334"/>
      <c r="DQ18" s="334"/>
      <c r="DR18" s="334"/>
      <c r="DS18" s="334"/>
      <c r="DT18" s="334"/>
      <c r="DU18" s="334"/>
      <c r="DV18" s="334"/>
      <c r="DW18" s="334"/>
      <c r="DX18" s="334"/>
      <c r="DY18" s="334"/>
      <c r="DZ18" s="334"/>
      <c r="EA18" s="334"/>
      <c r="EB18" s="334"/>
      <c r="EC18" s="334"/>
      <c r="ED18" s="334"/>
      <c r="EE18" s="334"/>
      <c r="EF18" s="334"/>
      <c r="EG18" s="334"/>
      <c r="EH18" s="334"/>
      <c r="EI18" s="334"/>
      <c r="EJ18" s="334"/>
      <c r="EK18" s="334"/>
      <c r="EL18" s="334"/>
      <c r="EM18" s="334"/>
      <c r="EN18" s="334"/>
      <c r="EO18" s="334"/>
      <c r="EP18" s="334"/>
      <c r="EQ18" s="334"/>
      <c r="ER18" s="334"/>
      <c r="ES18" s="334"/>
      <c r="ET18" s="334"/>
      <c r="EU18" s="334"/>
      <c r="EV18" s="334"/>
      <c r="EW18" s="334"/>
      <c r="EX18" s="334"/>
      <c r="EY18" s="334"/>
      <c r="EZ18" s="334"/>
      <c r="FA18" s="334"/>
      <c r="FB18" s="334"/>
      <c r="FC18" s="334"/>
      <c r="FD18" s="334"/>
      <c r="FE18" s="334"/>
      <c r="FF18" s="334"/>
      <c r="FG18" s="334"/>
      <c r="FH18" s="334"/>
      <c r="FI18" s="334"/>
      <c r="FJ18" s="334"/>
      <c r="FK18" s="334"/>
      <c r="FL18" s="334"/>
      <c r="FM18" s="334"/>
      <c r="FN18" s="334"/>
      <c r="FO18" s="334"/>
      <c r="FP18" s="334"/>
      <c r="FQ18" s="334"/>
      <c r="FR18" s="334"/>
      <c r="FS18" s="334"/>
      <c r="FT18" s="334"/>
      <c r="FU18" s="334"/>
      <c r="FV18" s="334"/>
      <c r="FW18" s="334"/>
      <c r="FX18" s="334"/>
      <c r="FY18" s="334"/>
      <c r="FZ18" s="334"/>
      <c r="GA18" s="334"/>
      <c r="GB18" s="334"/>
      <c r="GC18" s="334"/>
      <c r="GD18" s="334"/>
      <c r="GE18" s="334"/>
      <c r="GF18" s="334"/>
      <c r="GG18" s="334"/>
      <c r="GH18" s="334"/>
      <c r="GI18" s="334"/>
      <c r="GJ18" s="334"/>
      <c r="GK18" s="334"/>
      <c r="GL18" s="334"/>
      <c r="GM18" s="334"/>
      <c r="GN18" s="334"/>
      <c r="GO18" s="334"/>
      <c r="GP18" s="334"/>
      <c r="GQ18" s="334"/>
      <c r="GR18" s="334"/>
      <c r="GS18" s="334"/>
      <c r="GT18" s="334"/>
      <c r="GU18" s="334"/>
      <c r="GV18" s="334"/>
      <c r="GW18" s="334"/>
      <c r="GX18" s="334"/>
      <c r="GY18" s="334"/>
      <c r="GZ18" s="334"/>
      <c r="HA18" s="334"/>
      <c r="HB18" s="334"/>
      <c r="HC18" s="334"/>
      <c r="HD18" s="334"/>
      <c r="HE18" s="334"/>
      <c r="HF18" s="334"/>
      <c r="HG18" s="334"/>
      <c r="HH18" s="334"/>
      <c r="HI18" s="334"/>
      <c r="HJ18" s="334"/>
      <c r="HK18" s="334"/>
      <c r="HL18" s="334"/>
      <c r="HM18" s="334"/>
      <c r="HN18" s="334"/>
      <c r="HO18" s="334"/>
      <c r="HP18" s="334"/>
      <c r="HQ18" s="334"/>
      <c r="HR18" s="334"/>
      <c r="HS18" s="334"/>
      <c r="HT18" s="334"/>
      <c r="HU18" s="334"/>
      <c r="HV18" s="334"/>
      <c r="HW18" s="334"/>
      <c r="HX18" s="334"/>
      <c r="HY18" s="334"/>
      <c r="HZ18" s="334"/>
      <c r="IA18" s="334"/>
      <c r="IB18" s="334"/>
      <c r="IC18" s="334"/>
      <c r="ID18" s="334"/>
      <c r="IE18" s="334"/>
      <c r="IF18" s="334"/>
      <c r="IG18" s="334"/>
      <c r="IH18" s="334"/>
      <c r="II18" s="334"/>
      <c r="IJ18" s="334"/>
      <c r="IK18" s="334"/>
      <c r="IL18" s="334"/>
      <c r="IM18" s="334"/>
      <c r="IN18" s="334"/>
      <c r="IO18" s="334"/>
      <c r="IP18" s="334"/>
      <c r="IQ18" s="334"/>
      <c r="IR18" s="334"/>
      <c r="IS18" s="334"/>
      <c r="IT18" s="334"/>
      <c r="IU18" s="334"/>
      <c r="IV18" s="334"/>
      <c r="IW18" s="334"/>
    </row>
    <row r="19" spans="2:257" ht="12.75" customHeight="1">
      <c r="B19" s="192" t="s">
        <v>40</v>
      </c>
      <c r="C19" s="142"/>
      <c r="D19" s="129"/>
      <c r="E19" s="150" t="s">
        <v>41</v>
      </c>
      <c r="F19" s="129"/>
      <c r="G19" s="129"/>
      <c r="H19" s="129"/>
      <c r="I19" s="129"/>
      <c r="J19" s="129"/>
      <c r="K19" s="129"/>
      <c r="L19" s="129"/>
      <c r="M19" s="129"/>
      <c r="N19" s="129"/>
      <c r="O19" s="129"/>
      <c r="P19" s="167"/>
      <c r="Q19" s="811">
        <v>44561</v>
      </c>
      <c r="R19" s="793"/>
      <c r="S19" s="793"/>
      <c r="T19" s="793"/>
      <c r="U19" s="793"/>
      <c r="V19" s="794"/>
      <c r="W19" s="142"/>
      <c r="X19" s="129"/>
      <c r="Y19" s="129"/>
      <c r="Z19" s="129"/>
      <c r="AA19" s="129"/>
      <c r="AB19" s="129"/>
      <c r="AC19" s="129"/>
      <c r="AD19" s="129"/>
      <c r="AE19" s="129"/>
      <c r="AF19" s="129"/>
      <c r="AG19" s="129"/>
      <c r="AH19" s="129"/>
      <c r="AI19" s="129"/>
      <c r="AJ19" s="129"/>
      <c r="AK19" s="495" t="s">
        <v>42</v>
      </c>
      <c r="AL19" s="795">
        <v>12</v>
      </c>
      <c r="AM19" s="794"/>
      <c r="AN19" s="155"/>
    </row>
    <row r="20" spans="2:257" ht="8.15" customHeight="1">
      <c r="B20" s="163"/>
      <c r="C20" s="129"/>
      <c r="D20" s="129"/>
      <c r="E20" s="129"/>
      <c r="F20" s="129"/>
      <c r="G20" s="129"/>
      <c r="H20" s="129"/>
      <c r="I20" s="129"/>
      <c r="J20" s="129"/>
      <c r="K20" s="129"/>
      <c r="L20" s="129"/>
      <c r="M20" s="129"/>
      <c r="N20" s="129"/>
      <c r="O20" s="129"/>
      <c r="P20" s="129"/>
      <c r="Q20" s="163"/>
      <c r="R20" s="163"/>
      <c r="S20" s="163"/>
      <c r="T20" s="163"/>
      <c r="U20" s="163"/>
      <c r="V20" s="163"/>
      <c r="W20" s="129"/>
      <c r="X20" s="129"/>
      <c r="Y20" s="129"/>
      <c r="Z20" s="129"/>
      <c r="AA20" s="129"/>
      <c r="AB20" s="129"/>
      <c r="AC20" s="129"/>
      <c r="AD20" s="129"/>
      <c r="AE20" s="129"/>
      <c r="AF20" s="129"/>
      <c r="AG20" s="129"/>
      <c r="AH20" s="129"/>
      <c r="AI20" s="129"/>
      <c r="AJ20" s="129"/>
      <c r="AK20" s="129"/>
      <c r="AL20" s="163"/>
      <c r="AM20" s="163"/>
      <c r="AN20" s="129"/>
    </row>
    <row r="21" spans="2:257" ht="8.15" customHeight="1">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row>
    <row r="22" spans="2:257" s="492" customFormat="1" ht="8.15" customHeight="1">
      <c r="B22" s="486"/>
      <c r="C22" s="487"/>
      <c r="D22" s="487"/>
      <c r="E22" s="487"/>
      <c r="F22" s="491"/>
      <c r="G22" s="491"/>
      <c r="H22" s="491"/>
      <c r="I22" s="491"/>
      <c r="J22" s="491"/>
      <c r="K22" s="491"/>
      <c r="L22" s="491"/>
      <c r="M22" s="491"/>
      <c r="N22" s="491"/>
      <c r="O22" s="491"/>
      <c r="P22" s="491"/>
      <c r="Q22" s="487"/>
      <c r="R22" s="487"/>
      <c r="S22" s="487"/>
      <c r="T22" s="487"/>
      <c r="U22" s="487"/>
      <c r="V22" s="487"/>
      <c r="W22" s="491"/>
      <c r="X22" s="491"/>
      <c r="Y22" s="491"/>
      <c r="Z22" s="491"/>
      <c r="AA22" s="491"/>
      <c r="AB22" s="491"/>
      <c r="AC22" s="491"/>
      <c r="AD22" s="491"/>
      <c r="AE22" s="491"/>
      <c r="AF22" s="491"/>
      <c r="AG22" s="491"/>
      <c r="AH22" s="491"/>
      <c r="AI22" s="491"/>
      <c r="AJ22" s="491"/>
      <c r="AK22" s="491"/>
      <c r="AL22" s="487"/>
      <c r="AM22" s="487"/>
      <c r="AN22" s="487"/>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4"/>
      <c r="BK22" s="334"/>
      <c r="BL22" s="334"/>
      <c r="BM22" s="334"/>
      <c r="BN22" s="334"/>
      <c r="BO22" s="334"/>
      <c r="BP22" s="334"/>
      <c r="BQ22" s="334"/>
      <c r="BR22" s="334"/>
      <c r="BS22" s="334"/>
      <c r="BT22" s="334"/>
      <c r="BU22" s="334"/>
      <c r="BV22" s="334"/>
      <c r="BW22" s="334"/>
      <c r="BX22" s="334"/>
      <c r="BY22" s="334"/>
      <c r="BZ22" s="334"/>
      <c r="CA22" s="334"/>
      <c r="CB22" s="334"/>
      <c r="CC22" s="334"/>
      <c r="CD22" s="334"/>
      <c r="CE22" s="334"/>
      <c r="CF22" s="334"/>
      <c r="CG22" s="334"/>
      <c r="CH22" s="334"/>
      <c r="CI22" s="334"/>
      <c r="CJ22" s="334"/>
      <c r="CK22" s="334"/>
      <c r="CL22" s="334"/>
      <c r="CM22" s="334"/>
      <c r="CN22" s="334"/>
      <c r="CO22" s="334"/>
      <c r="CP22" s="334"/>
      <c r="CQ22" s="334"/>
      <c r="CR22" s="334"/>
      <c r="CS22" s="334"/>
      <c r="CT22" s="334"/>
      <c r="CU22" s="334"/>
      <c r="CV22" s="334"/>
      <c r="CW22" s="334"/>
      <c r="CX22" s="334"/>
      <c r="CY22" s="334"/>
      <c r="CZ22" s="334"/>
      <c r="DA22" s="334"/>
      <c r="DB22" s="334"/>
      <c r="DC22" s="334"/>
      <c r="DD22" s="334"/>
      <c r="DE22" s="334"/>
      <c r="DF22" s="334"/>
      <c r="DG22" s="334"/>
      <c r="DH22" s="334"/>
      <c r="DI22" s="334"/>
      <c r="DJ22" s="334"/>
      <c r="DK22" s="334"/>
      <c r="DL22" s="334"/>
      <c r="DM22" s="334"/>
      <c r="DN22" s="334"/>
      <c r="DO22" s="334"/>
      <c r="DP22" s="334"/>
      <c r="DQ22" s="334"/>
      <c r="DR22" s="334"/>
      <c r="DS22" s="334"/>
      <c r="DT22" s="334"/>
      <c r="DU22" s="334"/>
      <c r="DV22" s="334"/>
      <c r="DW22" s="334"/>
      <c r="DX22" s="334"/>
      <c r="DY22" s="334"/>
      <c r="DZ22" s="334"/>
      <c r="EA22" s="334"/>
      <c r="EB22" s="334"/>
      <c r="EC22" s="334"/>
      <c r="ED22" s="334"/>
      <c r="EE22" s="334"/>
      <c r="EF22" s="334"/>
      <c r="EG22" s="334"/>
      <c r="EH22" s="334"/>
      <c r="EI22" s="334"/>
      <c r="EJ22" s="334"/>
      <c r="EK22" s="334"/>
      <c r="EL22" s="334"/>
      <c r="EM22" s="334"/>
      <c r="EN22" s="334"/>
      <c r="EO22" s="334"/>
      <c r="EP22" s="334"/>
      <c r="EQ22" s="334"/>
      <c r="ER22" s="334"/>
      <c r="ES22" s="334"/>
      <c r="ET22" s="334"/>
      <c r="EU22" s="334"/>
      <c r="EV22" s="334"/>
      <c r="EW22" s="334"/>
      <c r="EX22" s="334"/>
      <c r="EY22" s="334"/>
      <c r="EZ22" s="334"/>
      <c r="FA22" s="334"/>
      <c r="FB22" s="334"/>
      <c r="FC22" s="334"/>
      <c r="FD22" s="334"/>
      <c r="FE22" s="334"/>
      <c r="FF22" s="334"/>
      <c r="FG22" s="334"/>
      <c r="FH22" s="334"/>
      <c r="FI22" s="334"/>
      <c r="FJ22" s="334"/>
      <c r="FK22" s="334"/>
      <c r="FL22" s="334"/>
      <c r="FM22" s="334"/>
      <c r="FN22" s="334"/>
      <c r="FO22" s="334"/>
      <c r="FP22" s="334"/>
      <c r="FQ22" s="334"/>
      <c r="FR22" s="334"/>
      <c r="FS22" s="334"/>
      <c r="FT22" s="334"/>
      <c r="FU22" s="334"/>
      <c r="FV22" s="334"/>
      <c r="FW22" s="334"/>
      <c r="FX22" s="334"/>
      <c r="FY22" s="334"/>
      <c r="FZ22" s="334"/>
      <c r="GA22" s="334"/>
      <c r="GB22" s="334"/>
      <c r="GC22" s="334"/>
      <c r="GD22" s="334"/>
      <c r="GE22" s="334"/>
      <c r="GF22" s="334"/>
      <c r="GG22" s="334"/>
      <c r="GH22" s="334"/>
      <c r="GI22" s="334"/>
      <c r="GJ22" s="334"/>
      <c r="GK22" s="334"/>
      <c r="GL22" s="334"/>
      <c r="GM22" s="334"/>
      <c r="GN22" s="334"/>
      <c r="GO22" s="334"/>
      <c r="GP22" s="334"/>
      <c r="GQ22" s="334"/>
      <c r="GR22" s="334"/>
      <c r="GS22" s="334"/>
      <c r="GT22" s="334"/>
      <c r="GU22" s="334"/>
      <c r="GV22" s="334"/>
      <c r="GW22" s="334"/>
      <c r="GX22" s="334"/>
      <c r="GY22" s="334"/>
      <c r="GZ22" s="334"/>
      <c r="HA22" s="334"/>
      <c r="HB22" s="334"/>
      <c r="HC22" s="334"/>
      <c r="HD22" s="334"/>
      <c r="HE22" s="334"/>
      <c r="HF22" s="334"/>
      <c r="HG22" s="334"/>
      <c r="HH22" s="334"/>
      <c r="HI22" s="334"/>
      <c r="HJ22" s="334"/>
      <c r="HK22" s="334"/>
      <c r="HL22" s="334"/>
      <c r="HM22" s="334"/>
      <c r="HN22" s="334"/>
      <c r="HO22" s="334"/>
      <c r="HP22" s="334"/>
      <c r="HQ22" s="334"/>
      <c r="HR22" s="334"/>
      <c r="HS22" s="334"/>
      <c r="HT22" s="334"/>
      <c r="HU22" s="334"/>
      <c r="HV22" s="334"/>
      <c r="HW22" s="334"/>
      <c r="HX22" s="334"/>
      <c r="HY22" s="334"/>
      <c r="HZ22" s="334"/>
      <c r="IA22" s="334"/>
      <c r="IB22" s="334"/>
      <c r="IC22" s="334"/>
      <c r="ID22" s="334"/>
      <c r="IE22" s="334"/>
      <c r="IF22" s="334"/>
      <c r="IG22" s="334"/>
      <c r="IH22" s="334"/>
      <c r="II22" s="334"/>
      <c r="IJ22" s="334"/>
      <c r="IK22" s="334"/>
      <c r="IL22" s="334"/>
      <c r="IM22" s="334"/>
      <c r="IN22" s="334"/>
      <c r="IO22" s="334"/>
      <c r="IP22" s="334"/>
      <c r="IQ22" s="334"/>
      <c r="IR22" s="334"/>
      <c r="IS22" s="334"/>
      <c r="IT22" s="334"/>
      <c r="IU22" s="334"/>
      <c r="IV22" s="334"/>
      <c r="IW22" s="334"/>
    </row>
    <row r="23" spans="2:257" ht="12.75" customHeight="1">
      <c r="B23" s="192" t="s">
        <v>43</v>
      </c>
      <c r="C23" s="142"/>
      <c r="D23" s="129"/>
      <c r="E23" s="129"/>
      <c r="F23" s="739" t="s">
        <v>44</v>
      </c>
      <c r="G23" s="740"/>
      <c r="H23" s="741"/>
      <c r="I23" s="792" t="s">
        <v>1545</v>
      </c>
      <c r="J23" s="793"/>
      <c r="K23" s="793"/>
      <c r="L23" s="793"/>
      <c r="M23" s="793"/>
      <c r="N23" s="793"/>
      <c r="O23" s="793"/>
      <c r="P23" s="794"/>
      <c r="Q23" s="142"/>
      <c r="R23" s="129"/>
      <c r="S23" s="129"/>
      <c r="T23" s="129"/>
      <c r="U23" s="129"/>
      <c r="V23" s="167"/>
      <c r="W23" s="792"/>
      <c r="X23" s="803"/>
      <c r="Y23" s="803"/>
      <c r="Z23" s="803"/>
      <c r="AA23" s="803"/>
      <c r="AB23" s="803"/>
      <c r="AC23" s="803"/>
      <c r="AD23" s="803"/>
      <c r="AE23" s="803"/>
      <c r="AF23" s="803"/>
      <c r="AG23" s="803"/>
      <c r="AH23" s="803"/>
      <c r="AI23" s="803"/>
      <c r="AJ23" s="803"/>
      <c r="AK23" s="804"/>
      <c r="AL23" s="142"/>
      <c r="AM23" s="129"/>
      <c r="AN23" s="129"/>
    </row>
    <row r="24" spans="2:257" ht="12.75" customHeight="1">
      <c r="B24" s="163"/>
      <c r="C24" s="129"/>
      <c r="D24" s="129"/>
      <c r="E24" s="129"/>
      <c r="F24" s="797" t="s">
        <v>45</v>
      </c>
      <c r="G24" s="798"/>
      <c r="H24" s="799"/>
      <c r="I24" s="751" t="s">
        <v>46</v>
      </c>
      <c r="J24" s="752"/>
      <c r="K24" s="752"/>
      <c r="L24" s="752"/>
      <c r="M24" s="752"/>
      <c r="N24" s="752"/>
      <c r="O24" s="752"/>
      <c r="P24" s="752"/>
      <c r="Q24" s="129"/>
      <c r="R24" s="129"/>
      <c r="S24" s="129"/>
      <c r="T24" s="129"/>
      <c r="U24" s="129"/>
      <c r="V24" s="129"/>
      <c r="W24" s="751" t="s">
        <v>47</v>
      </c>
      <c r="X24" s="752"/>
      <c r="Y24" s="752"/>
      <c r="Z24" s="752"/>
      <c r="AA24" s="752"/>
      <c r="AB24" s="752"/>
      <c r="AC24" s="752"/>
      <c r="AD24" s="752"/>
      <c r="AE24" s="752"/>
      <c r="AF24" s="752"/>
      <c r="AG24" s="752"/>
      <c r="AH24" s="752"/>
      <c r="AI24" s="752"/>
      <c r="AJ24" s="752"/>
      <c r="AK24" s="752"/>
      <c r="AL24" s="129"/>
      <c r="AM24" s="129"/>
      <c r="AN24" s="129"/>
    </row>
    <row r="25" spans="2:257" ht="8.15" customHeight="1">
      <c r="B25" s="496"/>
      <c r="C25" s="497"/>
      <c r="D25" s="498"/>
      <c r="E25" s="498"/>
      <c r="F25" s="498"/>
      <c r="G25" s="498"/>
      <c r="H25" s="498"/>
      <c r="I25" s="498"/>
      <c r="J25" s="498"/>
      <c r="K25" s="498"/>
      <c r="L25" s="498"/>
      <c r="M25" s="498"/>
      <c r="N25" s="498"/>
      <c r="O25" s="498"/>
      <c r="P25" s="498"/>
      <c r="Q25" s="498"/>
      <c r="R25" s="498"/>
      <c r="S25" s="498"/>
      <c r="T25" s="498"/>
      <c r="U25" s="498"/>
      <c r="V25" s="498"/>
      <c r="W25" s="498"/>
      <c r="X25" s="498"/>
      <c r="Y25" s="498"/>
      <c r="Z25" s="498"/>
      <c r="AA25" s="498"/>
      <c r="AB25" s="498"/>
      <c r="AC25" s="498"/>
      <c r="AD25" s="498"/>
      <c r="AE25" s="498"/>
      <c r="AF25" s="498"/>
      <c r="AG25" s="498"/>
      <c r="AH25" s="498"/>
      <c r="AI25" s="498"/>
      <c r="AJ25" s="498"/>
      <c r="AK25" s="498"/>
      <c r="AL25" s="498"/>
      <c r="AM25" s="498"/>
      <c r="AN25" s="481"/>
    </row>
    <row r="26" spans="2:257" s="492" customFormat="1" ht="8.15" customHeight="1">
      <c r="B26" s="499"/>
      <c r="C26" s="500"/>
      <c r="D26" s="490"/>
      <c r="E26" s="490"/>
      <c r="F26" s="490"/>
      <c r="G26" s="501"/>
      <c r="H26" s="501"/>
      <c r="I26" s="501"/>
      <c r="J26" s="501"/>
      <c r="K26" s="501"/>
      <c r="L26" s="501"/>
      <c r="M26" s="501"/>
      <c r="N26" s="501"/>
      <c r="O26" s="490"/>
      <c r="P26" s="490"/>
      <c r="Q26" s="490"/>
      <c r="R26" s="490"/>
      <c r="S26" s="501"/>
      <c r="T26" s="501"/>
      <c r="U26" s="501"/>
      <c r="V26" s="501"/>
      <c r="W26" s="501"/>
      <c r="X26" s="501"/>
      <c r="Y26" s="501"/>
      <c r="Z26" s="501"/>
      <c r="AA26" s="490"/>
      <c r="AB26" s="490"/>
      <c r="AC26" s="490"/>
      <c r="AD26" s="490"/>
      <c r="AE26" s="501"/>
      <c r="AF26" s="501"/>
      <c r="AG26" s="501"/>
      <c r="AH26" s="501"/>
      <c r="AI26" s="501"/>
      <c r="AJ26" s="501"/>
      <c r="AK26" s="501"/>
      <c r="AL26" s="501"/>
      <c r="AM26" s="490"/>
      <c r="AN26" s="487"/>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4"/>
      <c r="BK26" s="334"/>
      <c r="BL26" s="334"/>
      <c r="BM26" s="334"/>
      <c r="BN26" s="334"/>
      <c r="BO26" s="334"/>
      <c r="BP26" s="334"/>
      <c r="BQ26" s="334"/>
      <c r="BR26" s="334"/>
      <c r="BS26" s="334"/>
      <c r="BT26" s="334"/>
      <c r="BU26" s="334"/>
      <c r="BV26" s="334"/>
      <c r="BW26" s="334"/>
      <c r="BX26" s="334"/>
      <c r="BY26" s="334"/>
      <c r="BZ26" s="334"/>
      <c r="CA26" s="334"/>
      <c r="CB26" s="334"/>
      <c r="CC26" s="334"/>
      <c r="CD26" s="334"/>
      <c r="CE26" s="334"/>
      <c r="CF26" s="334"/>
      <c r="CG26" s="334"/>
      <c r="CH26" s="334"/>
      <c r="CI26" s="334"/>
      <c r="CJ26" s="334"/>
      <c r="CK26" s="334"/>
      <c r="CL26" s="334"/>
      <c r="CM26" s="334"/>
      <c r="CN26" s="334"/>
      <c r="CO26" s="334"/>
      <c r="CP26" s="334"/>
      <c r="CQ26" s="334"/>
      <c r="CR26" s="334"/>
      <c r="CS26" s="334"/>
      <c r="CT26" s="334"/>
      <c r="CU26" s="334"/>
      <c r="CV26" s="334"/>
      <c r="CW26" s="334"/>
      <c r="CX26" s="334"/>
      <c r="CY26" s="334"/>
      <c r="CZ26" s="334"/>
      <c r="DA26" s="334"/>
      <c r="DB26" s="334"/>
      <c r="DC26" s="334"/>
      <c r="DD26" s="334"/>
      <c r="DE26" s="334"/>
      <c r="DF26" s="334"/>
      <c r="DG26" s="334"/>
      <c r="DH26" s="334"/>
      <c r="DI26" s="334"/>
      <c r="DJ26" s="334"/>
      <c r="DK26" s="334"/>
      <c r="DL26" s="334"/>
      <c r="DM26" s="334"/>
      <c r="DN26" s="334"/>
      <c r="DO26" s="334"/>
      <c r="DP26" s="334"/>
      <c r="DQ26" s="334"/>
      <c r="DR26" s="334"/>
      <c r="DS26" s="334"/>
      <c r="DT26" s="334"/>
      <c r="DU26" s="334"/>
      <c r="DV26" s="334"/>
      <c r="DW26" s="334"/>
      <c r="DX26" s="334"/>
      <c r="DY26" s="334"/>
      <c r="DZ26" s="334"/>
      <c r="EA26" s="334"/>
      <c r="EB26" s="334"/>
      <c r="EC26" s="334"/>
      <c r="ED26" s="334"/>
      <c r="EE26" s="334"/>
      <c r="EF26" s="334"/>
      <c r="EG26" s="334"/>
      <c r="EH26" s="334"/>
      <c r="EI26" s="334"/>
      <c r="EJ26" s="334"/>
      <c r="EK26" s="334"/>
      <c r="EL26" s="334"/>
      <c r="EM26" s="334"/>
      <c r="EN26" s="334"/>
      <c r="EO26" s="334"/>
      <c r="EP26" s="334"/>
      <c r="EQ26" s="334"/>
      <c r="ER26" s="334"/>
      <c r="ES26" s="334"/>
      <c r="ET26" s="334"/>
      <c r="EU26" s="334"/>
      <c r="EV26" s="334"/>
      <c r="EW26" s="334"/>
      <c r="EX26" s="334"/>
      <c r="EY26" s="334"/>
      <c r="EZ26" s="334"/>
      <c r="FA26" s="334"/>
      <c r="FB26" s="334"/>
      <c r="FC26" s="334"/>
      <c r="FD26" s="334"/>
      <c r="FE26" s="334"/>
      <c r="FF26" s="334"/>
      <c r="FG26" s="334"/>
      <c r="FH26" s="334"/>
      <c r="FI26" s="334"/>
      <c r="FJ26" s="334"/>
      <c r="FK26" s="334"/>
      <c r="FL26" s="334"/>
      <c r="FM26" s="334"/>
      <c r="FN26" s="334"/>
      <c r="FO26" s="334"/>
      <c r="FP26" s="334"/>
      <c r="FQ26" s="334"/>
      <c r="FR26" s="334"/>
      <c r="FS26" s="334"/>
      <c r="FT26" s="334"/>
      <c r="FU26" s="334"/>
      <c r="FV26" s="334"/>
      <c r="FW26" s="334"/>
      <c r="FX26" s="334"/>
      <c r="FY26" s="334"/>
      <c r="FZ26" s="334"/>
      <c r="GA26" s="334"/>
      <c r="GB26" s="334"/>
      <c r="GC26" s="334"/>
      <c r="GD26" s="334"/>
      <c r="GE26" s="334"/>
      <c r="GF26" s="334"/>
      <c r="GG26" s="334"/>
      <c r="GH26" s="334"/>
      <c r="GI26" s="334"/>
      <c r="GJ26" s="334"/>
      <c r="GK26" s="334"/>
      <c r="GL26" s="334"/>
      <c r="GM26" s="334"/>
      <c r="GN26" s="334"/>
      <c r="GO26" s="334"/>
      <c r="GP26" s="334"/>
      <c r="GQ26" s="334"/>
      <c r="GR26" s="334"/>
      <c r="GS26" s="334"/>
      <c r="GT26" s="334"/>
      <c r="GU26" s="334"/>
      <c r="GV26" s="334"/>
      <c r="GW26" s="334"/>
      <c r="GX26" s="334"/>
      <c r="GY26" s="334"/>
      <c r="GZ26" s="334"/>
      <c r="HA26" s="334"/>
      <c r="HB26" s="334"/>
      <c r="HC26" s="334"/>
      <c r="HD26" s="334"/>
      <c r="HE26" s="334"/>
      <c r="HF26" s="334"/>
      <c r="HG26" s="334"/>
      <c r="HH26" s="334"/>
      <c r="HI26" s="334"/>
      <c r="HJ26" s="334"/>
      <c r="HK26" s="334"/>
      <c r="HL26" s="334"/>
      <c r="HM26" s="334"/>
      <c r="HN26" s="334"/>
      <c r="HO26" s="334"/>
      <c r="HP26" s="334"/>
      <c r="HQ26" s="334"/>
      <c r="HR26" s="334"/>
      <c r="HS26" s="334"/>
      <c r="HT26" s="334"/>
      <c r="HU26" s="334"/>
      <c r="HV26" s="334"/>
      <c r="HW26" s="334"/>
      <c r="HX26" s="334"/>
      <c r="HY26" s="334"/>
      <c r="HZ26" s="334"/>
      <c r="IA26" s="334"/>
      <c r="IB26" s="334"/>
      <c r="IC26" s="334"/>
      <c r="ID26" s="334"/>
      <c r="IE26" s="334"/>
      <c r="IF26" s="334"/>
      <c r="IG26" s="334"/>
      <c r="IH26" s="334"/>
      <c r="II26" s="334"/>
      <c r="IJ26" s="334"/>
      <c r="IK26" s="334"/>
      <c r="IL26" s="334"/>
      <c r="IM26" s="334"/>
      <c r="IN26" s="334"/>
      <c r="IO26" s="334"/>
      <c r="IP26" s="334"/>
      <c r="IQ26" s="334"/>
      <c r="IR26" s="334"/>
      <c r="IS26" s="334"/>
      <c r="IT26" s="334"/>
      <c r="IU26" s="334"/>
      <c r="IV26" s="334"/>
      <c r="IW26" s="334"/>
    </row>
    <row r="27" spans="2:257" ht="12.75" customHeight="1">
      <c r="B27" s="192" t="s">
        <v>48</v>
      </c>
      <c r="C27" s="142"/>
      <c r="D27" s="129"/>
      <c r="E27" s="129"/>
      <c r="F27" s="167"/>
      <c r="G27" s="792">
        <v>14202037720</v>
      </c>
      <c r="H27" s="793"/>
      <c r="I27" s="793"/>
      <c r="J27" s="793"/>
      <c r="K27" s="793"/>
      <c r="L27" s="793"/>
      <c r="M27" s="793"/>
      <c r="N27" s="794"/>
      <c r="O27" s="142"/>
      <c r="P27" s="129"/>
      <c r="Q27" s="129"/>
      <c r="R27" s="167"/>
      <c r="S27" s="795"/>
      <c r="T27" s="793"/>
      <c r="U27" s="793"/>
      <c r="V27" s="793"/>
      <c r="W27" s="793"/>
      <c r="X27" s="793"/>
      <c r="Y27" s="793"/>
      <c r="Z27" s="794"/>
      <c r="AA27" s="142"/>
      <c r="AB27" s="129"/>
      <c r="AC27" s="129"/>
      <c r="AD27" s="167"/>
      <c r="AE27" s="742" t="s">
        <v>1546</v>
      </c>
      <c r="AF27" s="743"/>
      <c r="AG27" s="743"/>
      <c r="AH27" s="743"/>
      <c r="AI27" s="743"/>
      <c r="AJ27" s="743"/>
      <c r="AK27" s="743"/>
      <c r="AL27" s="744"/>
      <c r="AM27" s="142"/>
      <c r="AN27" s="129"/>
    </row>
    <row r="28" spans="2:257" ht="12.75" customHeight="1">
      <c r="B28" s="163"/>
      <c r="C28" s="129"/>
      <c r="D28" s="129"/>
      <c r="E28" s="129"/>
      <c r="F28" s="129"/>
      <c r="G28" s="751" t="s">
        <v>49</v>
      </c>
      <c r="H28" s="752"/>
      <c r="I28" s="752"/>
      <c r="J28" s="752"/>
      <c r="K28" s="752"/>
      <c r="L28" s="752"/>
      <c r="M28" s="752"/>
      <c r="N28" s="752"/>
      <c r="O28" s="129"/>
      <c r="P28" s="129"/>
      <c r="Q28" s="129"/>
      <c r="R28" s="129"/>
      <c r="S28" s="751" t="s">
        <v>50</v>
      </c>
      <c r="T28" s="752"/>
      <c r="U28" s="752"/>
      <c r="V28" s="752"/>
      <c r="W28" s="752"/>
      <c r="X28" s="752"/>
      <c r="Y28" s="752"/>
      <c r="Z28" s="752"/>
      <c r="AA28" s="129"/>
      <c r="AB28" s="129"/>
      <c r="AC28" s="129"/>
      <c r="AD28" s="129"/>
      <c r="AE28" s="751" t="s">
        <v>51</v>
      </c>
      <c r="AF28" s="752"/>
      <c r="AG28" s="752"/>
      <c r="AH28" s="752"/>
      <c r="AI28" s="752"/>
      <c r="AJ28" s="752"/>
      <c r="AK28" s="752"/>
      <c r="AL28" s="752"/>
      <c r="AM28" s="129"/>
      <c r="AN28" s="129"/>
    </row>
    <row r="29" spans="2:257" ht="8.15" customHeight="1">
      <c r="B29" s="481"/>
      <c r="C29" s="481"/>
      <c r="D29" s="481"/>
      <c r="E29" s="481"/>
      <c r="F29" s="481"/>
      <c r="G29" s="498"/>
      <c r="H29" s="498"/>
      <c r="I29" s="498"/>
      <c r="J29" s="498"/>
      <c r="K29" s="498"/>
      <c r="L29" s="498"/>
      <c r="M29" s="498"/>
      <c r="N29" s="498"/>
      <c r="O29" s="481"/>
      <c r="P29" s="481"/>
      <c r="Q29" s="481"/>
      <c r="R29" s="481"/>
      <c r="S29" s="481"/>
      <c r="T29" s="481"/>
      <c r="U29" s="481"/>
      <c r="V29" s="481"/>
      <c r="W29" s="481"/>
      <c r="X29" s="481"/>
      <c r="Y29" s="481"/>
      <c r="Z29" s="481"/>
      <c r="AA29" s="481"/>
      <c r="AB29" s="481"/>
      <c r="AC29" s="481"/>
      <c r="AD29" s="481"/>
      <c r="AE29" s="481"/>
      <c r="AF29" s="481"/>
      <c r="AG29" s="481"/>
      <c r="AH29" s="481"/>
      <c r="AI29" s="481"/>
      <c r="AJ29" s="481"/>
      <c r="AK29" s="481"/>
      <c r="AL29" s="481"/>
      <c r="AM29" s="481"/>
      <c r="AN29" s="481"/>
    </row>
    <row r="30" spans="2:257" s="492" customFormat="1" ht="8.15" customHeight="1">
      <c r="B30" s="486"/>
      <c r="C30" s="487"/>
      <c r="D30" s="491"/>
      <c r="E30" s="491"/>
      <c r="F30" s="491"/>
      <c r="G30" s="501"/>
      <c r="H30" s="501"/>
      <c r="I30" s="501"/>
      <c r="J30" s="501"/>
      <c r="K30" s="501"/>
      <c r="L30" s="501"/>
      <c r="M30" s="501"/>
      <c r="N30" s="501"/>
      <c r="O30" s="491"/>
      <c r="P30" s="491"/>
      <c r="Q30" s="491"/>
      <c r="R30" s="491"/>
      <c r="S30" s="491"/>
      <c r="T30" s="491"/>
      <c r="U30" s="491"/>
      <c r="V30" s="491"/>
      <c r="W30" s="491"/>
      <c r="X30" s="491"/>
      <c r="Y30" s="491"/>
      <c r="Z30" s="491"/>
      <c r="AA30" s="491"/>
      <c r="AB30" s="491"/>
      <c r="AC30" s="491"/>
      <c r="AD30" s="491"/>
      <c r="AE30" s="491"/>
      <c r="AF30" s="491"/>
      <c r="AG30" s="491"/>
      <c r="AH30" s="491"/>
      <c r="AI30" s="491"/>
      <c r="AJ30" s="491"/>
      <c r="AK30" s="491"/>
      <c r="AL30" s="491"/>
      <c r="AM30" s="491"/>
      <c r="AN30" s="487"/>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4"/>
      <c r="BK30" s="334"/>
      <c r="BL30" s="334"/>
      <c r="BM30" s="334"/>
      <c r="BN30" s="334"/>
      <c r="BO30" s="334"/>
      <c r="BP30" s="334"/>
      <c r="BQ30" s="334"/>
      <c r="BR30" s="334"/>
      <c r="BS30" s="334"/>
      <c r="BT30" s="334"/>
      <c r="BU30" s="334"/>
      <c r="BV30" s="334"/>
      <c r="BW30" s="334"/>
      <c r="BX30" s="334"/>
      <c r="BY30" s="334"/>
      <c r="BZ30" s="334"/>
      <c r="CA30" s="334"/>
      <c r="CB30" s="334"/>
      <c r="CC30" s="334"/>
      <c r="CD30" s="334"/>
      <c r="CE30" s="334"/>
      <c r="CF30" s="334"/>
      <c r="CG30" s="334"/>
      <c r="CH30" s="334"/>
      <c r="CI30" s="334"/>
      <c r="CJ30" s="334"/>
      <c r="CK30" s="334"/>
      <c r="CL30" s="334"/>
      <c r="CM30" s="334"/>
      <c r="CN30" s="334"/>
      <c r="CO30" s="334"/>
      <c r="CP30" s="334"/>
      <c r="CQ30" s="334"/>
      <c r="CR30" s="334"/>
      <c r="CS30" s="334"/>
      <c r="CT30" s="334"/>
      <c r="CU30" s="334"/>
      <c r="CV30" s="334"/>
      <c r="CW30" s="334"/>
      <c r="CX30" s="334"/>
      <c r="CY30" s="334"/>
      <c r="CZ30" s="334"/>
      <c r="DA30" s="334"/>
      <c r="DB30" s="334"/>
      <c r="DC30" s="334"/>
      <c r="DD30" s="334"/>
      <c r="DE30" s="334"/>
      <c r="DF30" s="334"/>
      <c r="DG30" s="334"/>
      <c r="DH30" s="334"/>
      <c r="DI30" s="334"/>
      <c r="DJ30" s="334"/>
      <c r="DK30" s="334"/>
      <c r="DL30" s="334"/>
      <c r="DM30" s="334"/>
      <c r="DN30" s="334"/>
      <c r="DO30" s="334"/>
      <c r="DP30" s="334"/>
      <c r="DQ30" s="334"/>
      <c r="DR30" s="334"/>
      <c r="DS30" s="334"/>
      <c r="DT30" s="334"/>
      <c r="DU30" s="334"/>
      <c r="DV30" s="334"/>
      <c r="DW30" s="334"/>
      <c r="DX30" s="334"/>
      <c r="DY30" s="334"/>
      <c r="DZ30" s="334"/>
      <c r="EA30" s="334"/>
      <c r="EB30" s="334"/>
      <c r="EC30" s="334"/>
      <c r="ED30" s="334"/>
      <c r="EE30" s="334"/>
      <c r="EF30" s="334"/>
      <c r="EG30" s="334"/>
      <c r="EH30" s="334"/>
      <c r="EI30" s="334"/>
      <c r="EJ30" s="334"/>
      <c r="EK30" s="334"/>
      <c r="EL30" s="334"/>
      <c r="EM30" s="334"/>
      <c r="EN30" s="334"/>
      <c r="EO30" s="334"/>
      <c r="EP30" s="334"/>
      <c r="EQ30" s="334"/>
      <c r="ER30" s="334"/>
      <c r="ES30" s="334"/>
      <c r="ET30" s="334"/>
      <c r="EU30" s="334"/>
      <c r="EV30" s="334"/>
      <c r="EW30" s="334"/>
      <c r="EX30" s="334"/>
      <c r="EY30" s="334"/>
      <c r="EZ30" s="334"/>
      <c r="FA30" s="334"/>
      <c r="FB30" s="334"/>
      <c r="FC30" s="334"/>
      <c r="FD30" s="334"/>
      <c r="FE30" s="334"/>
      <c r="FF30" s="334"/>
      <c r="FG30" s="334"/>
      <c r="FH30" s="334"/>
      <c r="FI30" s="334"/>
      <c r="FJ30" s="334"/>
      <c r="FK30" s="334"/>
      <c r="FL30" s="334"/>
      <c r="FM30" s="334"/>
      <c r="FN30" s="334"/>
      <c r="FO30" s="334"/>
      <c r="FP30" s="334"/>
      <c r="FQ30" s="334"/>
      <c r="FR30" s="334"/>
      <c r="FS30" s="334"/>
      <c r="FT30" s="334"/>
      <c r="FU30" s="334"/>
      <c r="FV30" s="334"/>
      <c r="FW30" s="334"/>
      <c r="FX30" s="334"/>
      <c r="FY30" s="334"/>
      <c r="FZ30" s="334"/>
      <c r="GA30" s="334"/>
      <c r="GB30" s="334"/>
      <c r="GC30" s="334"/>
      <c r="GD30" s="334"/>
      <c r="GE30" s="334"/>
      <c r="GF30" s="334"/>
      <c r="GG30" s="334"/>
      <c r="GH30" s="334"/>
      <c r="GI30" s="334"/>
      <c r="GJ30" s="334"/>
      <c r="GK30" s="334"/>
      <c r="GL30" s="334"/>
      <c r="GM30" s="334"/>
      <c r="GN30" s="334"/>
      <c r="GO30" s="334"/>
      <c r="GP30" s="334"/>
      <c r="GQ30" s="334"/>
      <c r="GR30" s="334"/>
      <c r="GS30" s="334"/>
      <c r="GT30" s="334"/>
      <c r="GU30" s="334"/>
      <c r="GV30" s="334"/>
      <c r="GW30" s="334"/>
      <c r="GX30" s="334"/>
      <c r="GY30" s="334"/>
      <c r="GZ30" s="334"/>
      <c r="HA30" s="334"/>
      <c r="HB30" s="334"/>
      <c r="HC30" s="334"/>
      <c r="HD30" s="334"/>
      <c r="HE30" s="334"/>
      <c r="HF30" s="334"/>
      <c r="HG30" s="334"/>
      <c r="HH30" s="334"/>
      <c r="HI30" s="334"/>
      <c r="HJ30" s="334"/>
      <c r="HK30" s="334"/>
      <c r="HL30" s="334"/>
      <c r="HM30" s="334"/>
      <c r="HN30" s="334"/>
      <c r="HO30" s="334"/>
      <c r="HP30" s="334"/>
      <c r="HQ30" s="334"/>
      <c r="HR30" s="334"/>
      <c r="HS30" s="334"/>
      <c r="HT30" s="334"/>
      <c r="HU30" s="334"/>
      <c r="HV30" s="334"/>
      <c r="HW30" s="334"/>
      <c r="HX30" s="334"/>
      <c r="HY30" s="334"/>
      <c r="HZ30" s="334"/>
      <c r="IA30" s="334"/>
      <c r="IB30" s="334"/>
      <c r="IC30" s="334"/>
      <c r="ID30" s="334"/>
      <c r="IE30" s="334"/>
      <c r="IF30" s="334"/>
      <c r="IG30" s="334"/>
      <c r="IH30" s="334"/>
      <c r="II30" s="334"/>
      <c r="IJ30" s="334"/>
      <c r="IK30" s="334"/>
      <c r="IL30" s="334"/>
      <c r="IM30" s="334"/>
      <c r="IN30" s="334"/>
      <c r="IO30" s="334"/>
      <c r="IP30" s="334"/>
      <c r="IQ30" s="334"/>
      <c r="IR30" s="334"/>
      <c r="IS30" s="334"/>
      <c r="IT30" s="334"/>
      <c r="IU30" s="334"/>
      <c r="IV30" s="334"/>
      <c r="IW30" s="334"/>
    </row>
    <row r="31" spans="2:257" ht="12.75" customHeight="1">
      <c r="B31" s="192" t="s">
        <v>52</v>
      </c>
      <c r="C31" s="502"/>
      <c r="D31" s="800" t="str">
        <f>+J3</f>
        <v>IAMGOLD BOTO SA</v>
      </c>
      <c r="E31" s="801"/>
      <c r="F31" s="801"/>
      <c r="G31" s="801"/>
      <c r="H31" s="801"/>
      <c r="I31" s="801"/>
      <c r="J31" s="801"/>
      <c r="K31" s="801"/>
      <c r="L31" s="801"/>
      <c r="M31" s="801"/>
      <c r="N31" s="801"/>
      <c r="O31" s="801"/>
      <c r="P31" s="801"/>
      <c r="Q31" s="801"/>
      <c r="R31" s="801"/>
      <c r="S31" s="801"/>
      <c r="T31" s="801"/>
      <c r="U31" s="801"/>
      <c r="V31" s="801"/>
      <c r="W31" s="801"/>
      <c r="X31" s="801"/>
      <c r="Y31" s="801"/>
      <c r="Z31" s="801"/>
      <c r="AA31" s="801"/>
      <c r="AB31" s="801"/>
      <c r="AC31" s="801"/>
      <c r="AD31" s="802"/>
      <c r="AE31" s="792">
        <f>+AD6</f>
        <v>0</v>
      </c>
      <c r="AF31" s="793"/>
      <c r="AG31" s="793"/>
      <c r="AH31" s="793"/>
      <c r="AI31" s="793"/>
      <c r="AJ31" s="793"/>
      <c r="AK31" s="793"/>
      <c r="AL31" s="793"/>
      <c r="AM31" s="794"/>
      <c r="AN31" s="142"/>
    </row>
    <row r="32" spans="2:257" ht="12.75" customHeight="1">
      <c r="B32" s="163"/>
      <c r="C32" s="129"/>
      <c r="D32" s="751" t="s">
        <v>28</v>
      </c>
      <c r="E32" s="752"/>
      <c r="F32" s="752"/>
      <c r="G32" s="752"/>
      <c r="H32" s="752"/>
      <c r="I32" s="752"/>
      <c r="J32" s="752"/>
      <c r="K32" s="752"/>
      <c r="L32" s="752"/>
      <c r="M32" s="752"/>
      <c r="N32" s="752"/>
      <c r="O32" s="752"/>
      <c r="P32" s="752"/>
      <c r="Q32" s="752"/>
      <c r="R32" s="752"/>
      <c r="S32" s="752"/>
      <c r="T32" s="752"/>
      <c r="U32" s="752"/>
      <c r="V32" s="752"/>
      <c r="W32" s="752"/>
      <c r="X32" s="752"/>
      <c r="Y32" s="752"/>
      <c r="Z32" s="752"/>
      <c r="AA32" s="752"/>
      <c r="AB32" s="752"/>
      <c r="AC32" s="752"/>
      <c r="AD32" s="752"/>
      <c r="AE32" s="751" t="s">
        <v>53</v>
      </c>
      <c r="AF32" s="752"/>
      <c r="AG32" s="752"/>
      <c r="AH32" s="752"/>
      <c r="AI32" s="752"/>
      <c r="AJ32" s="752"/>
      <c r="AK32" s="752"/>
      <c r="AL32" s="752"/>
      <c r="AM32" s="752"/>
      <c r="AN32" s="129"/>
    </row>
    <row r="33" spans="2:257" ht="8.15" customHeight="1">
      <c r="B33" s="481"/>
      <c r="C33" s="481"/>
      <c r="D33" s="481"/>
      <c r="E33" s="481"/>
      <c r="F33" s="481"/>
      <c r="G33" s="481"/>
      <c r="H33" s="481"/>
      <c r="I33" s="481"/>
      <c r="J33" s="481"/>
      <c r="K33" s="481"/>
      <c r="L33" s="481"/>
      <c r="M33" s="481"/>
      <c r="N33" s="481"/>
      <c r="O33" s="481"/>
      <c r="P33" s="481"/>
      <c r="Q33" s="481"/>
      <c r="R33" s="481"/>
      <c r="S33" s="481"/>
      <c r="T33" s="481"/>
      <c r="U33" s="481"/>
      <c r="V33" s="481"/>
      <c r="W33" s="481"/>
      <c r="X33" s="481"/>
      <c r="Y33" s="481"/>
      <c r="Z33" s="481"/>
      <c r="AA33" s="481"/>
      <c r="AB33" s="481"/>
      <c r="AC33" s="481"/>
      <c r="AD33" s="481"/>
      <c r="AE33" s="481"/>
      <c r="AF33" s="481"/>
      <c r="AG33" s="481"/>
      <c r="AH33" s="481"/>
      <c r="AI33" s="481"/>
      <c r="AJ33" s="481"/>
      <c r="AK33" s="481"/>
      <c r="AL33" s="481"/>
      <c r="AM33" s="481"/>
      <c r="AN33" s="481"/>
    </row>
    <row r="34" spans="2:257" s="492" customFormat="1" ht="8.15" customHeight="1">
      <c r="B34" s="486"/>
      <c r="C34" s="487"/>
      <c r="D34" s="487"/>
      <c r="E34" s="487"/>
      <c r="F34" s="487"/>
      <c r="G34" s="491"/>
      <c r="H34" s="491"/>
      <c r="I34" s="491"/>
      <c r="J34" s="491"/>
      <c r="K34" s="491"/>
      <c r="L34" s="491"/>
      <c r="M34" s="491"/>
      <c r="N34" s="491"/>
      <c r="O34" s="487"/>
      <c r="P34" s="487"/>
      <c r="Q34" s="491"/>
      <c r="R34" s="491"/>
      <c r="S34" s="491"/>
      <c r="T34" s="491"/>
      <c r="U34" s="491"/>
      <c r="V34" s="491"/>
      <c r="W34" s="487"/>
      <c r="X34" s="487"/>
      <c r="Y34" s="491"/>
      <c r="Z34" s="491"/>
      <c r="AA34" s="491"/>
      <c r="AB34" s="491"/>
      <c r="AC34" s="491"/>
      <c r="AD34" s="491"/>
      <c r="AE34" s="491"/>
      <c r="AF34" s="491"/>
      <c r="AG34" s="491"/>
      <c r="AH34" s="491"/>
      <c r="AI34" s="491"/>
      <c r="AJ34" s="491"/>
      <c r="AK34" s="491"/>
      <c r="AL34" s="491"/>
      <c r="AM34" s="491"/>
      <c r="AN34" s="487"/>
      <c r="AO34" s="334"/>
      <c r="AP34" s="334"/>
      <c r="AQ34" s="334"/>
      <c r="AR34" s="334"/>
      <c r="AS34" s="334"/>
      <c r="AT34" s="334"/>
      <c r="AU34" s="334"/>
      <c r="AV34" s="334"/>
      <c r="AW34" s="334"/>
      <c r="AX34" s="334"/>
      <c r="AY34" s="334"/>
      <c r="AZ34" s="334"/>
      <c r="BA34" s="334"/>
      <c r="BB34" s="334"/>
      <c r="BC34" s="334"/>
      <c r="BD34" s="334"/>
      <c r="BE34" s="334"/>
      <c r="BF34" s="334"/>
      <c r="BG34" s="334"/>
      <c r="BH34" s="334"/>
      <c r="BI34" s="334"/>
      <c r="BJ34" s="334"/>
      <c r="BK34" s="334"/>
      <c r="BL34" s="334"/>
      <c r="BM34" s="334"/>
      <c r="BN34" s="334"/>
      <c r="BO34" s="334"/>
      <c r="BP34" s="334"/>
      <c r="BQ34" s="334"/>
      <c r="BR34" s="334"/>
      <c r="BS34" s="334"/>
      <c r="BT34" s="334"/>
      <c r="BU34" s="334"/>
      <c r="BV34" s="334"/>
      <c r="BW34" s="334"/>
      <c r="BX34" s="334"/>
      <c r="BY34" s="334"/>
      <c r="BZ34" s="334"/>
      <c r="CA34" s="334"/>
      <c r="CB34" s="334"/>
      <c r="CC34" s="334"/>
      <c r="CD34" s="334"/>
      <c r="CE34" s="334"/>
      <c r="CF34" s="334"/>
      <c r="CG34" s="334"/>
      <c r="CH34" s="334"/>
      <c r="CI34" s="334"/>
      <c r="CJ34" s="334"/>
      <c r="CK34" s="334"/>
      <c r="CL34" s="334"/>
      <c r="CM34" s="334"/>
      <c r="CN34" s="334"/>
      <c r="CO34" s="334"/>
      <c r="CP34" s="334"/>
      <c r="CQ34" s="334"/>
      <c r="CR34" s="334"/>
      <c r="CS34" s="334"/>
      <c r="CT34" s="334"/>
      <c r="CU34" s="334"/>
      <c r="CV34" s="334"/>
      <c r="CW34" s="334"/>
      <c r="CX34" s="334"/>
      <c r="CY34" s="334"/>
      <c r="CZ34" s="334"/>
      <c r="DA34" s="334"/>
      <c r="DB34" s="334"/>
      <c r="DC34" s="334"/>
      <c r="DD34" s="334"/>
      <c r="DE34" s="334"/>
      <c r="DF34" s="334"/>
      <c r="DG34" s="334"/>
      <c r="DH34" s="334"/>
      <c r="DI34" s="334"/>
      <c r="DJ34" s="334"/>
      <c r="DK34" s="334"/>
      <c r="DL34" s="334"/>
      <c r="DM34" s="334"/>
      <c r="DN34" s="334"/>
      <c r="DO34" s="334"/>
      <c r="DP34" s="334"/>
      <c r="DQ34" s="334"/>
      <c r="DR34" s="334"/>
      <c r="DS34" s="334"/>
      <c r="DT34" s="334"/>
      <c r="DU34" s="334"/>
      <c r="DV34" s="334"/>
      <c r="DW34" s="334"/>
      <c r="DX34" s="334"/>
      <c r="DY34" s="334"/>
      <c r="DZ34" s="334"/>
      <c r="EA34" s="334"/>
      <c r="EB34" s="334"/>
      <c r="EC34" s="334"/>
      <c r="ED34" s="334"/>
      <c r="EE34" s="334"/>
      <c r="EF34" s="334"/>
      <c r="EG34" s="334"/>
      <c r="EH34" s="334"/>
      <c r="EI34" s="334"/>
      <c r="EJ34" s="334"/>
      <c r="EK34" s="334"/>
      <c r="EL34" s="334"/>
      <c r="EM34" s="334"/>
      <c r="EN34" s="334"/>
      <c r="EO34" s="334"/>
      <c r="EP34" s="334"/>
      <c r="EQ34" s="334"/>
      <c r="ER34" s="334"/>
      <c r="ES34" s="334"/>
      <c r="ET34" s="334"/>
      <c r="EU34" s="334"/>
      <c r="EV34" s="334"/>
      <c r="EW34" s="334"/>
      <c r="EX34" s="334"/>
      <c r="EY34" s="334"/>
      <c r="EZ34" s="334"/>
      <c r="FA34" s="334"/>
      <c r="FB34" s="334"/>
      <c r="FC34" s="334"/>
      <c r="FD34" s="334"/>
      <c r="FE34" s="334"/>
      <c r="FF34" s="334"/>
      <c r="FG34" s="334"/>
      <c r="FH34" s="334"/>
      <c r="FI34" s="334"/>
      <c r="FJ34" s="334"/>
      <c r="FK34" s="334"/>
      <c r="FL34" s="334"/>
      <c r="FM34" s="334"/>
      <c r="FN34" s="334"/>
      <c r="FO34" s="334"/>
      <c r="FP34" s="334"/>
      <c r="FQ34" s="334"/>
      <c r="FR34" s="334"/>
      <c r="FS34" s="334"/>
      <c r="FT34" s="334"/>
      <c r="FU34" s="334"/>
      <c r="FV34" s="334"/>
      <c r="FW34" s="334"/>
      <c r="FX34" s="334"/>
      <c r="FY34" s="334"/>
      <c r="FZ34" s="334"/>
      <c r="GA34" s="334"/>
      <c r="GB34" s="334"/>
      <c r="GC34" s="334"/>
      <c r="GD34" s="334"/>
      <c r="GE34" s="334"/>
      <c r="GF34" s="334"/>
      <c r="GG34" s="334"/>
      <c r="GH34" s="334"/>
      <c r="GI34" s="334"/>
      <c r="GJ34" s="334"/>
      <c r="GK34" s="334"/>
      <c r="GL34" s="334"/>
      <c r="GM34" s="334"/>
      <c r="GN34" s="334"/>
      <c r="GO34" s="334"/>
      <c r="GP34" s="334"/>
      <c r="GQ34" s="334"/>
      <c r="GR34" s="334"/>
      <c r="GS34" s="334"/>
      <c r="GT34" s="334"/>
      <c r="GU34" s="334"/>
      <c r="GV34" s="334"/>
      <c r="GW34" s="334"/>
      <c r="GX34" s="334"/>
      <c r="GY34" s="334"/>
      <c r="GZ34" s="334"/>
      <c r="HA34" s="334"/>
      <c r="HB34" s="334"/>
      <c r="HC34" s="334"/>
      <c r="HD34" s="334"/>
      <c r="HE34" s="334"/>
      <c r="HF34" s="334"/>
      <c r="HG34" s="334"/>
      <c r="HH34" s="334"/>
      <c r="HI34" s="334"/>
      <c r="HJ34" s="334"/>
      <c r="HK34" s="334"/>
      <c r="HL34" s="334"/>
      <c r="HM34" s="334"/>
      <c r="HN34" s="334"/>
      <c r="HO34" s="334"/>
      <c r="HP34" s="334"/>
      <c r="HQ34" s="334"/>
      <c r="HR34" s="334"/>
      <c r="HS34" s="334"/>
      <c r="HT34" s="334"/>
      <c r="HU34" s="334"/>
      <c r="HV34" s="334"/>
      <c r="HW34" s="334"/>
      <c r="HX34" s="334"/>
      <c r="HY34" s="334"/>
      <c r="HZ34" s="334"/>
      <c r="IA34" s="334"/>
      <c r="IB34" s="334"/>
      <c r="IC34" s="334"/>
      <c r="ID34" s="334"/>
      <c r="IE34" s="334"/>
      <c r="IF34" s="334"/>
      <c r="IG34" s="334"/>
      <c r="IH34" s="334"/>
      <c r="II34" s="334"/>
      <c r="IJ34" s="334"/>
      <c r="IK34" s="334"/>
      <c r="IL34" s="334"/>
      <c r="IM34" s="334"/>
      <c r="IN34" s="334"/>
      <c r="IO34" s="334"/>
      <c r="IP34" s="334"/>
      <c r="IQ34" s="334"/>
      <c r="IR34" s="334"/>
      <c r="IS34" s="334"/>
      <c r="IT34" s="334"/>
      <c r="IU34" s="334"/>
      <c r="IV34" s="334"/>
      <c r="IW34" s="334"/>
    </row>
    <row r="35" spans="2:257" ht="12.75" customHeight="1">
      <c r="B35" s="192" t="s">
        <v>54</v>
      </c>
      <c r="C35" s="142"/>
      <c r="D35" s="129"/>
      <c r="E35" s="129"/>
      <c r="F35" s="167"/>
      <c r="G35" s="796" t="s">
        <v>1547</v>
      </c>
      <c r="H35" s="769"/>
      <c r="I35" s="769"/>
      <c r="J35" s="769"/>
      <c r="K35" s="769"/>
      <c r="L35" s="769"/>
      <c r="M35" s="769"/>
      <c r="N35" s="770"/>
      <c r="O35" s="142"/>
      <c r="P35" s="167"/>
      <c r="Q35" s="792"/>
      <c r="R35" s="793"/>
      <c r="S35" s="793"/>
      <c r="T35" s="793"/>
      <c r="U35" s="793"/>
      <c r="V35" s="794"/>
      <c r="W35" s="142"/>
      <c r="X35" s="167"/>
      <c r="Y35" s="795"/>
      <c r="Z35" s="794"/>
      <c r="AA35" s="792"/>
      <c r="AB35" s="793"/>
      <c r="AC35" s="793"/>
      <c r="AD35" s="794"/>
      <c r="AE35" s="792" t="s">
        <v>1536</v>
      </c>
      <c r="AF35" s="793"/>
      <c r="AG35" s="793"/>
      <c r="AH35" s="793"/>
      <c r="AI35" s="793"/>
      <c r="AJ35" s="793"/>
      <c r="AK35" s="793"/>
      <c r="AL35" s="793"/>
      <c r="AM35" s="794"/>
      <c r="AN35" s="142"/>
    </row>
    <row r="36" spans="2:257" ht="12.75" customHeight="1">
      <c r="B36" s="163"/>
      <c r="C36" s="129"/>
      <c r="D36" s="129"/>
      <c r="E36" s="129"/>
      <c r="F36" s="129"/>
      <c r="G36" s="751" t="s">
        <v>55</v>
      </c>
      <c r="H36" s="752"/>
      <c r="I36" s="752"/>
      <c r="J36" s="752"/>
      <c r="K36" s="752"/>
      <c r="L36" s="752"/>
      <c r="M36" s="752"/>
      <c r="N36" s="752"/>
      <c r="O36" s="129"/>
      <c r="P36" s="129"/>
      <c r="Q36" s="751" t="s">
        <v>56</v>
      </c>
      <c r="R36" s="752"/>
      <c r="S36" s="752"/>
      <c r="T36" s="752"/>
      <c r="U36" s="752"/>
      <c r="V36" s="752"/>
      <c r="W36" s="129"/>
      <c r="X36" s="129"/>
      <c r="Y36" s="751" t="s">
        <v>57</v>
      </c>
      <c r="Z36" s="752"/>
      <c r="AA36" s="751" t="s">
        <v>58</v>
      </c>
      <c r="AB36" s="752"/>
      <c r="AC36" s="752"/>
      <c r="AD36" s="752"/>
      <c r="AE36" s="751" t="s">
        <v>59</v>
      </c>
      <c r="AF36" s="752"/>
      <c r="AG36" s="752"/>
      <c r="AH36" s="752"/>
      <c r="AI36" s="752"/>
      <c r="AJ36" s="752"/>
      <c r="AK36" s="752"/>
      <c r="AL36" s="752"/>
      <c r="AM36" s="752"/>
      <c r="AN36" s="129"/>
    </row>
    <row r="37" spans="2:257" ht="8.15" customHeight="1">
      <c r="B37" s="481"/>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c r="AA37" s="481"/>
      <c r="AB37" s="481"/>
      <c r="AC37" s="481"/>
      <c r="AD37" s="481"/>
      <c r="AE37" s="481"/>
      <c r="AF37" s="481"/>
      <c r="AG37" s="481"/>
      <c r="AH37" s="481"/>
      <c r="AI37" s="481"/>
      <c r="AJ37" s="481"/>
      <c r="AK37" s="481"/>
      <c r="AL37" s="481"/>
      <c r="AM37" s="481"/>
      <c r="AN37" s="481"/>
    </row>
    <row r="38" spans="2:257" s="492" customFormat="1" ht="8.15" customHeight="1">
      <c r="B38" s="486"/>
      <c r="C38" s="487"/>
      <c r="D38" s="491"/>
      <c r="E38" s="491"/>
      <c r="F38" s="491"/>
      <c r="G38" s="491"/>
      <c r="H38" s="491"/>
      <c r="I38" s="491"/>
      <c r="J38" s="491"/>
      <c r="K38" s="491"/>
      <c r="L38" s="491"/>
      <c r="M38" s="491"/>
      <c r="N38" s="491"/>
      <c r="O38" s="491"/>
      <c r="P38" s="491"/>
      <c r="Q38" s="491"/>
      <c r="R38" s="491"/>
      <c r="S38" s="491"/>
      <c r="T38" s="491"/>
      <c r="U38" s="491"/>
      <c r="V38" s="491"/>
      <c r="W38" s="491"/>
      <c r="X38" s="491"/>
      <c r="Y38" s="491"/>
      <c r="Z38" s="491"/>
      <c r="AA38" s="491"/>
      <c r="AB38" s="491"/>
      <c r="AC38" s="491"/>
      <c r="AD38" s="491"/>
      <c r="AE38" s="491"/>
      <c r="AF38" s="491"/>
      <c r="AG38" s="491"/>
      <c r="AH38" s="491"/>
      <c r="AI38" s="491"/>
      <c r="AJ38" s="491"/>
      <c r="AK38" s="491"/>
      <c r="AL38" s="491"/>
      <c r="AM38" s="491"/>
      <c r="AN38" s="487"/>
      <c r="AO38" s="334"/>
      <c r="AP38" s="334"/>
      <c r="AQ38" s="334"/>
      <c r="AR38" s="334"/>
      <c r="AS38" s="334"/>
      <c r="AT38" s="334"/>
      <c r="AU38" s="334"/>
      <c r="AV38" s="334"/>
      <c r="AW38" s="334"/>
      <c r="AX38" s="334"/>
      <c r="AY38" s="334"/>
      <c r="AZ38" s="334"/>
      <c r="BA38" s="334"/>
      <c r="BB38" s="334"/>
      <c r="BC38" s="334"/>
      <c r="BD38" s="334"/>
      <c r="BE38" s="334"/>
      <c r="BF38" s="334"/>
      <c r="BG38" s="334"/>
      <c r="BH38" s="334"/>
      <c r="BI38" s="334"/>
      <c r="BJ38" s="334"/>
      <c r="BK38" s="334"/>
      <c r="BL38" s="334"/>
      <c r="BM38" s="334"/>
      <c r="BN38" s="334"/>
      <c r="BO38" s="334"/>
      <c r="BP38" s="334"/>
      <c r="BQ38" s="334"/>
      <c r="BR38" s="334"/>
      <c r="BS38" s="334"/>
      <c r="BT38" s="334"/>
      <c r="BU38" s="334"/>
      <c r="BV38" s="334"/>
      <c r="BW38" s="334"/>
      <c r="BX38" s="334"/>
      <c r="BY38" s="334"/>
      <c r="BZ38" s="334"/>
      <c r="CA38" s="334"/>
      <c r="CB38" s="334"/>
      <c r="CC38" s="334"/>
      <c r="CD38" s="334"/>
      <c r="CE38" s="334"/>
      <c r="CF38" s="334"/>
      <c r="CG38" s="334"/>
      <c r="CH38" s="334"/>
      <c r="CI38" s="334"/>
      <c r="CJ38" s="334"/>
      <c r="CK38" s="334"/>
      <c r="CL38" s="334"/>
      <c r="CM38" s="334"/>
      <c r="CN38" s="334"/>
      <c r="CO38" s="334"/>
      <c r="CP38" s="334"/>
      <c r="CQ38" s="334"/>
      <c r="CR38" s="334"/>
      <c r="CS38" s="334"/>
      <c r="CT38" s="334"/>
      <c r="CU38" s="334"/>
      <c r="CV38" s="334"/>
      <c r="CW38" s="334"/>
      <c r="CX38" s="334"/>
      <c r="CY38" s="334"/>
      <c r="CZ38" s="334"/>
      <c r="DA38" s="334"/>
      <c r="DB38" s="334"/>
      <c r="DC38" s="334"/>
      <c r="DD38" s="334"/>
      <c r="DE38" s="334"/>
      <c r="DF38" s="334"/>
      <c r="DG38" s="334"/>
      <c r="DH38" s="334"/>
      <c r="DI38" s="334"/>
      <c r="DJ38" s="334"/>
      <c r="DK38" s="334"/>
      <c r="DL38" s="334"/>
      <c r="DM38" s="334"/>
      <c r="DN38" s="334"/>
      <c r="DO38" s="334"/>
      <c r="DP38" s="334"/>
      <c r="DQ38" s="334"/>
      <c r="DR38" s="334"/>
      <c r="DS38" s="334"/>
      <c r="DT38" s="334"/>
      <c r="DU38" s="334"/>
      <c r="DV38" s="334"/>
      <c r="DW38" s="334"/>
      <c r="DX38" s="334"/>
      <c r="DY38" s="334"/>
      <c r="DZ38" s="334"/>
      <c r="EA38" s="334"/>
      <c r="EB38" s="334"/>
      <c r="EC38" s="334"/>
      <c r="ED38" s="334"/>
      <c r="EE38" s="334"/>
      <c r="EF38" s="334"/>
      <c r="EG38" s="334"/>
      <c r="EH38" s="334"/>
      <c r="EI38" s="334"/>
      <c r="EJ38" s="334"/>
      <c r="EK38" s="334"/>
      <c r="EL38" s="334"/>
      <c r="EM38" s="334"/>
      <c r="EN38" s="334"/>
      <c r="EO38" s="334"/>
      <c r="EP38" s="334"/>
      <c r="EQ38" s="334"/>
      <c r="ER38" s="334"/>
      <c r="ES38" s="334"/>
      <c r="ET38" s="334"/>
      <c r="EU38" s="334"/>
      <c r="EV38" s="334"/>
      <c r="EW38" s="334"/>
      <c r="EX38" s="334"/>
      <c r="EY38" s="334"/>
      <c r="EZ38" s="334"/>
      <c r="FA38" s="334"/>
      <c r="FB38" s="334"/>
      <c r="FC38" s="334"/>
      <c r="FD38" s="334"/>
      <c r="FE38" s="334"/>
      <c r="FF38" s="334"/>
      <c r="FG38" s="334"/>
      <c r="FH38" s="334"/>
      <c r="FI38" s="334"/>
      <c r="FJ38" s="334"/>
      <c r="FK38" s="334"/>
      <c r="FL38" s="334"/>
      <c r="FM38" s="334"/>
      <c r="FN38" s="334"/>
      <c r="FO38" s="334"/>
      <c r="FP38" s="334"/>
      <c r="FQ38" s="334"/>
      <c r="FR38" s="334"/>
      <c r="FS38" s="334"/>
      <c r="FT38" s="334"/>
      <c r="FU38" s="334"/>
      <c r="FV38" s="334"/>
      <c r="FW38" s="334"/>
      <c r="FX38" s="334"/>
      <c r="FY38" s="334"/>
      <c r="FZ38" s="334"/>
      <c r="GA38" s="334"/>
      <c r="GB38" s="334"/>
      <c r="GC38" s="334"/>
      <c r="GD38" s="334"/>
      <c r="GE38" s="334"/>
      <c r="GF38" s="334"/>
      <c r="GG38" s="334"/>
      <c r="GH38" s="334"/>
      <c r="GI38" s="334"/>
      <c r="GJ38" s="334"/>
      <c r="GK38" s="334"/>
      <c r="GL38" s="334"/>
      <c r="GM38" s="334"/>
      <c r="GN38" s="334"/>
      <c r="GO38" s="334"/>
      <c r="GP38" s="334"/>
      <c r="GQ38" s="334"/>
      <c r="GR38" s="334"/>
      <c r="GS38" s="334"/>
      <c r="GT38" s="334"/>
      <c r="GU38" s="334"/>
      <c r="GV38" s="334"/>
      <c r="GW38" s="334"/>
      <c r="GX38" s="334"/>
      <c r="GY38" s="334"/>
      <c r="GZ38" s="334"/>
      <c r="HA38" s="334"/>
      <c r="HB38" s="334"/>
      <c r="HC38" s="334"/>
      <c r="HD38" s="334"/>
      <c r="HE38" s="334"/>
      <c r="HF38" s="334"/>
      <c r="HG38" s="334"/>
      <c r="HH38" s="334"/>
      <c r="HI38" s="334"/>
      <c r="HJ38" s="334"/>
      <c r="HK38" s="334"/>
      <c r="HL38" s="334"/>
      <c r="HM38" s="334"/>
      <c r="HN38" s="334"/>
      <c r="HO38" s="334"/>
      <c r="HP38" s="334"/>
      <c r="HQ38" s="334"/>
      <c r="HR38" s="334"/>
      <c r="HS38" s="334"/>
      <c r="HT38" s="334"/>
      <c r="HU38" s="334"/>
      <c r="HV38" s="334"/>
      <c r="HW38" s="334"/>
      <c r="HX38" s="334"/>
      <c r="HY38" s="334"/>
      <c r="HZ38" s="334"/>
      <c r="IA38" s="334"/>
      <c r="IB38" s="334"/>
      <c r="IC38" s="334"/>
      <c r="ID38" s="334"/>
      <c r="IE38" s="334"/>
      <c r="IF38" s="334"/>
      <c r="IG38" s="334"/>
      <c r="IH38" s="334"/>
      <c r="II38" s="334"/>
      <c r="IJ38" s="334"/>
      <c r="IK38" s="334"/>
      <c r="IL38" s="334"/>
      <c r="IM38" s="334"/>
      <c r="IN38" s="334"/>
      <c r="IO38" s="334"/>
      <c r="IP38" s="334"/>
      <c r="IQ38" s="334"/>
      <c r="IR38" s="334"/>
      <c r="IS38" s="334"/>
      <c r="IT38" s="334"/>
      <c r="IU38" s="334"/>
      <c r="IV38" s="334"/>
      <c r="IW38" s="334"/>
    </row>
    <row r="39" spans="2:257" ht="12.75" customHeight="1">
      <c r="B39" s="192" t="s">
        <v>60</v>
      </c>
      <c r="C39" s="503"/>
      <c r="D39" s="792" t="s">
        <v>1543</v>
      </c>
      <c r="E39" s="793"/>
      <c r="F39" s="793"/>
      <c r="G39" s="793"/>
      <c r="H39" s="793"/>
      <c r="I39" s="793"/>
      <c r="J39" s="793"/>
      <c r="K39" s="793"/>
      <c r="L39" s="793"/>
      <c r="M39" s="793"/>
      <c r="N39" s="793"/>
      <c r="O39" s="793"/>
      <c r="P39" s="793"/>
      <c r="Q39" s="793"/>
      <c r="R39" s="793"/>
      <c r="S39" s="793"/>
      <c r="T39" s="793"/>
      <c r="U39" s="793"/>
      <c r="V39" s="793"/>
      <c r="W39" s="793"/>
      <c r="X39" s="793"/>
      <c r="Y39" s="793"/>
      <c r="Z39" s="793"/>
      <c r="AA39" s="793"/>
      <c r="AB39" s="793"/>
      <c r="AC39" s="793"/>
      <c r="AD39" s="793"/>
      <c r="AE39" s="793"/>
      <c r="AF39" s="793"/>
      <c r="AG39" s="793"/>
      <c r="AH39" s="793"/>
      <c r="AI39" s="793"/>
      <c r="AJ39" s="793"/>
      <c r="AK39" s="793"/>
      <c r="AL39" s="793"/>
      <c r="AM39" s="794"/>
      <c r="AN39" s="142"/>
    </row>
    <row r="40" spans="2:257" ht="12.75" customHeight="1">
      <c r="B40" s="163"/>
      <c r="C40" s="129"/>
      <c r="D40" s="751" t="s">
        <v>61</v>
      </c>
      <c r="E40" s="752"/>
      <c r="F40" s="752"/>
      <c r="G40" s="752"/>
      <c r="H40" s="752"/>
      <c r="I40" s="752"/>
      <c r="J40" s="752"/>
      <c r="K40" s="752"/>
      <c r="L40" s="752"/>
      <c r="M40" s="752"/>
      <c r="N40" s="752"/>
      <c r="O40" s="752"/>
      <c r="P40" s="752"/>
      <c r="Q40" s="752"/>
      <c r="R40" s="752"/>
      <c r="S40" s="752"/>
      <c r="T40" s="752"/>
      <c r="U40" s="752"/>
      <c r="V40" s="752"/>
      <c r="W40" s="752"/>
      <c r="X40" s="752"/>
      <c r="Y40" s="752"/>
      <c r="Z40" s="752"/>
      <c r="AA40" s="752"/>
      <c r="AB40" s="752"/>
      <c r="AC40" s="752"/>
      <c r="AD40" s="752"/>
      <c r="AE40" s="752"/>
      <c r="AF40" s="752"/>
      <c r="AG40" s="752"/>
      <c r="AH40" s="752"/>
      <c r="AI40" s="752"/>
      <c r="AJ40" s="752"/>
      <c r="AK40" s="752"/>
      <c r="AL40" s="752"/>
      <c r="AM40" s="752"/>
      <c r="AN40" s="129"/>
    </row>
    <row r="41" spans="2:257" ht="8.15" customHeight="1">
      <c r="B41" s="481"/>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c r="AA41" s="481"/>
      <c r="AB41" s="481"/>
      <c r="AC41" s="481"/>
      <c r="AD41" s="481"/>
      <c r="AE41" s="481"/>
      <c r="AF41" s="481"/>
      <c r="AG41" s="481"/>
      <c r="AH41" s="481"/>
      <c r="AI41" s="481"/>
      <c r="AJ41" s="481"/>
      <c r="AK41" s="481"/>
      <c r="AL41" s="481"/>
      <c r="AM41" s="481"/>
      <c r="AN41" s="481"/>
    </row>
    <row r="42" spans="2:257" s="492" customFormat="1" ht="8.15" customHeight="1">
      <c r="B42" s="486"/>
      <c r="C42" s="487"/>
      <c r="D42" s="491"/>
      <c r="E42" s="491"/>
      <c r="F42" s="491"/>
      <c r="G42" s="491"/>
      <c r="H42" s="491"/>
      <c r="I42" s="491"/>
      <c r="J42" s="491"/>
      <c r="K42" s="491"/>
      <c r="L42" s="491"/>
      <c r="M42" s="491"/>
      <c r="N42" s="491"/>
      <c r="O42" s="491"/>
      <c r="P42" s="491"/>
      <c r="Q42" s="491"/>
      <c r="R42" s="491"/>
      <c r="S42" s="491"/>
      <c r="T42" s="491"/>
      <c r="U42" s="491"/>
      <c r="V42" s="491"/>
      <c r="W42" s="491"/>
      <c r="X42" s="491"/>
      <c r="Y42" s="491"/>
      <c r="Z42" s="491"/>
      <c r="AA42" s="491"/>
      <c r="AB42" s="491"/>
      <c r="AC42" s="491"/>
      <c r="AD42" s="491"/>
      <c r="AE42" s="491"/>
      <c r="AF42" s="491"/>
      <c r="AG42" s="491"/>
      <c r="AH42" s="491"/>
      <c r="AI42" s="491"/>
      <c r="AJ42" s="491"/>
      <c r="AK42" s="491"/>
      <c r="AL42" s="491"/>
      <c r="AM42" s="491"/>
      <c r="AN42" s="487"/>
      <c r="AO42" s="334"/>
      <c r="AP42" s="334"/>
      <c r="AQ42" s="334"/>
      <c r="AR42" s="334"/>
      <c r="AS42" s="334"/>
      <c r="AT42" s="334"/>
      <c r="AU42" s="334"/>
      <c r="AV42" s="334"/>
      <c r="AW42" s="334"/>
      <c r="AX42" s="334"/>
      <c r="AY42" s="334"/>
      <c r="AZ42" s="334"/>
      <c r="BA42" s="334"/>
      <c r="BB42" s="334"/>
      <c r="BC42" s="334"/>
      <c r="BD42" s="334"/>
      <c r="BE42" s="334"/>
      <c r="BF42" s="334"/>
      <c r="BG42" s="334"/>
      <c r="BH42" s="334"/>
      <c r="BI42" s="334"/>
      <c r="BJ42" s="334"/>
      <c r="BK42" s="334"/>
      <c r="BL42" s="334"/>
      <c r="BM42" s="334"/>
      <c r="BN42" s="334"/>
      <c r="BO42" s="334"/>
      <c r="BP42" s="334"/>
      <c r="BQ42" s="334"/>
      <c r="BR42" s="334"/>
      <c r="BS42" s="334"/>
      <c r="BT42" s="334"/>
      <c r="BU42" s="334"/>
      <c r="BV42" s="334"/>
      <c r="BW42" s="334"/>
      <c r="BX42" s="334"/>
      <c r="BY42" s="334"/>
      <c r="BZ42" s="334"/>
      <c r="CA42" s="334"/>
      <c r="CB42" s="334"/>
      <c r="CC42" s="334"/>
      <c r="CD42" s="334"/>
      <c r="CE42" s="334"/>
      <c r="CF42" s="334"/>
      <c r="CG42" s="334"/>
      <c r="CH42" s="334"/>
      <c r="CI42" s="334"/>
      <c r="CJ42" s="334"/>
      <c r="CK42" s="334"/>
      <c r="CL42" s="334"/>
      <c r="CM42" s="334"/>
      <c r="CN42" s="334"/>
      <c r="CO42" s="334"/>
      <c r="CP42" s="334"/>
      <c r="CQ42" s="334"/>
      <c r="CR42" s="334"/>
      <c r="CS42" s="334"/>
      <c r="CT42" s="334"/>
      <c r="CU42" s="334"/>
      <c r="CV42" s="334"/>
      <c r="CW42" s="334"/>
      <c r="CX42" s="334"/>
      <c r="CY42" s="334"/>
      <c r="CZ42" s="334"/>
      <c r="DA42" s="334"/>
      <c r="DB42" s="334"/>
      <c r="DC42" s="334"/>
      <c r="DD42" s="334"/>
      <c r="DE42" s="334"/>
      <c r="DF42" s="334"/>
      <c r="DG42" s="334"/>
      <c r="DH42" s="334"/>
      <c r="DI42" s="334"/>
      <c r="DJ42" s="334"/>
      <c r="DK42" s="334"/>
      <c r="DL42" s="334"/>
      <c r="DM42" s="334"/>
      <c r="DN42" s="334"/>
      <c r="DO42" s="334"/>
      <c r="DP42" s="334"/>
      <c r="DQ42" s="334"/>
      <c r="DR42" s="334"/>
      <c r="DS42" s="334"/>
      <c r="DT42" s="334"/>
      <c r="DU42" s="334"/>
      <c r="DV42" s="334"/>
      <c r="DW42" s="334"/>
      <c r="DX42" s="334"/>
      <c r="DY42" s="334"/>
      <c r="DZ42" s="334"/>
      <c r="EA42" s="334"/>
      <c r="EB42" s="334"/>
      <c r="EC42" s="334"/>
      <c r="ED42" s="334"/>
      <c r="EE42" s="334"/>
      <c r="EF42" s="334"/>
      <c r="EG42" s="334"/>
      <c r="EH42" s="334"/>
      <c r="EI42" s="334"/>
      <c r="EJ42" s="334"/>
      <c r="EK42" s="334"/>
      <c r="EL42" s="334"/>
      <c r="EM42" s="334"/>
      <c r="EN42" s="334"/>
      <c r="EO42" s="334"/>
      <c r="EP42" s="334"/>
      <c r="EQ42" s="334"/>
      <c r="ER42" s="334"/>
      <c r="ES42" s="334"/>
      <c r="ET42" s="334"/>
      <c r="EU42" s="334"/>
      <c r="EV42" s="334"/>
      <c r="EW42" s="334"/>
      <c r="EX42" s="334"/>
      <c r="EY42" s="334"/>
      <c r="EZ42" s="334"/>
      <c r="FA42" s="334"/>
      <c r="FB42" s="334"/>
      <c r="FC42" s="334"/>
      <c r="FD42" s="334"/>
      <c r="FE42" s="334"/>
      <c r="FF42" s="334"/>
      <c r="FG42" s="334"/>
      <c r="FH42" s="334"/>
      <c r="FI42" s="334"/>
      <c r="FJ42" s="334"/>
      <c r="FK42" s="334"/>
      <c r="FL42" s="334"/>
      <c r="FM42" s="334"/>
      <c r="FN42" s="334"/>
      <c r="FO42" s="334"/>
      <c r="FP42" s="334"/>
      <c r="FQ42" s="334"/>
      <c r="FR42" s="334"/>
      <c r="FS42" s="334"/>
      <c r="FT42" s="334"/>
      <c r="FU42" s="334"/>
      <c r="FV42" s="334"/>
      <c r="FW42" s="334"/>
      <c r="FX42" s="334"/>
      <c r="FY42" s="334"/>
      <c r="FZ42" s="334"/>
      <c r="GA42" s="334"/>
      <c r="GB42" s="334"/>
      <c r="GC42" s="334"/>
      <c r="GD42" s="334"/>
      <c r="GE42" s="334"/>
      <c r="GF42" s="334"/>
      <c r="GG42" s="334"/>
      <c r="GH42" s="334"/>
      <c r="GI42" s="334"/>
      <c r="GJ42" s="334"/>
      <c r="GK42" s="334"/>
      <c r="GL42" s="334"/>
      <c r="GM42" s="334"/>
      <c r="GN42" s="334"/>
      <c r="GO42" s="334"/>
      <c r="GP42" s="334"/>
      <c r="GQ42" s="334"/>
      <c r="GR42" s="334"/>
      <c r="GS42" s="334"/>
      <c r="GT42" s="334"/>
      <c r="GU42" s="334"/>
      <c r="GV42" s="334"/>
      <c r="GW42" s="334"/>
      <c r="GX42" s="334"/>
      <c r="GY42" s="334"/>
      <c r="GZ42" s="334"/>
      <c r="HA42" s="334"/>
      <c r="HB42" s="334"/>
      <c r="HC42" s="334"/>
      <c r="HD42" s="334"/>
      <c r="HE42" s="334"/>
      <c r="HF42" s="334"/>
      <c r="HG42" s="334"/>
      <c r="HH42" s="334"/>
      <c r="HI42" s="334"/>
      <c r="HJ42" s="334"/>
      <c r="HK42" s="334"/>
      <c r="HL42" s="334"/>
      <c r="HM42" s="334"/>
      <c r="HN42" s="334"/>
      <c r="HO42" s="334"/>
      <c r="HP42" s="334"/>
      <c r="HQ42" s="334"/>
      <c r="HR42" s="334"/>
      <c r="HS42" s="334"/>
      <c r="HT42" s="334"/>
      <c r="HU42" s="334"/>
      <c r="HV42" s="334"/>
      <c r="HW42" s="334"/>
      <c r="HX42" s="334"/>
      <c r="HY42" s="334"/>
      <c r="HZ42" s="334"/>
      <c r="IA42" s="334"/>
      <c r="IB42" s="334"/>
      <c r="IC42" s="334"/>
      <c r="ID42" s="334"/>
      <c r="IE42" s="334"/>
      <c r="IF42" s="334"/>
      <c r="IG42" s="334"/>
      <c r="IH42" s="334"/>
      <c r="II42" s="334"/>
      <c r="IJ42" s="334"/>
      <c r="IK42" s="334"/>
      <c r="IL42" s="334"/>
      <c r="IM42" s="334"/>
      <c r="IN42" s="334"/>
      <c r="IO42" s="334"/>
      <c r="IP42" s="334"/>
      <c r="IQ42" s="334"/>
      <c r="IR42" s="334"/>
      <c r="IS42" s="334"/>
      <c r="IT42" s="334"/>
      <c r="IU42" s="334"/>
      <c r="IV42" s="334"/>
      <c r="IW42" s="334"/>
    </row>
    <row r="43" spans="2:257" ht="12.75" customHeight="1">
      <c r="B43" s="192" t="s">
        <v>62</v>
      </c>
      <c r="C43" s="503"/>
      <c r="D43" s="777" t="s">
        <v>1548</v>
      </c>
      <c r="E43" s="769"/>
      <c r="F43" s="769"/>
      <c r="G43" s="769"/>
      <c r="H43" s="769"/>
      <c r="I43" s="769"/>
      <c r="J43" s="769"/>
      <c r="K43" s="769"/>
      <c r="L43" s="769"/>
      <c r="M43" s="769"/>
      <c r="N43" s="769"/>
      <c r="O43" s="769"/>
      <c r="P43" s="769"/>
      <c r="Q43" s="769"/>
      <c r="R43" s="769"/>
      <c r="S43" s="769"/>
      <c r="T43" s="769"/>
      <c r="U43" s="769"/>
      <c r="V43" s="769"/>
      <c r="W43" s="769"/>
      <c r="X43" s="769"/>
      <c r="Y43" s="769"/>
      <c r="Z43" s="769"/>
      <c r="AA43" s="769"/>
      <c r="AB43" s="769"/>
      <c r="AC43" s="769"/>
      <c r="AD43" s="770"/>
      <c r="AE43" s="795"/>
      <c r="AF43" s="793"/>
      <c r="AG43" s="793"/>
      <c r="AH43" s="793"/>
      <c r="AI43" s="793"/>
      <c r="AJ43" s="793"/>
      <c r="AK43" s="793"/>
      <c r="AL43" s="793"/>
      <c r="AM43" s="794"/>
      <c r="AN43" s="142"/>
    </row>
    <row r="44" spans="2:257" ht="12.75" customHeight="1">
      <c r="B44" s="163"/>
      <c r="C44" s="129"/>
      <c r="D44" s="751" t="s">
        <v>63</v>
      </c>
      <c r="E44" s="752"/>
      <c r="F44" s="752"/>
      <c r="G44" s="752"/>
      <c r="H44" s="752"/>
      <c r="I44" s="752"/>
      <c r="J44" s="752"/>
      <c r="K44" s="752"/>
      <c r="L44" s="752"/>
      <c r="M44" s="752"/>
      <c r="N44" s="752"/>
      <c r="O44" s="752"/>
      <c r="P44" s="752"/>
      <c r="Q44" s="752"/>
      <c r="R44" s="752"/>
      <c r="S44" s="752"/>
      <c r="T44" s="752"/>
      <c r="U44" s="752"/>
      <c r="V44" s="752"/>
      <c r="W44" s="752"/>
      <c r="X44" s="752"/>
      <c r="Y44" s="752"/>
      <c r="Z44" s="752"/>
      <c r="AA44" s="752"/>
      <c r="AB44" s="752"/>
      <c r="AC44" s="752"/>
      <c r="AD44" s="752"/>
      <c r="AE44" s="751" t="s">
        <v>64</v>
      </c>
      <c r="AF44" s="752"/>
      <c r="AG44" s="752"/>
      <c r="AH44" s="752"/>
      <c r="AI44" s="752"/>
      <c r="AJ44" s="752"/>
      <c r="AK44" s="752"/>
      <c r="AL44" s="752"/>
      <c r="AM44" s="752"/>
      <c r="AN44" s="129"/>
    </row>
    <row r="45" spans="2:257" ht="8.15" customHeight="1">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row>
    <row r="46" spans="2:257" ht="8.15" customHeight="1">
      <c r="B46" s="129"/>
      <c r="C46" s="504"/>
      <c r="D46" s="505"/>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1"/>
      <c r="AI46" s="481"/>
      <c r="AJ46" s="481"/>
      <c r="AK46" s="481"/>
      <c r="AL46" s="481"/>
      <c r="AM46" s="506"/>
      <c r="AN46" s="507"/>
    </row>
    <row r="47" spans="2:257" ht="12.75" customHeight="1">
      <c r="B47" s="129"/>
      <c r="C47" s="167"/>
      <c r="D47" s="777" t="s">
        <v>1549</v>
      </c>
      <c r="E47" s="769"/>
      <c r="F47" s="769"/>
      <c r="G47" s="769"/>
      <c r="H47" s="769"/>
      <c r="I47" s="769"/>
      <c r="J47" s="769"/>
      <c r="K47" s="769"/>
      <c r="L47" s="769"/>
      <c r="M47" s="769"/>
      <c r="N47" s="769"/>
      <c r="O47" s="769"/>
      <c r="P47" s="769"/>
      <c r="Q47" s="769"/>
      <c r="R47" s="769"/>
      <c r="S47" s="769"/>
      <c r="T47" s="769"/>
      <c r="U47" s="769"/>
      <c r="V47" s="769"/>
      <c r="W47" s="769"/>
      <c r="X47" s="769"/>
      <c r="Y47" s="769"/>
      <c r="Z47" s="769"/>
      <c r="AA47" s="769"/>
      <c r="AB47" s="769"/>
      <c r="AC47" s="769"/>
      <c r="AD47" s="769"/>
      <c r="AE47" s="769"/>
      <c r="AF47" s="769"/>
      <c r="AG47" s="769"/>
      <c r="AH47" s="769"/>
      <c r="AI47" s="769"/>
      <c r="AJ47" s="769"/>
      <c r="AK47" s="769"/>
      <c r="AL47" s="769"/>
      <c r="AM47" s="770"/>
      <c r="AN47" s="142"/>
    </row>
    <row r="48" spans="2:257" ht="12.75" customHeight="1">
      <c r="B48" s="129"/>
      <c r="C48" s="129"/>
      <c r="D48" s="751" t="s">
        <v>65</v>
      </c>
      <c r="E48" s="752"/>
      <c r="F48" s="752"/>
      <c r="G48" s="752"/>
      <c r="H48" s="752"/>
      <c r="I48" s="752"/>
      <c r="J48" s="752"/>
      <c r="K48" s="752"/>
      <c r="L48" s="752"/>
      <c r="M48" s="752"/>
      <c r="N48" s="752"/>
      <c r="O48" s="752"/>
      <c r="P48" s="752"/>
      <c r="Q48" s="752"/>
      <c r="R48" s="752"/>
      <c r="S48" s="752"/>
      <c r="T48" s="752"/>
      <c r="U48" s="752"/>
      <c r="V48" s="752"/>
      <c r="W48" s="752"/>
      <c r="X48" s="752"/>
      <c r="Y48" s="752"/>
      <c r="Z48" s="752"/>
      <c r="AA48" s="752"/>
      <c r="AB48" s="752"/>
      <c r="AC48" s="752"/>
      <c r="AD48" s="752"/>
      <c r="AE48" s="752"/>
      <c r="AF48" s="752"/>
      <c r="AG48" s="752"/>
      <c r="AH48" s="752"/>
      <c r="AI48" s="752"/>
      <c r="AJ48" s="752"/>
      <c r="AK48" s="752"/>
      <c r="AL48" s="752"/>
      <c r="AM48" s="752"/>
      <c r="AN48" s="129"/>
    </row>
    <row r="49" spans="2:40" ht="8.15" customHeight="1">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c r="AF49" s="129"/>
      <c r="AG49" s="129"/>
      <c r="AH49" s="129"/>
      <c r="AI49" s="129"/>
      <c r="AJ49" s="129"/>
      <c r="AK49" s="129"/>
      <c r="AL49" s="129"/>
      <c r="AM49" s="129"/>
      <c r="AN49" s="129"/>
    </row>
    <row r="50" spans="2:40" ht="8.15" customHeight="1">
      <c r="B50" s="129"/>
      <c r="C50" s="504"/>
      <c r="D50" s="505"/>
      <c r="E50" s="481"/>
      <c r="F50" s="481"/>
      <c r="G50" s="481"/>
      <c r="H50" s="481"/>
      <c r="I50" s="481"/>
      <c r="J50" s="481"/>
      <c r="K50" s="481"/>
      <c r="L50" s="481"/>
      <c r="M50" s="481"/>
      <c r="N50" s="481"/>
      <c r="O50" s="481"/>
      <c r="P50" s="481"/>
      <c r="Q50" s="481"/>
      <c r="R50" s="481"/>
      <c r="S50" s="481"/>
      <c r="T50" s="481"/>
      <c r="U50" s="481"/>
      <c r="V50" s="481"/>
      <c r="W50" s="481"/>
      <c r="X50" s="481"/>
      <c r="Y50" s="481"/>
      <c r="Z50" s="481"/>
      <c r="AA50" s="481"/>
      <c r="AB50" s="481"/>
      <c r="AC50" s="481"/>
      <c r="AD50" s="481"/>
      <c r="AE50" s="481"/>
      <c r="AF50" s="481"/>
      <c r="AG50" s="481"/>
      <c r="AH50" s="481"/>
      <c r="AI50" s="481"/>
      <c r="AJ50" s="481"/>
      <c r="AK50" s="481"/>
      <c r="AL50" s="481"/>
      <c r="AM50" s="506"/>
      <c r="AN50" s="507"/>
    </row>
    <row r="51" spans="2:40" ht="12.75" customHeight="1">
      <c r="B51" s="129"/>
      <c r="C51" s="167"/>
      <c r="D51" s="782" t="s">
        <v>1549</v>
      </c>
      <c r="E51" s="769"/>
      <c r="F51" s="769"/>
      <c r="G51" s="769"/>
      <c r="H51" s="769"/>
      <c r="I51" s="769"/>
      <c r="J51" s="769"/>
      <c r="K51" s="769"/>
      <c r="L51" s="769"/>
      <c r="M51" s="769"/>
      <c r="N51" s="769"/>
      <c r="O51" s="769"/>
      <c r="P51" s="769"/>
      <c r="Q51" s="769"/>
      <c r="R51" s="769"/>
      <c r="S51" s="769"/>
      <c r="T51" s="769"/>
      <c r="U51" s="769"/>
      <c r="V51" s="769"/>
      <c r="W51" s="769"/>
      <c r="X51" s="769"/>
      <c r="Y51" s="769"/>
      <c r="Z51" s="769"/>
      <c r="AA51" s="769"/>
      <c r="AB51" s="769"/>
      <c r="AC51" s="769"/>
      <c r="AD51" s="769"/>
      <c r="AE51" s="769"/>
      <c r="AF51" s="769"/>
      <c r="AG51" s="769"/>
      <c r="AH51" s="769"/>
      <c r="AI51" s="769"/>
      <c r="AJ51" s="769"/>
      <c r="AK51" s="769"/>
      <c r="AL51" s="769"/>
      <c r="AM51" s="770"/>
      <c r="AN51" s="142"/>
    </row>
    <row r="52" spans="2:40" ht="26.25" customHeight="1">
      <c r="B52" s="129"/>
      <c r="C52" s="129"/>
      <c r="D52" s="783" t="s">
        <v>66</v>
      </c>
      <c r="E52" s="784"/>
      <c r="F52" s="784"/>
      <c r="G52" s="784"/>
      <c r="H52" s="784"/>
      <c r="I52" s="784"/>
      <c r="J52" s="784"/>
      <c r="K52" s="784"/>
      <c r="L52" s="784"/>
      <c r="M52" s="784"/>
      <c r="N52" s="784"/>
      <c r="O52" s="784"/>
      <c r="P52" s="784"/>
      <c r="Q52" s="784"/>
      <c r="R52" s="784"/>
      <c r="S52" s="784"/>
      <c r="T52" s="784"/>
      <c r="U52" s="784"/>
      <c r="V52" s="784"/>
      <c r="W52" s="784"/>
      <c r="X52" s="784"/>
      <c r="Y52" s="784"/>
      <c r="Z52" s="784"/>
      <c r="AA52" s="784"/>
      <c r="AB52" s="784"/>
      <c r="AC52" s="784"/>
      <c r="AD52" s="784"/>
      <c r="AE52" s="784"/>
      <c r="AF52" s="784"/>
      <c r="AG52" s="784"/>
      <c r="AH52" s="784"/>
      <c r="AI52" s="784"/>
      <c r="AJ52" s="784"/>
      <c r="AK52" s="784"/>
      <c r="AL52" s="784"/>
      <c r="AM52" s="784"/>
      <c r="AN52" s="129"/>
    </row>
    <row r="53" spans="2:40" ht="8.15" customHeight="1">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c r="AF53" s="129"/>
      <c r="AG53" s="129"/>
      <c r="AH53" s="129"/>
      <c r="AI53" s="129"/>
      <c r="AJ53" s="129"/>
      <c r="AK53" s="129"/>
      <c r="AL53" s="129"/>
      <c r="AM53" s="129"/>
      <c r="AN53" s="129"/>
    </row>
    <row r="54" spans="2:40" ht="8.15" customHeight="1">
      <c r="B54" s="129"/>
      <c r="C54" s="504"/>
      <c r="D54" s="505"/>
      <c r="E54" s="481"/>
      <c r="F54" s="481"/>
      <c r="G54" s="481"/>
      <c r="H54" s="481"/>
      <c r="I54" s="481"/>
      <c r="J54" s="481"/>
      <c r="K54" s="481"/>
      <c r="L54" s="481"/>
      <c r="M54" s="481"/>
      <c r="N54" s="481"/>
      <c r="O54" s="481"/>
      <c r="P54" s="481"/>
      <c r="Q54" s="481"/>
      <c r="R54" s="508"/>
      <c r="S54" s="481"/>
      <c r="T54" s="481"/>
      <c r="U54" s="481"/>
      <c r="V54" s="481"/>
      <c r="W54" s="481"/>
      <c r="X54" s="481"/>
      <c r="Y54" s="481"/>
      <c r="Z54" s="481"/>
      <c r="AA54" s="481"/>
      <c r="AB54" s="481"/>
      <c r="AC54" s="481"/>
      <c r="AD54" s="481"/>
      <c r="AE54" s="481"/>
      <c r="AF54" s="481"/>
      <c r="AG54" s="481"/>
      <c r="AH54" s="481"/>
      <c r="AI54" s="481"/>
      <c r="AJ54" s="481"/>
      <c r="AK54" s="481"/>
      <c r="AL54" s="481"/>
      <c r="AM54" s="506"/>
      <c r="AN54" s="507"/>
    </row>
    <row r="55" spans="2:40" ht="12.75" customHeight="1">
      <c r="B55" s="129"/>
      <c r="C55" s="167"/>
      <c r="D55" s="782" t="s">
        <v>1550</v>
      </c>
      <c r="E55" s="769"/>
      <c r="F55" s="769"/>
      <c r="G55" s="769"/>
      <c r="H55" s="769"/>
      <c r="I55" s="769"/>
      <c r="J55" s="769"/>
      <c r="K55" s="769"/>
      <c r="L55" s="769"/>
      <c r="M55" s="769"/>
      <c r="N55" s="769"/>
      <c r="O55" s="769"/>
      <c r="P55" s="769"/>
      <c r="Q55" s="769"/>
      <c r="R55" s="769"/>
      <c r="S55" s="769"/>
      <c r="T55" s="769"/>
      <c r="U55" s="769"/>
      <c r="V55" s="769"/>
      <c r="W55" s="769"/>
      <c r="X55" s="769"/>
      <c r="Y55" s="769"/>
      <c r="Z55" s="769"/>
      <c r="AA55" s="769"/>
      <c r="AB55" s="769"/>
      <c r="AC55" s="769"/>
      <c r="AD55" s="769"/>
      <c r="AE55" s="769"/>
      <c r="AF55" s="769"/>
      <c r="AG55" s="769"/>
      <c r="AH55" s="769"/>
      <c r="AI55" s="769"/>
      <c r="AJ55" s="769"/>
      <c r="AK55" s="769"/>
      <c r="AL55" s="769"/>
      <c r="AM55" s="770"/>
      <c r="AN55" s="142"/>
    </row>
    <row r="56" spans="2:40" ht="15">
      <c r="B56" s="129"/>
      <c r="C56" s="129"/>
      <c r="D56" s="751" t="s">
        <v>67</v>
      </c>
      <c r="E56" s="752"/>
      <c r="F56" s="752"/>
      <c r="G56" s="752"/>
      <c r="H56" s="752"/>
      <c r="I56" s="752"/>
      <c r="J56" s="752"/>
      <c r="K56" s="752"/>
      <c r="L56" s="752"/>
      <c r="M56" s="752"/>
      <c r="N56" s="752"/>
      <c r="O56" s="752"/>
      <c r="P56" s="752"/>
      <c r="Q56" s="752"/>
      <c r="R56" s="752"/>
      <c r="S56" s="752"/>
      <c r="T56" s="752"/>
      <c r="U56" s="752"/>
      <c r="V56" s="752"/>
      <c r="W56" s="752"/>
      <c r="X56" s="752"/>
      <c r="Y56" s="752"/>
      <c r="Z56" s="752"/>
      <c r="AA56" s="752"/>
      <c r="AB56" s="752"/>
      <c r="AC56" s="752"/>
      <c r="AD56" s="752"/>
      <c r="AE56" s="752"/>
      <c r="AF56" s="752"/>
      <c r="AG56" s="752"/>
      <c r="AH56" s="752"/>
      <c r="AI56" s="752"/>
      <c r="AJ56" s="752"/>
      <c r="AK56" s="752"/>
      <c r="AL56" s="752"/>
      <c r="AM56" s="752"/>
      <c r="AN56" s="129"/>
    </row>
    <row r="57" spans="2:40" ht="15">
      <c r="B57" s="129"/>
      <c r="C57" s="504"/>
      <c r="D57" s="509"/>
      <c r="E57" s="510"/>
      <c r="F57" s="510"/>
      <c r="G57" s="510"/>
      <c r="H57" s="510"/>
      <c r="I57" s="510"/>
      <c r="J57" s="510"/>
      <c r="K57" s="510"/>
      <c r="L57" s="510"/>
      <c r="M57" s="510"/>
      <c r="N57" s="510"/>
      <c r="O57" s="510"/>
      <c r="P57" s="510"/>
      <c r="Q57" s="510"/>
      <c r="R57" s="510"/>
      <c r="S57" s="510"/>
      <c r="T57" s="510"/>
      <c r="U57" s="510"/>
      <c r="V57" s="510"/>
      <c r="W57" s="510"/>
      <c r="X57" s="510"/>
      <c r="Y57" s="510"/>
      <c r="Z57" s="510"/>
      <c r="AA57" s="510"/>
      <c r="AB57" s="510"/>
      <c r="AC57" s="510"/>
      <c r="AD57" s="510"/>
      <c r="AE57" s="510"/>
      <c r="AF57" s="510"/>
      <c r="AG57" s="510"/>
      <c r="AH57" s="510"/>
      <c r="AI57" s="510"/>
      <c r="AJ57" s="510"/>
      <c r="AK57" s="510"/>
      <c r="AL57" s="510"/>
      <c r="AM57" s="511"/>
      <c r="AN57" s="507"/>
    </row>
    <row r="58" spans="2:40" ht="12.75" customHeight="1">
      <c r="B58" s="129"/>
      <c r="C58" s="167"/>
      <c r="D58" s="162"/>
      <c r="E58" s="160"/>
      <c r="F58" s="160"/>
      <c r="G58" s="160"/>
      <c r="H58" s="160"/>
      <c r="I58" s="160"/>
      <c r="J58" s="160"/>
      <c r="K58" s="160"/>
      <c r="L58" s="160"/>
      <c r="M58" s="160"/>
      <c r="N58" s="160"/>
      <c r="O58" s="160"/>
      <c r="P58" s="160"/>
      <c r="Q58" s="160"/>
      <c r="R58" s="160"/>
      <c r="S58" s="160"/>
      <c r="T58" s="160"/>
      <c r="U58" s="160"/>
      <c r="V58" s="160"/>
      <c r="W58" s="160"/>
      <c r="X58" s="160"/>
      <c r="Y58" s="160"/>
      <c r="Z58" s="160"/>
      <c r="AA58" s="160"/>
      <c r="AB58" s="160"/>
      <c r="AC58" s="160"/>
      <c r="AD58" s="160"/>
      <c r="AE58" s="160"/>
      <c r="AF58" s="160"/>
      <c r="AG58" s="160"/>
      <c r="AH58" s="160"/>
      <c r="AI58" s="160"/>
      <c r="AJ58" s="160"/>
      <c r="AK58" s="160"/>
      <c r="AL58" s="160"/>
      <c r="AM58" s="161"/>
      <c r="AN58" s="142"/>
    </row>
    <row r="59" spans="2:40" ht="8.15" customHeight="1">
      <c r="B59" s="129"/>
      <c r="C59" s="129"/>
      <c r="D59" s="163"/>
      <c r="E59" s="163"/>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29"/>
    </row>
    <row r="60" spans="2:40" ht="8.15" customHeight="1">
      <c r="B60" s="129"/>
      <c r="C60" s="129"/>
      <c r="D60" s="332"/>
      <c r="E60" s="332"/>
      <c r="F60" s="332"/>
      <c r="G60" s="332"/>
      <c r="H60" s="332"/>
      <c r="I60" s="332"/>
      <c r="J60" s="332"/>
      <c r="K60" s="332"/>
      <c r="L60" s="332"/>
      <c r="M60" s="332"/>
      <c r="N60" s="332"/>
      <c r="O60" s="332"/>
      <c r="P60" s="332"/>
      <c r="Q60" s="332"/>
      <c r="R60" s="332"/>
      <c r="S60" s="332"/>
      <c r="T60" s="332"/>
      <c r="U60" s="332"/>
      <c r="V60" s="332"/>
      <c r="W60" s="332"/>
      <c r="X60" s="332"/>
      <c r="Y60" s="332"/>
      <c r="Z60" s="332"/>
      <c r="AA60" s="332"/>
      <c r="AB60" s="332"/>
      <c r="AC60" s="332"/>
      <c r="AD60" s="332"/>
      <c r="AE60" s="332"/>
      <c r="AF60" s="332"/>
      <c r="AG60" s="332"/>
      <c r="AH60" s="332"/>
      <c r="AI60" s="332"/>
      <c r="AJ60" s="332"/>
      <c r="AK60" s="332"/>
      <c r="AL60" s="332"/>
      <c r="AM60" s="332"/>
      <c r="AN60" s="129"/>
    </row>
    <row r="61" spans="2:40" ht="8.15" customHeight="1">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c r="AF61" s="129"/>
      <c r="AG61" s="129"/>
      <c r="AH61" s="129"/>
      <c r="AI61" s="129"/>
      <c r="AJ61" s="129"/>
      <c r="AK61" s="129"/>
      <c r="AL61" s="129"/>
      <c r="AM61" s="129"/>
      <c r="AN61" s="129"/>
    </row>
    <row r="62" spans="2:40" ht="8.15" customHeight="1">
      <c r="B62" s="167"/>
      <c r="C62" s="512"/>
      <c r="D62" s="160"/>
      <c r="E62" s="151"/>
      <c r="F62" s="151"/>
      <c r="G62" s="151"/>
      <c r="H62" s="151"/>
      <c r="I62" s="151"/>
      <c r="J62" s="160"/>
      <c r="K62" s="151"/>
      <c r="L62" s="151"/>
      <c r="M62" s="151"/>
      <c r="N62" s="160"/>
      <c r="O62" s="151"/>
      <c r="P62" s="151"/>
      <c r="Q62" s="151"/>
      <c r="R62" s="151"/>
      <c r="S62" s="160"/>
      <c r="T62" s="151"/>
      <c r="U62" s="151"/>
      <c r="V62" s="151"/>
      <c r="W62" s="152"/>
      <c r="X62" s="155"/>
      <c r="Y62" s="160"/>
      <c r="Z62" s="151"/>
      <c r="AA62" s="151"/>
      <c r="AB62" s="151"/>
      <c r="AC62" s="151"/>
      <c r="AD62" s="151"/>
      <c r="AE62" s="498"/>
      <c r="AF62" s="151"/>
      <c r="AG62" s="151"/>
      <c r="AH62" s="151"/>
      <c r="AI62" s="151"/>
      <c r="AJ62" s="498"/>
      <c r="AK62" s="151"/>
      <c r="AL62" s="151"/>
      <c r="AM62" s="151"/>
      <c r="AN62" s="129"/>
    </row>
    <row r="63" spans="2:40" ht="18.75" customHeight="1">
      <c r="B63" s="167"/>
      <c r="C63" s="513"/>
      <c r="D63" s="192"/>
      <c r="E63" s="514" t="s">
        <v>68</v>
      </c>
      <c r="F63" s="156"/>
      <c r="G63" s="151"/>
      <c r="H63" s="151"/>
      <c r="I63" s="152"/>
      <c r="J63" s="515"/>
      <c r="K63" s="785" t="s">
        <v>69</v>
      </c>
      <c r="L63" s="786"/>
      <c r="M63" s="516"/>
      <c r="N63" s="515"/>
      <c r="O63" s="785" t="s">
        <v>70</v>
      </c>
      <c r="P63" s="786"/>
      <c r="Q63" s="786"/>
      <c r="R63" s="152"/>
      <c r="S63" s="515" t="s">
        <v>18</v>
      </c>
      <c r="T63" s="785" t="s">
        <v>71</v>
      </c>
      <c r="U63" s="786"/>
      <c r="V63" s="786"/>
      <c r="W63" s="152"/>
      <c r="X63" s="154"/>
      <c r="Y63" s="517"/>
      <c r="Z63" s="514" t="s">
        <v>68</v>
      </c>
      <c r="AA63" s="156"/>
      <c r="AB63" s="151"/>
      <c r="AC63" s="151"/>
      <c r="AD63" s="518"/>
      <c r="AE63" s="492"/>
      <c r="AF63" s="515"/>
      <c r="AG63" s="514" t="s">
        <v>72</v>
      </c>
      <c r="AH63" s="151"/>
      <c r="AI63" s="504"/>
      <c r="AJ63" s="519"/>
      <c r="AK63" s="192" t="s">
        <v>18</v>
      </c>
      <c r="AL63" s="514" t="s">
        <v>73</v>
      </c>
      <c r="AM63" s="152"/>
      <c r="AN63" s="142"/>
    </row>
    <row r="64" spans="2:40" ht="8.15" customHeight="1">
      <c r="B64" s="167"/>
      <c r="C64" s="520"/>
      <c r="D64" s="140"/>
      <c r="E64" s="160"/>
      <c r="F64" s="160"/>
      <c r="G64" s="160"/>
      <c r="H64" s="160"/>
      <c r="I64" s="160"/>
      <c r="J64" s="140"/>
      <c r="K64" s="160"/>
      <c r="L64" s="160"/>
      <c r="M64" s="160"/>
      <c r="N64" s="140"/>
      <c r="O64" s="160"/>
      <c r="P64" s="160"/>
      <c r="Q64" s="160"/>
      <c r="R64" s="160"/>
      <c r="S64" s="140"/>
      <c r="T64" s="160"/>
      <c r="U64" s="160"/>
      <c r="V64" s="160"/>
      <c r="W64" s="161"/>
      <c r="X64" s="162"/>
      <c r="Y64" s="140"/>
      <c r="Z64" s="160"/>
      <c r="AA64" s="160"/>
      <c r="AB64" s="160"/>
      <c r="AC64" s="160"/>
      <c r="AD64" s="160"/>
      <c r="AE64" s="521"/>
      <c r="AF64" s="160"/>
      <c r="AG64" s="160"/>
      <c r="AH64" s="160"/>
      <c r="AI64" s="160"/>
      <c r="AJ64" s="521"/>
      <c r="AK64" s="160"/>
      <c r="AL64" s="160"/>
      <c r="AM64" s="161"/>
      <c r="AN64" s="142"/>
    </row>
    <row r="65" spans="2:40" ht="22.5" customHeight="1">
      <c r="B65" s="129"/>
      <c r="C65" s="757" t="s">
        <v>74</v>
      </c>
      <c r="D65" s="758"/>
      <c r="E65" s="758"/>
      <c r="F65" s="758"/>
      <c r="G65" s="758"/>
      <c r="H65" s="758"/>
      <c r="I65" s="758"/>
      <c r="J65" s="758"/>
      <c r="K65" s="758"/>
      <c r="L65" s="758"/>
      <c r="M65" s="758"/>
      <c r="N65" s="758"/>
      <c r="O65" s="758"/>
      <c r="P65" s="758"/>
      <c r="Q65" s="758"/>
      <c r="R65" s="758"/>
      <c r="S65" s="758"/>
      <c r="T65" s="758"/>
      <c r="U65" s="758"/>
      <c r="V65" s="758"/>
      <c r="W65" s="758"/>
      <c r="X65" s="787" t="s">
        <v>75</v>
      </c>
      <c r="Y65" s="788"/>
      <c r="Z65" s="788"/>
      <c r="AA65" s="788"/>
      <c r="AB65" s="788"/>
      <c r="AC65" s="788"/>
      <c r="AD65" s="788"/>
      <c r="AE65" s="788"/>
      <c r="AF65" s="788"/>
      <c r="AG65" s="788"/>
      <c r="AH65" s="788"/>
      <c r="AI65" s="788"/>
      <c r="AJ65" s="788"/>
      <c r="AK65" s="788"/>
      <c r="AL65" s="788"/>
      <c r="AM65" s="788"/>
      <c r="AN65" s="129"/>
    </row>
    <row r="66" spans="2:40" ht="10.25" customHeight="1">
      <c r="B66" s="129"/>
      <c r="C66" s="129"/>
      <c r="D66" s="129"/>
      <c r="E66" s="129"/>
      <c r="F66" s="129"/>
      <c r="G66" s="129"/>
      <c r="H66" s="129"/>
      <c r="I66" s="129"/>
      <c r="J66" s="129"/>
      <c r="K66" s="129"/>
      <c r="L66" s="129"/>
      <c r="M66" s="129"/>
      <c r="N66" s="129"/>
      <c r="O66" s="129"/>
      <c r="P66" s="129"/>
      <c r="Q66" s="129"/>
      <c r="R66" s="129"/>
      <c r="S66" s="504"/>
      <c r="T66" s="507"/>
      <c r="U66" s="129"/>
      <c r="V66" s="129"/>
      <c r="W66" s="129"/>
      <c r="X66" s="129"/>
      <c r="Y66" s="129"/>
      <c r="Z66" s="129"/>
      <c r="AA66" s="129"/>
      <c r="AB66" s="129"/>
      <c r="AC66" s="129"/>
      <c r="AD66" s="129"/>
      <c r="AE66" s="129"/>
      <c r="AF66" s="129"/>
      <c r="AG66" s="129"/>
      <c r="AH66" s="129"/>
      <c r="AI66" s="129"/>
      <c r="AJ66" s="129"/>
      <c r="AK66" s="129"/>
      <c r="AL66" s="129"/>
      <c r="AM66" s="129"/>
      <c r="AN66" s="507"/>
    </row>
    <row r="67" spans="2:40" ht="10.25" customHeight="1">
      <c r="B67" s="129"/>
      <c r="C67" s="504"/>
      <c r="D67" s="505"/>
      <c r="E67" s="481"/>
      <c r="F67" s="481"/>
      <c r="G67" s="481"/>
      <c r="H67" s="481"/>
      <c r="I67" s="481"/>
      <c r="J67" s="481"/>
      <c r="K67" s="481"/>
      <c r="L67" s="481"/>
      <c r="M67" s="481"/>
      <c r="N67" s="481"/>
      <c r="O67" s="481"/>
      <c r="P67" s="481"/>
      <c r="Q67" s="506"/>
      <c r="R67" s="507"/>
      <c r="S67" s="504"/>
      <c r="T67" s="522"/>
      <c r="U67" s="135"/>
      <c r="V67" s="135"/>
      <c r="W67" s="135"/>
      <c r="X67" s="135"/>
      <c r="Y67" s="135"/>
      <c r="Z67" s="135"/>
      <c r="AA67" s="135"/>
      <c r="AB67" s="135"/>
      <c r="AC67" s="135"/>
      <c r="AD67" s="135"/>
      <c r="AE67" s="135"/>
      <c r="AF67" s="135"/>
      <c r="AG67" s="135"/>
      <c r="AH67" s="135"/>
      <c r="AI67" s="135"/>
      <c r="AJ67" s="135"/>
      <c r="AK67" s="135"/>
      <c r="AL67" s="135"/>
      <c r="AM67" s="135"/>
      <c r="AN67" s="507"/>
    </row>
    <row r="68" spans="2:40" ht="12.75" customHeight="1">
      <c r="B68" s="129"/>
      <c r="C68" s="167"/>
      <c r="D68" s="777" t="s">
        <v>1551</v>
      </c>
      <c r="E68" s="769"/>
      <c r="F68" s="769"/>
      <c r="G68" s="769"/>
      <c r="H68" s="769"/>
      <c r="I68" s="769"/>
      <c r="J68" s="769"/>
      <c r="K68" s="769"/>
      <c r="L68" s="769"/>
      <c r="M68" s="769"/>
      <c r="N68" s="769"/>
      <c r="O68" s="769"/>
      <c r="P68" s="769"/>
      <c r="Q68" s="770"/>
      <c r="R68" s="142"/>
      <c r="S68" s="167"/>
      <c r="T68" s="789" t="s">
        <v>76</v>
      </c>
      <c r="U68" s="790"/>
      <c r="V68" s="790"/>
      <c r="W68" s="790"/>
      <c r="X68" s="790"/>
      <c r="Y68" s="790"/>
      <c r="Z68" s="790"/>
      <c r="AA68" s="790"/>
      <c r="AB68" s="790"/>
      <c r="AC68" s="790"/>
      <c r="AD68" s="790"/>
      <c r="AE68" s="790"/>
      <c r="AF68" s="790"/>
      <c r="AG68" s="790"/>
      <c r="AH68" s="790"/>
      <c r="AI68" s="790"/>
      <c r="AJ68" s="790"/>
      <c r="AK68" s="790"/>
      <c r="AL68" s="790"/>
      <c r="AM68" s="791"/>
      <c r="AN68" s="142"/>
    </row>
    <row r="69" spans="2:40" ht="12.75" customHeight="1">
      <c r="B69" s="129"/>
      <c r="C69" s="129"/>
      <c r="D69" s="751" t="s">
        <v>77</v>
      </c>
      <c r="E69" s="752"/>
      <c r="F69" s="752"/>
      <c r="G69" s="752"/>
      <c r="H69" s="752"/>
      <c r="I69" s="752"/>
      <c r="J69" s="752"/>
      <c r="K69" s="752"/>
      <c r="L69" s="752"/>
      <c r="M69" s="752"/>
      <c r="N69" s="752"/>
      <c r="O69" s="752"/>
      <c r="P69" s="752"/>
      <c r="Q69" s="752"/>
      <c r="R69" s="129"/>
      <c r="S69" s="167"/>
      <c r="T69" s="779" t="s">
        <v>78</v>
      </c>
      <c r="U69" s="780"/>
      <c r="V69" s="780"/>
      <c r="W69" s="780"/>
      <c r="X69" s="780"/>
      <c r="Y69" s="780"/>
      <c r="Z69" s="780"/>
      <c r="AA69" s="780"/>
      <c r="AB69" s="780"/>
      <c r="AC69" s="781"/>
      <c r="AD69" s="779" t="s">
        <v>79</v>
      </c>
      <c r="AE69" s="780"/>
      <c r="AF69" s="780"/>
      <c r="AG69" s="780"/>
      <c r="AH69" s="780"/>
      <c r="AI69" s="780"/>
      <c r="AJ69" s="780"/>
      <c r="AK69" s="780"/>
      <c r="AL69" s="780"/>
      <c r="AM69" s="781"/>
      <c r="AN69" s="142"/>
    </row>
    <row r="70" spans="2:40" ht="12.75" customHeight="1">
      <c r="B70" s="129"/>
      <c r="C70" s="129"/>
      <c r="D70" s="129"/>
      <c r="E70" s="129"/>
      <c r="F70" s="129"/>
      <c r="G70" s="129"/>
      <c r="H70" s="129"/>
      <c r="I70" s="129"/>
      <c r="J70" s="129"/>
      <c r="K70" s="129"/>
      <c r="L70" s="129"/>
      <c r="M70" s="129"/>
      <c r="N70" s="129"/>
      <c r="O70" s="129"/>
      <c r="P70" s="129"/>
      <c r="Q70" s="129"/>
      <c r="R70" s="129"/>
      <c r="S70" s="167"/>
      <c r="T70" s="774"/>
      <c r="U70" s="775"/>
      <c r="V70" s="775"/>
      <c r="W70" s="775"/>
      <c r="X70" s="775"/>
      <c r="Y70" s="775"/>
      <c r="Z70" s="775"/>
      <c r="AA70" s="775"/>
      <c r="AB70" s="775"/>
      <c r="AC70" s="776"/>
      <c r="AD70" s="774"/>
      <c r="AE70" s="775"/>
      <c r="AF70" s="775"/>
      <c r="AG70" s="775"/>
      <c r="AH70" s="775"/>
      <c r="AI70" s="775"/>
      <c r="AJ70" s="775"/>
      <c r="AK70" s="775"/>
      <c r="AL70" s="775"/>
      <c r="AM70" s="776"/>
      <c r="AN70" s="142"/>
    </row>
    <row r="71" spans="2:40" ht="12.75" customHeight="1">
      <c r="B71" s="129"/>
      <c r="C71" s="167"/>
      <c r="D71" s="777" t="s">
        <v>1552</v>
      </c>
      <c r="E71" s="769"/>
      <c r="F71" s="769"/>
      <c r="G71" s="769"/>
      <c r="H71" s="769"/>
      <c r="I71" s="769"/>
      <c r="J71" s="769"/>
      <c r="K71" s="769"/>
      <c r="L71" s="769"/>
      <c r="M71" s="769"/>
      <c r="N71" s="769"/>
      <c r="O71" s="769"/>
      <c r="P71" s="769"/>
      <c r="Q71" s="770"/>
      <c r="R71" s="142"/>
      <c r="S71" s="167"/>
      <c r="T71" s="756" t="s">
        <v>1553</v>
      </c>
      <c r="U71" s="754"/>
      <c r="V71" s="754"/>
      <c r="W71" s="754"/>
      <c r="X71" s="754"/>
      <c r="Y71" s="754"/>
      <c r="Z71" s="754"/>
      <c r="AA71" s="754"/>
      <c r="AB71" s="754"/>
      <c r="AC71" s="755"/>
      <c r="AD71" s="778" t="s">
        <v>1554</v>
      </c>
      <c r="AE71" s="754"/>
      <c r="AF71" s="754"/>
      <c r="AG71" s="754"/>
      <c r="AH71" s="754"/>
      <c r="AI71" s="754"/>
      <c r="AJ71" s="754"/>
      <c r="AK71" s="754"/>
      <c r="AL71" s="754"/>
      <c r="AM71" s="755"/>
      <c r="AN71" s="142"/>
    </row>
    <row r="72" spans="2:40" ht="12.75" customHeight="1">
      <c r="B72" s="129"/>
      <c r="C72" s="129"/>
      <c r="D72" s="751" t="s">
        <v>80</v>
      </c>
      <c r="E72" s="752"/>
      <c r="F72" s="752"/>
      <c r="G72" s="752"/>
      <c r="H72" s="752"/>
      <c r="I72" s="752"/>
      <c r="J72" s="752"/>
      <c r="K72" s="752"/>
      <c r="L72" s="752"/>
      <c r="M72" s="752"/>
      <c r="N72" s="752"/>
      <c r="O72" s="752"/>
      <c r="P72" s="752"/>
      <c r="Q72" s="752"/>
      <c r="R72" s="129"/>
      <c r="S72" s="167"/>
      <c r="T72" s="753" t="s">
        <v>1555</v>
      </c>
      <c r="U72" s="754"/>
      <c r="V72" s="754"/>
      <c r="W72" s="754"/>
      <c r="X72" s="754"/>
      <c r="Y72" s="754"/>
      <c r="Z72" s="754"/>
      <c r="AA72" s="754"/>
      <c r="AB72" s="754"/>
      <c r="AC72" s="755"/>
      <c r="AD72" s="753" t="s">
        <v>1556</v>
      </c>
      <c r="AE72" s="754"/>
      <c r="AF72" s="754"/>
      <c r="AG72" s="754"/>
      <c r="AH72" s="754"/>
      <c r="AI72" s="754"/>
      <c r="AJ72" s="754"/>
      <c r="AK72" s="754"/>
      <c r="AL72" s="754"/>
      <c r="AM72" s="755"/>
      <c r="AN72" s="142"/>
    </row>
    <row r="73" spans="2:40" ht="12.75" customHeight="1">
      <c r="B73" s="129"/>
      <c r="C73" s="129"/>
      <c r="D73" s="129"/>
      <c r="E73" s="129"/>
      <c r="F73" s="129"/>
      <c r="G73" s="129"/>
      <c r="H73" s="129"/>
      <c r="I73" s="129"/>
      <c r="J73" s="129"/>
      <c r="K73" s="129"/>
      <c r="L73" s="129"/>
      <c r="M73" s="129"/>
      <c r="N73" s="129"/>
      <c r="O73" s="129"/>
      <c r="P73" s="129"/>
      <c r="Q73" s="129"/>
      <c r="R73" s="129"/>
      <c r="S73" s="167"/>
      <c r="T73" s="756"/>
      <c r="U73" s="754"/>
      <c r="V73" s="754"/>
      <c r="W73" s="754"/>
      <c r="X73" s="754"/>
      <c r="Y73" s="754"/>
      <c r="Z73" s="754"/>
      <c r="AA73" s="754"/>
      <c r="AB73" s="754"/>
      <c r="AC73" s="755"/>
      <c r="AD73" s="756"/>
      <c r="AE73" s="754"/>
      <c r="AF73" s="754"/>
      <c r="AG73" s="754"/>
      <c r="AH73" s="754"/>
      <c r="AI73" s="754"/>
      <c r="AJ73" s="754"/>
      <c r="AK73" s="754"/>
      <c r="AL73" s="754"/>
      <c r="AM73" s="755"/>
      <c r="AN73" s="142"/>
    </row>
    <row r="74" spans="2:40" ht="12.75" customHeight="1">
      <c r="B74" s="129"/>
      <c r="C74" s="167"/>
      <c r="D74" s="768">
        <v>45028</v>
      </c>
      <c r="E74" s="769"/>
      <c r="F74" s="769"/>
      <c r="G74" s="769"/>
      <c r="H74" s="769"/>
      <c r="I74" s="769"/>
      <c r="J74" s="769"/>
      <c r="K74" s="769"/>
      <c r="L74" s="769"/>
      <c r="M74" s="769"/>
      <c r="N74" s="769"/>
      <c r="O74" s="769"/>
      <c r="P74" s="769"/>
      <c r="Q74" s="770"/>
      <c r="R74" s="142"/>
      <c r="S74" s="167"/>
      <c r="T74" s="771"/>
      <c r="U74" s="772"/>
      <c r="V74" s="772"/>
      <c r="W74" s="772"/>
      <c r="X74" s="772"/>
      <c r="Y74" s="772"/>
      <c r="Z74" s="772"/>
      <c r="AA74" s="772"/>
      <c r="AB74" s="772"/>
      <c r="AC74" s="773"/>
      <c r="AD74" s="771"/>
      <c r="AE74" s="772"/>
      <c r="AF74" s="772"/>
      <c r="AG74" s="772"/>
      <c r="AH74" s="772"/>
      <c r="AI74" s="772"/>
      <c r="AJ74" s="772"/>
      <c r="AK74" s="772"/>
      <c r="AL74" s="772"/>
      <c r="AM74" s="773"/>
      <c r="AN74" s="142"/>
    </row>
    <row r="75" spans="2:40" ht="12.75" customHeight="1">
      <c r="B75" s="129"/>
      <c r="C75" s="129"/>
      <c r="D75" s="751" t="s">
        <v>81</v>
      </c>
      <c r="E75" s="752"/>
      <c r="F75" s="752"/>
      <c r="G75" s="752"/>
      <c r="H75" s="752"/>
      <c r="I75" s="752"/>
      <c r="J75" s="752"/>
      <c r="K75" s="752"/>
      <c r="L75" s="752"/>
      <c r="M75" s="752"/>
      <c r="N75" s="752"/>
      <c r="O75" s="752"/>
      <c r="P75" s="752"/>
      <c r="Q75" s="752"/>
      <c r="R75" s="129"/>
      <c r="S75" s="167"/>
      <c r="T75" s="748"/>
      <c r="U75" s="749"/>
      <c r="V75" s="749"/>
      <c r="W75" s="749"/>
      <c r="X75" s="749"/>
      <c r="Y75" s="749"/>
      <c r="Z75" s="749"/>
      <c r="AA75" s="749"/>
      <c r="AB75" s="749"/>
      <c r="AC75" s="750"/>
      <c r="AD75" s="748"/>
      <c r="AE75" s="749"/>
      <c r="AF75" s="749"/>
      <c r="AG75" s="749"/>
      <c r="AH75" s="749"/>
      <c r="AI75" s="749"/>
      <c r="AJ75" s="749"/>
      <c r="AK75" s="749"/>
      <c r="AL75" s="749"/>
      <c r="AM75" s="750"/>
      <c r="AN75" s="142"/>
    </row>
    <row r="76" spans="2:40" ht="12.75" customHeight="1">
      <c r="B76" s="129"/>
      <c r="C76" s="129"/>
      <c r="D76" s="135"/>
      <c r="E76" s="135"/>
      <c r="F76" s="135"/>
      <c r="G76" s="135"/>
      <c r="H76" s="135"/>
      <c r="I76" s="135"/>
      <c r="J76" s="135"/>
      <c r="K76" s="135"/>
      <c r="L76" s="135"/>
      <c r="M76" s="135"/>
      <c r="N76" s="135"/>
      <c r="O76" s="135"/>
      <c r="P76" s="135"/>
      <c r="Q76" s="135"/>
      <c r="R76" s="129"/>
      <c r="S76" s="167"/>
      <c r="T76" s="748"/>
      <c r="U76" s="749"/>
      <c r="V76" s="749"/>
      <c r="W76" s="749"/>
      <c r="X76" s="749"/>
      <c r="Y76" s="749"/>
      <c r="Z76" s="749"/>
      <c r="AA76" s="749"/>
      <c r="AB76" s="749"/>
      <c r="AC76" s="750"/>
      <c r="AD76" s="748"/>
      <c r="AE76" s="749"/>
      <c r="AF76" s="749"/>
      <c r="AG76" s="749"/>
      <c r="AH76" s="749"/>
      <c r="AI76" s="749"/>
      <c r="AJ76" s="749"/>
      <c r="AK76" s="749"/>
      <c r="AL76" s="749"/>
      <c r="AM76" s="750"/>
      <c r="AN76" s="142"/>
    </row>
    <row r="77" spans="2:40" ht="12.75" customHeight="1">
      <c r="B77" s="129"/>
      <c r="C77" s="167"/>
      <c r="D77" s="759"/>
      <c r="E77" s="760"/>
      <c r="F77" s="760"/>
      <c r="G77" s="760"/>
      <c r="H77" s="760"/>
      <c r="I77" s="760"/>
      <c r="J77" s="760"/>
      <c r="K77" s="760"/>
      <c r="L77" s="760"/>
      <c r="M77" s="760"/>
      <c r="N77" s="760"/>
      <c r="O77" s="760"/>
      <c r="P77" s="760"/>
      <c r="Q77" s="761"/>
      <c r="R77" s="142"/>
      <c r="S77" s="167"/>
      <c r="T77" s="748"/>
      <c r="U77" s="749"/>
      <c r="V77" s="749"/>
      <c r="W77" s="749"/>
      <c r="X77" s="749"/>
      <c r="Y77" s="749"/>
      <c r="Z77" s="749"/>
      <c r="AA77" s="749"/>
      <c r="AB77" s="749"/>
      <c r="AC77" s="750"/>
      <c r="AD77" s="748"/>
      <c r="AE77" s="749"/>
      <c r="AF77" s="749"/>
      <c r="AG77" s="749"/>
      <c r="AH77" s="749"/>
      <c r="AI77" s="749"/>
      <c r="AJ77" s="749"/>
      <c r="AK77" s="749"/>
      <c r="AL77" s="749"/>
      <c r="AM77" s="750"/>
      <c r="AN77" s="142"/>
    </row>
    <row r="78" spans="2:40" ht="12.75" customHeight="1">
      <c r="B78" s="129"/>
      <c r="C78" s="167"/>
      <c r="D78" s="762"/>
      <c r="E78" s="763"/>
      <c r="F78" s="763"/>
      <c r="G78" s="763"/>
      <c r="H78" s="763"/>
      <c r="I78" s="763"/>
      <c r="J78" s="763"/>
      <c r="K78" s="763"/>
      <c r="L78" s="763"/>
      <c r="M78" s="763"/>
      <c r="N78" s="763"/>
      <c r="O78" s="763"/>
      <c r="P78" s="763"/>
      <c r="Q78" s="764"/>
      <c r="R78" s="142"/>
      <c r="S78" s="167"/>
      <c r="T78" s="748"/>
      <c r="U78" s="749"/>
      <c r="V78" s="749"/>
      <c r="W78" s="749"/>
      <c r="X78" s="749"/>
      <c r="Y78" s="749"/>
      <c r="Z78" s="749"/>
      <c r="AA78" s="749"/>
      <c r="AB78" s="749"/>
      <c r="AC78" s="750"/>
      <c r="AD78" s="748"/>
      <c r="AE78" s="749"/>
      <c r="AF78" s="749"/>
      <c r="AG78" s="749"/>
      <c r="AH78" s="749"/>
      <c r="AI78" s="749"/>
      <c r="AJ78" s="749"/>
      <c r="AK78" s="749"/>
      <c r="AL78" s="749"/>
      <c r="AM78" s="750"/>
      <c r="AN78" s="142"/>
    </row>
    <row r="79" spans="2:40" ht="12.75" customHeight="1">
      <c r="B79" s="129"/>
      <c r="C79" s="167"/>
      <c r="D79" s="762"/>
      <c r="E79" s="763"/>
      <c r="F79" s="763"/>
      <c r="G79" s="763"/>
      <c r="H79" s="763"/>
      <c r="I79" s="763"/>
      <c r="J79" s="763"/>
      <c r="K79" s="763"/>
      <c r="L79" s="763"/>
      <c r="M79" s="763"/>
      <c r="N79" s="763"/>
      <c r="O79" s="763"/>
      <c r="P79" s="763"/>
      <c r="Q79" s="764"/>
      <c r="R79" s="142"/>
      <c r="S79" s="167"/>
      <c r="T79" s="748"/>
      <c r="U79" s="749"/>
      <c r="V79" s="749"/>
      <c r="W79" s="749"/>
      <c r="X79" s="749"/>
      <c r="Y79" s="749"/>
      <c r="Z79" s="749"/>
      <c r="AA79" s="749"/>
      <c r="AB79" s="749"/>
      <c r="AC79" s="750"/>
      <c r="AD79" s="748"/>
      <c r="AE79" s="749"/>
      <c r="AF79" s="749"/>
      <c r="AG79" s="749"/>
      <c r="AH79" s="749"/>
      <c r="AI79" s="749"/>
      <c r="AJ79" s="749"/>
      <c r="AK79" s="749"/>
      <c r="AL79" s="749"/>
      <c r="AM79" s="750"/>
      <c r="AN79" s="142"/>
    </row>
    <row r="80" spans="2:40" ht="12.75" customHeight="1">
      <c r="B80" s="129"/>
      <c r="C80" s="167"/>
      <c r="D80" s="762"/>
      <c r="E80" s="763"/>
      <c r="F80" s="763"/>
      <c r="G80" s="763"/>
      <c r="H80" s="763"/>
      <c r="I80" s="763"/>
      <c r="J80" s="763"/>
      <c r="K80" s="763"/>
      <c r="L80" s="763"/>
      <c r="M80" s="763"/>
      <c r="N80" s="763"/>
      <c r="O80" s="763"/>
      <c r="P80" s="763"/>
      <c r="Q80" s="764"/>
      <c r="R80" s="142"/>
      <c r="S80" s="167"/>
      <c r="T80" s="748"/>
      <c r="U80" s="749"/>
      <c r="V80" s="749"/>
      <c r="W80" s="749"/>
      <c r="X80" s="749"/>
      <c r="Y80" s="749"/>
      <c r="Z80" s="749"/>
      <c r="AA80" s="749"/>
      <c r="AB80" s="749"/>
      <c r="AC80" s="750"/>
      <c r="AD80" s="748"/>
      <c r="AE80" s="749"/>
      <c r="AF80" s="749"/>
      <c r="AG80" s="749"/>
      <c r="AH80" s="749"/>
      <c r="AI80" s="749"/>
      <c r="AJ80" s="749"/>
      <c r="AK80" s="749"/>
      <c r="AL80" s="749"/>
      <c r="AM80" s="750"/>
      <c r="AN80" s="142"/>
    </row>
    <row r="81" spans="2:40" ht="12.75" customHeight="1">
      <c r="B81" s="129"/>
      <c r="C81" s="129"/>
      <c r="D81" s="765"/>
      <c r="E81" s="766"/>
      <c r="F81" s="766"/>
      <c r="G81" s="766"/>
      <c r="H81" s="766"/>
      <c r="I81" s="766"/>
      <c r="J81" s="766"/>
      <c r="K81" s="766"/>
      <c r="L81" s="766"/>
      <c r="M81" s="766"/>
      <c r="N81" s="766"/>
      <c r="O81" s="766"/>
      <c r="P81" s="766"/>
      <c r="Q81" s="767"/>
      <c r="R81" s="129"/>
      <c r="S81" s="167"/>
      <c r="T81" s="745"/>
      <c r="U81" s="746"/>
      <c r="V81" s="746"/>
      <c r="W81" s="746"/>
      <c r="X81" s="746"/>
      <c r="Y81" s="746"/>
      <c r="Z81" s="746"/>
      <c r="AA81" s="746"/>
      <c r="AB81" s="746"/>
      <c r="AC81" s="747"/>
      <c r="AD81" s="745"/>
      <c r="AE81" s="746"/>
      <c r="AF81" s="746"/>
      <c r="AG81" s="746"/>
      <c r="AH81" s="746"/>
      <c r="AI81" s="746"/>
      <c r="AJ81" s="746"/>
      <c r="AK81" s="746"/>
      <c r="AL81" s="746"/>
      <c r="AM81" s="747"/>
      <c r="AN81" s="142"/>
    </row>
    <row r="82" spans="2:40" ht="12.75" customHeight="1">
      <c r="D82" s="757" t="s">
        <v>82</v>
      </c>
      <c r="E82" s="758"/>
      <c r="F82" s="758"/>
      <c r="G82" s="758"/>
      <c r="H82" s="758"/>
      <c r="I82" s="758"/>
      <c r="J82" s="758"/>
      <c r="K82" s="758"/>
      <c r="L82" s="758"/>
      <c r="M82" s="758"/>
      <c r="N82" s="758"/>
      <c r="O82" s="758"/>
      <c r="P82" s="758"/>
      <c r="Q82" s="758"/>
    </row>
  </sheetData>
  <sheetProtection sheet="false"/>
  <mergeCells count="89">
    <mergeCell ref="I23:P23"/>
    <mergeCell ref="W23:AK23"/>
    <mergeCell ref="J3:AM3"/>
    <mergeCell ref="J6:Y6"/>
    <mergeCell ref="AD6:AM6"/>
    <mergeCell ref="J9:P9"/>
    <mergeCell ref="V9:AB9"/>
    <mergeCell ref="AH9:AM9"/>
    <mergeCell ref="Y12:AD12"/>
    <mergeCell ref="AH12:AM12"/>
    <mergeCell ref="U15:Z15"/>
    <mergeCell ref="Q19:V19"/>
    <mergeCell ref="AL19:AM19"/>
    <mergeCell ref="D32:AD32"/>
    <mergeCell ref="AE32:AM32"/>
    <mergeCell ref="I24:P24"/>
    <mergeCell ref="W24:AK24"/>
    <mergeCell ref="G27:N27"/>
    <mergeCell ref="S27:Z27"/>
    <mergeCell ref="F24:H24"/>
    <mergeCell ref="G28:N28"/>
    <mergeCell ref="S28:Z28"/>
    <mergeCell ref="AE28:AL28"/>
    <mergeCell ref="D31:AD31"/>
    <mergeCell ref="AE31:AM31"/>
    <mergeCell ref="G36:N36"/>
    <mergeCell ref="Q36:V36"/>
    <mergeCell ref="Y36:Z36"/>
    <mergeCell ref="AA36:AD36"/>
    <mergeCell ref="AE36:AM36"/>
    <mergeCell ref="G35:N35"/>
    <mergeCell ref="Q35:V35"/>
    <mergeCell ref="Y35:Z35"/>
    <mergeCell ref="AA35:AD35"/>
    <mergeCell ref="AE35:AM35"/>
    <mergeCell ref="D39:AM39"/>
    <mergeCell ref="D40:AM40"/>
    <mergeCell ref="D43:AD43"/>
    <mergeCell ref="AE43:AM43"/>
    <mergeCell ref="D44:AD44"/>
    <mergeCell ref="AE44:AM44"/>
    <mergeCell ref="D68:Q68"/>
    <mergeCell ref="D47:AM47"/>
    <mergeCell ref="D48:AM48"/>
    <mergeCell ref="D51:AM51"/>
    <mergeCell ref="D52:AM52"/>
    <mergeCell ref="D55:AM55"/>
    <mergeCell ref="D56:AM56"/>
    <mergeCell ref="K63:L63"/>
    <mergeCell ref="O63:Q63"/>
    <mergeCell ref="T63:V63"/>
    <mergeCell ref="C65:W65"/>
    <mergeCell ref="X65:AM65"/>
    <mergeCell ref="T68:AM68"/>
    <mergeCell ref="D74:Q74"/>
    <mergeCell ref="T74:AC74"/>
    <mergeCell ref="AD74:AM74"/>
    <mergeCell ref="D69:Q69"/>
    <mergeCell ref="T70:AC70"/>
    <mergeCell ref="AD70:AM70"/>
    <mergeCell ref="D71:Q71"/>
    <mergeCell ref="T71:AC71"/>
    <mergeCell ref="AD71:AM71"/>
    <mergeCell ref="T69:AC69"/>
    <mergeCell ref="AD69:AM69"/>
    <mergeCell ref="D82:Q82"/>
    <mergeCell ref="D77:Q81"/>
    <mergeCell ref="T75:AC75"/>
    <mergeCell ref="T76:AC76"/>
    <mergeCell ref="T77:AC77"/>
    <mergeCell ref="T78:AC78"/>
    <mergeCell ref="T79:AC79"/>
    <mergeCell ref="T80:AC80"/>
    <mergeCell ref="F23:H23"/>
    <mergeCell ref="AE27:AL27"/>
    <mergeCell ref="T81:AC81"/>
    <mergeCell ref="AD75:AM75"/>
    <mergeCell ref="AD76:AM76"/>
    <mergeCell ref="AD77:AM77"/>
    <mergeCell ref="AD78:AM78"/>
    <mergeCell ref="AD79:AM79"/>
    <mergeCell ref="AD80:AM80"/>
    <mergeCell ref="AD81:AM81"/>
    <mergeCell ref="D75:Q75"/>
    <mergeCell ref="D72:Q72"/>
    <mergeCell ref="T72:AC72"/>
    <mergeCell ref="AD72:AM72"/>
    <mergeCell ref="T73:AC73"/>
    <mergeCell ref="AD73:AM73"/>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pageSetUpPr fitToPage="1"/>
  </sheetPr>
  <dimension ref="A1:IV59"/>
  <sheetViews>
    <sheetView topLeftCell="A26" zoomScale="76" zoomScaleNormal="76" workbookViewId="0">
      <selection activeCell="N55" sqref="N55"/>
    </sheetView>
  </sheetViews>
  <sheetFormatPr baseColWidth="10" defaultColWidth="13.3984375" defaultRowHeight="12.75" customHeight="1"/>
  <cols>
    <col min="1" max="1" customWidth="true" style="130" width="5.0" collapsed="true"/>
    <col min="2" max="2" customWidth="true" style="130" width="47.69921875" collapsed="true"/>
    <col min="3" max="3" customWidth="true" style="130" width="1.69921875" collapsed="true"/>
    <col min="4" max="9" customWidth="true" style="130" width="3.3984375" collapsed="true"/>
    <col min="10" max="10" customWidth="true" style="130" width="1.69921875" collapsed="true"/>
    <col min="11" max="11" customWidth="true" style="130" width="4.296875" collapsed="true"/>
    <col min="12" max="12" customWidth="true" style="130" width="25.796875" collapsed="true"/>
    <col min="13" max="13" customWidth="true" style="130" width="20.69921875" collapsed="true"/>
    <col min="14" max="19" customWidth="true" style="130" width="2.69921875" collapsed="true"/>
    <col min="20" max="20" customWidth="true" style="334" width="4.3984375" collapsed="true"/>
    <col min="21" max="256" customWidth="true" style="130" width="13.3984375" collapsed="true"/>
    <col min="257" max="16384" style="128" width="13.3984375" collapsed="true"/>
  </cols>
  <sheetData>
    <row r="1" spans="1:256" ht="17.149999999999999" customHeight="1">
      <c r="B1" s="331" t="s">
        <v>83</v>
      </c>
      <c r="C1" s="805" t="str">
        <f>'Fiche de renseignement R1'!$J$3</f>
        <v>IAMGOLD BOTO SA</v>
      </c>
      <c r="D1" s="805"/>
      <c r="E1" s="805"/>
      <c r="F1" s="805"/>
      <c r="G1" s="805"/>
      <c r="H1" s="805"/>
      <c r="I1" s="805"/>
      <c r="J1" s="805"/>
      <c r="K1" s="805"/>
      <c r="L1" s="805"/>
      <c r="M1" s="805"/>
      <c r="N1" s="805"/>
      <c r="O1" s="805"/>
      <c r="P1" s="805"/>
      <c r="Q1" s="805"/>
      <c r="R1" s="805"/>
      <c r="S1" s="805"/>
      <c r="IV1" s="128"/>
    </row>
    <row r="2" spans="1:256" ht="17.149999999999999" customHeight="1">
      <c r="A2" s="329"/>
      <c r="B2" s="331" t="s">
        <v>84</v>
      </c>
      <c r="C2" s="132"/>
      <c r="D2" s="133"/>
      <c r="E2" s="133"/>
      <c r="F2" s="133"/>
      <c r="G2" s="134"/>
      <c r="H2" s="134"/>
      <c r="I2" s="134"/>
      <c r="J2" s="134"/>
      <c r="K2" s="134"/>
      <c r="L2" s="134"/>
      <c r="M2" s="134"/>
      <c r="N2" s="134"/>
      <c r="O2" s="134"/>
      <c r="P2" s="134"/>
      <c r="Q2" s="134"/>
      <c r="R2" s="134"/>
      <c r="S2" s="134"/>
      <c r="IV2" s="128"/>
    </row>
    <row r="3" spans="1:256" ht="17.149999999999999" customHeight="1">
      <c r="B3" s="820" t="str">
        <f>'Fiche de renseignement R1'!J6</f>
        <v>PARCELLE 08 ZONE 7 ALMADIES DERRIERE HOTEL LODGE</v>
      </c>
      <c r="C3" s="821"/>
      <c r="D3" s="821"/>
      <c r="E3" s="821"/>
      <c r="F3" s="821"/>
      <c r="G3" s="821"/>
      <c r="H3" s="821"/>
      <c r="I3" s="821"/>
      <c r="J3" s="821"/>
      <c r="K3" s="822"/>
      <c r="L3" s="330" t="s">
        <v>85</v>
      </c>
      <c r="M3" s="830">
        <f>'Fiche de renseignement R1'!AD6</f>
        <v>0</v>
      </c>
      <c r="N3" s="831"/>
      <c r="O3" s="831"/>
      <c r="P3" s="831"/>
      <c r="Q3" s="831"/>
      <c r="R3" s="831"/>
      <c r="S3" s="832"/>
      <c r="IV3" s="128"/>
    </row>
    <row r="4" spans="1:256" ht="17.149999999999999" customHeight="1">
      <c r="A4" s="329"/>
      <c r="B4" s="335" t="s">
        <v>86</v>
      </c>
      <c r="C4" s="336"/>
      <c r="D4" s="337"/>
      <c r="E4" s="333"/>
      <c r="F4" s="333"/>
      <c r="G4" s="332"/>
      <c r="H4" s="332"/>
      <c r="I4" s="332"/>
      <c r="J4" s="332"/>
      <c r="K4" s="332"/>
      <c r="L4" s="330" t="s">
        <v>87</v>
      </c>
      <c r="M4" s="134"/>
      <c r="N4" s="134"/>
      <c r="O4" s="134"/>
      <c r="P4" s="134"/>
      <c r="Q4" s="134"/>
      <c r="R4" s="134"/>
      <c r="S4" s="134"/>
      <c r="IV4" s="128"/>
    </row>
    <row r="5" spans="1:256" ht="17.149999999999999" customHeight="1">
      <c r="B5" s="823" t="str">
        <f>+'Fiche de renseignement R1'!J9</f>
        <v>007768007</v>
      </c>
      <c r="C5" s="824"/>
      <c r="D5" s="824"/>
      <c r="E5" s="824"/>
      <c r="F5" s="824"/>
      <c r="G5" s="824"/>
      <c r="H5" s="824"/>
      <c r="I5" s="824"/>
      <c r="J5" s="129"/>
      <c r="L5" s="432">
        <f>'Fiche de renseignement R1'!V9</f>
        <v>44926</v>
      </c>
      <c r="M5" s="338" t="s">
        <v>33</v>
      </c>
      <c r="N5" s="828">
        <f>'Fiche de renseignement R1'!AH9</f>
        <v>12</v>
      </c>
      <c r="O5" s="829"/>
      <c r="P5" s="829"/>
      <c r="Q5" s="829"/>
      <c r="R5" s="829"/>
      <c r="S5" s="829"/>
      <c r="IV5" s="128"/>
    </row>
    <row r="6" spans="1:256" ht="17.149999999999999" customHeight="1">
      <c r="A6" s="135"/>
      <c r="B6" s="341"/>
      <c r="C6" s="342"/>
      <c r="D6" s="342"/>
      <c r="E6" s="342"/>
      <c r="F6" s="342"/>
      <c r="G6" s="342"/>
      <c r="H6" s="342"/>
      <c r="I6" s="342"/>
      <c r="J6" s="136"/>
      <c r="K6" s="136"/>
      <c r="L6" s="136"/>
      <c r="M6" s="137"/>
      <c r="N6" s="135"/>
      <c r="O6" s="135"/>
      <c r="P6" s="135"/>
      <c r="Q6" s="135"/>
      <c r="R6" s="135"/>
      <c r="S6" s="135"/>
      <c r="T6" s="339"/>
    </row>
    <row r="7" spans="1:256" ht="17.149999999999999" customHeight="1">
      <c r="A7" s="138"/>
      <c r="B7" s="139"/>
      <c r="C7" s="434"/>
      <c r="D7" s="434"/>
      <c r="E7" s="434"/>
      <c r="F7" s="434"/>
      <c r="G7" s="434"/>
      <c r="H7" s="434"/>
      <c r="I7" s="434"/>
      <c r="J7" s="442"/>
      <c r="K7" s="439"/>
      <c r="L7" s="825" t="s">
        <v>88</v>
      </c>
      <c r="M7" s="826"/>
      <c r="N7" s="826"/>
      <c r="O7" s="826"/>
      <c r="P7" s="826"/>
      <c r="Q7" s="826"/>
      <c r="R7" s="140"/>
      <c r="S7" s="141"/>
      <c r="T7" s="340"/>
    </row>
    <row r="8" spans="1:256" ht="8.15" customHeight="1">
      <c r="A8" s="143"/>
      <c r="B8" s="131"/>
      <c r="C8" s="144"/>
      <c r="D8" s="144"/>
      <c r="E8" s="144"/>
      <c r="F8" s="144"/>
      <c r="G8" s="144"/>
      <c r="H8" s="144"/>
      <c r="I8" s="144"/>
      <c r="J8" s="440"/>
      <c r="K8" s="441"/>
      <c r="L8" s="145"/>
      <c r="M8" s="146"/>
      <c r="N8" s="147"/>
      <c r="O8" s="147"/>
      <c r="P8" s="147"/>
      <c r="Q8" s="140"/>
      <c r="R8" s="140"/>
      <c r="S8" s="148"/>
      <c r="T8" s="340"/>
    </row>
    <row r="9" spans="1:256" ht="17.149999999999999" customHeight="1">
      <c r="A9" s="149" t="s">
        <v>89</v>
      </c>
      <c r="B9" s="150" t="s">
        <v>90</v>
      </c>
      <c r="C9" s="151"/>
      <c r="D9" s="151"/>
      <c r="E9" s="152"/>
      <c r="F9" s="153">
        <v>0</v>
      </c>
      <c r="G9" s="153">
        <v>1</v>
      </c>
      <c r="H9" s="435"/>
      <c r="I9" s="436"/>
      <c r="J9" s="152"/>
      <c r="K9" s="149" t="s">
        <v>91</v>
      </c>
      <c r="L9" s="150" t="s">
        <v>92</v>
      </c>
      <c r="M9" s="151"/>
      <c r="N9" s="151"/>
      <c r="O9" s="151"/>
      <c r="P9" s="152"/>
      <c r="Q9" s="812"/>
      <c r="R9" s="813"/>
      <c r="S9" s="154"/>
      <c r="T9" s="340"/>
    </row>
    <row r="10" spans="1:256" ht="17.149999999999999" customHeight="1">
      <c r="A10" s="155"/>
      <c r="B10" s="151"/>
      <c r="C10" s="151"/>
      <c r="D10" s="151"/>
      <c r="E10" s="151"/>
      <c r="F10" s="147"/>
      <c r="G10" s="147"/>
      <c r="H10" s="151"/>
      <c r="I10" s="151"/>
      <c r="J10" s="152"/>
      <c r="K10" s="155"/>
      <c r="L10" s="151"/>
      <c r="M10" s="151"/>
      <c r="N10" s="151"/>
      <c r="O10" s="151"/>
      <c r="P10" s="151"/>
      <c r="Q10" s="140"/>
      <c r="R10" s="140"/>
      <c r="S10" s="152"/>
      <c r="T10" s="340"/>
    </row>
    <row r="11" spans="1:256" ht="17.149999999999999" customHeight="1">
      <c r="A11" s="149" t="s">
        <v>93</v>
      </c>
      <c r="B11" s="150" t="s">
        <v>94</v>
      </c>
      <c r="C11" s="151"/>
      <c r="D11" s="151"/>
      <c r="E11" s="152"/>
      <c r="F11" s="153">
        <v>2</v>
      </c>
      <c r="G11" s="155"/>
      <c r="H11" s="436"/>
      <c r="I11" s="436"/>
      <c r="J11" s="152"/>
      <c r="K11" s="149" t="s">
        <v>95</v>
      </c>
      <c r="L11" s="150" t="s">
        <v>96</v>
      </c>
      <c r="M11" s="151"/>
      <c r="N11" s="151"/>
      <c r="O11" s="151"/>
      <c r="P11" s="152"/>
      <c r="Q11" s="827"/>
      <c r="R11" s="813"/>
      <c r="S11" s="154"/>
      <c r="T11" s="340"/>
    </row>
    <row r="12" spans="1:256" ht="17.149999999999999" customHeight="1">
      <c r="A12" s="155"/>
      <c r="B12" s="436"/>
      <c r="C12" s="151"/>
      <c r="D12" s="151"/>
      <c r="E12" s="151"/>
      <c r="F12" s="147"/>
      <c r="G12" s="151"/>
      <c r="H12" s="151"/>
      <c r="I12" s="151"/>
      <c r="J12" s="152"/>
      <c r="K12" s="155"/>
      <c r="L12" s="151"/>
      <c r="M12" s="151"/>
      <c r="N12" s="151"/>
      <c r="O12" s="151"/>
      <c r="P12" s="151"/>
      <c r="Q12" s="140"/>
      <c r="R12" s="140"/>
      <c r="S12" s="152"/>
      <c r="T12" s="340"/>
    </row>
    <row r="13" spans="1:256" ht="17.149999999999999" customHeight="1">
      <c r="A13" s="149" t="s">
        <v>97</v>
      </c>
      <c r="B13" s="150" t="s">
        <v>98</v>
      </c>
      <c r="C13" s="151"/>
      <c r="D13" s="151"/>
      <c r="E13" s="152"/>
      <c r="F13" s="153">
        <v>0</v>
      </c>
      <c r="G13" s="153">
        <v>7</v>
      </c>
      <c r="H13" s="435"/>
      <c r="I13" s="436"/>
      <c r="J13" s="437"/>
      <c r="K13" s="149" t="s">
        <v>99</v>
      </c>
      <c r="L13" s="150" t="s">
        <v>100</v>
      </c>
      <c r="M13" s="151"/>
      <c r="N13" s="151"/>
      <c r="O13" s="151"/>
      <c r="P13" s="152"/>
      <c r="Q13" s="812" t="s">
        <v>18</v>
      </c>
      <c r="R13" s="813"/>
      <c r="S13" s="154"/>
      <c r="T13" s="340"/>
    </row>
    <row r="14" spans="1:256" ht="17.149999999999999" customHeight="1">
      <c r="A14" s="155"/>
      <c r="B14" s="151"/>
      <c r="C14" s="151"/>
      <c r="D14" s="151"/>
      <c r="E14" s="151"/>
      <c r="F14" s="147"/>
      <c r="G14" s="147"/>
      <c r="H14" s="151"/>
      <c r="I14" s="151"/>
      <c r="J14" s="152"/>
      <c r="K14" s="155"/>
      <c r="L14" s="156"/>
      <c r="M14" s="151"/>
      <c r="N14" s="151"/>
      <c r="O14" s="151"/>
      <c r="P14" s="151"/>
      <c r="Q14" s="147"/>
      <c r="R14" s="147"/>
      <c r="S14" s="152"/>
      <c r="T14" s="340"/>
    </row>
    <row r="15" spans="1:256" ht="17.149999999999999" customHeight="1">
      <c r="A15" s="149" t="s">
        <v>101</v>
      </c>
      <c r="B15" s="150" t="s">
        <v>102</v>
      </c>
      <c r="C15" s="151"/>
      <c r="D15" s="151"/>
      <c r="E15" s="152"/>
      <c r="F15" s="153">
        <v>0</v>
      </c>
      <c r="G15" s="153">
        <v>1</v>
      </c>
      <c r="H15" s="435"/>
      <c r="I15" s="436"/>
      <c r="J15" s="437"/>
      <c r="K15" s="435"/>
      <c r="L15" s="156"/>
      <c r="M15" s="151"/>
      <c r="N15" s="151"/>
      <c r="O15" s="151"/>
      <c r="P15" s="151"/>
      <c r="Q15" s="151"/>
      <c r="R15" s="151"/>
      <c r="S15" s="152"/>
      <c r="T15" s="340"/>
    </row>
    <row r="16" spans="1:256" ht="17.149999999999999" customHeight="1">
      <c r="A16" s="155"/>
      <c r="B16" s="151"/>
      <c r="C16" s="151"/>
      <c r="D16" s="151"/>
      <c r="E16" s="151"/>
      <c r="F16" s="147"/>
      <c r="G16" s="147"/>
      <c r="H16" s="151"/>
      <c r="I16" s="151"/>
      <c r="J16" s="152"/>
      <c r="K16" s="155"/>
      <c r="L16" s="156"/>
      <c r="M16" s="151"/>
      <c r="N16" s="151"/>
      <c r="O16" s="151"/>
      <c r="P16" s="151"/>
      <c r="Q16" s="151"/>
      <c r="R16" s="151"/>
      <c r="S16" s="152"/>
      <c r="T16" s="340"/>
    </row>
    <row r="17" spans="1:20" ht="17.149999999999999" customHeight="1">
      <c r="A17" s="149" t="s">
        <v>103</v>
      </c>
      <c r="B17" s="150" t="s">
        <v>104</v>
      </c>
      <c r="C17" s="151"/>
      <c r="D17" s="151"/>
      <c r="E17" s="152"/>
      <c r="F17" s="153">
        <v>0</v>
      </c>
      <c r="G17" s="153">
        <v>0</v>
      </c>
      <c r="H17" s="155"/>
      <c r="I17" s="151"/>
      <c r="J17" s="152"/>
      <c r="K17" s="155"/>
      <c r="L17" s="156"/>
      <c r="M17" s="151"/>
      <c r="N17" s="151"/>
      <c r="O17" s="151"/>
      <c r="P17" s="151"/>
      <c r="Q17" s="151"/>
      <c r="R17" s="151"/>
      <c r="S17" s="152"/>
      <c r="T17" s="340"/>
    </row>
    <row r="18" spans="1:20" ht="17.149999999999999" customHeight="1">
      <c r="A18" s="155"/>
      <c r="B18" s="150" t="s">
        <v>105</v>
      </c>
      <c r="C18" s="151"/>
      <c r="D18" s="151"/>
      <c r="E18" s="151"/>
      <c r="F18" s="147"/>
      <c r="G18" s="438"/>
      <c r="H18" s="436"/>
      <c r="I18" s="436"/>
      <c r="J18" s="437"/>
      <c r="K18" s="435"/>
      <c r="L18" s="156"/>
      <c r="M18" s="151"/>
      <c r="N18" s="151"/>
      <c r="O18" s="151"/>
      <c r="P18" s="157"/>
      <c r="Q18" s="151"/>
      <c r="R18" s="151"/>
      <c r="S18" s="152"/>
      <c r="T18" s="340"/>
    </row>
    <row r="19" spans="1:20" ht="17.149999999999999" customHeight="1">
      <c r="A19" s="155"/>
      <c r="B19" s="151"/>
      <c r="C19" s="151"/>
      <c r="D19" s="151"/>
      <c r="E19" s="151"/>
      <c r="F19" s="151"/>
      <c r="G19" s="151"/>
      <c r="H19" s="151"/>
      <c r="I19" s="151"/>
      <c r="J19" s="152"/>
      <c r="K19" s="155"/>
      <c r="L19" s="156"/>
      <c r="M19" s="151"/>
      <c r="N19" s="151"/>
      <c r="O19" s="151"/>
      <c r="P19" s="151"/>
      <c r="Q19" s="151"/>
      <c r="R19" s="151"/>
      <c r="S19" s="152"/>
      <c r="T19" s="340"/>
    </row>
    <row r="20" spans="1:20" ht="17.149999999999999" customHeight="1">
      <c r="A20" s="149" t="s">
        <v>106</v>
      </c>
      <c r="B20" s="150" t="s">
        <v>107</v>
      </c>
      <c r="C20" s="151"/>
      <c r="D20" s="152"/>
      <c r="E20" s="158">
        <v>2</v>
      </c>
      <c r="F20" s="158">
        <v>0</v>
      </c>
      <c r="G20" s="158">
        <v>2</v>
      </c>
      <c r="H20" s="158">
        <v>0</v>
      </c>
      <c r="I20" s="435"/>
      <c r="J20" s="437"/>
      <c r="K20" s="435"/>
      <c r="L20" s="156"/>
      <c r="M20" s="151"/>
      <c r="N20" s="151"/>
      <c r="O20" s="151"/>
      <c r="P20" s="151"/>
      <c r="Q20" s="151"/>
      <c r="R20" s="151"/>
      <c r="S20" s="152"/>
      <c r="T20" s="340"/>
    </row>
    <row r="21" spans="1:20" ht="17.149999999999999" customHeight="1">
      <c r="A21" s="159"/>
      <c r="B21" s="160"/>
      <c r="C21" s="160"/>
      <c r="D21" s="160"/>
      <c r="E21" s="140"/>
      <c r="F21" s="140"/>
      <c r="G21" s="140"/>
      <c r="H21" s="140"/>
      <c r="I21" s="160"/>
      <c r="J21" s="161"/>
      <c r="K21" s="162"/>
      <c r="L21" s="160"/>
      <c r="M21" s="160"/>
      <c r="N21" s="160"/>
      <c r="O21" s="160"/>
      <c r="P21" s="160"/>
      <c r="Q21" s="160"/>
      <c r="R21" s="160"/>
      <c r="S21" s="161"/>
      <c r="T21" s="340"/>
    </row>
    <row r="22" spans="1:20" ht="17.149999999999999" customHeight="1">
      <c r="A22" s="163"/>
      <c r="B22" s="163"/>
      <c r="C22" s="163"/>
      <c r="D22" s="163"/>
      <c r="E22" s="163"/>
      <c r="F22" s="163"/>
      <c r="G22" s="163"/>
      <c r="H22" s="163"/>
      <c r="I22" s="163"/>
      <c r="J22" s="163"/>
      <c r="K22" s="163"/>
      <c r="L22" s="163"/>
      <c r="M22" s="163"/>
      <c r="N22" s="163"/>
      <c r="O22" s="163"/>
      <c r="P22" s="163"/>
      <c r="Q22" s="163"/>
      <c r="R22" s="163"/>
      <c r="S22" s="163"/>
      <c r="T22" s="339"/>
    </row>
    <row r="23" spans="1:20" ht="17.149999999999999" customHeight="1">
      <c r="A23" s="814" t="s">
        <v>108</v>
      </c>
      <c r="B23" s="772"/>
      <c r="C23" s="772"/>
      <c r="D23" s="772"/>
      <c r="E23" s="772"/>
      <c r="F23" s="772"/>
      <c r="G23" s="772"/>
      <c r="H23" s="772"/>
      <c r="I23" s="772"/>
      <c r="J23" s="772"/>
      <c r="K23" s="772"/>
      <c r="L23" s="772"/>
      <c r="M23" s="772"/>
      <c r="N23" s="772"/>
      <c r="O23" s="772"/>
      <c r="P23" s="772"/>
      <c r="Q23" s="772"/>
      <c r="R23" s="772"/>
      <c r="S23" s="772"/>
      <c r="T23" s="772"/>
    </row>
    <row r="24" spans="1:20" ht="17.149999999999999" customHeight="1">
      <c r="A24" s="129"/>
      <c r="B24" s="135"/>
      <c r="C24" s="135"/>
      <c r="D24" s="135"/>
      <c r="E24" s="135"/>
      <c r="F24" s="135"/>
      <c r="G24" s="135"/>
      <c r="H24" s="135"/>
      <c r="I24" s="135"/>
      <c r="J24" s="135"/>
      <c r="K24" s="135"/>
      <c r="L24" s="135"/>
      <c r="M24" s="135"/>
      <c r="N24" s="129"/>
      <c r="O24" s="129"/>
      <c r="P24" s="129"/>
      <c r="Q24" s="129"/>
      <c r="R24" s="129"/>
      <c r="S24" s="129"/>
      <c r="T24" s="339"/>
    </row>
    <row r="25" spans="1:20" ht="29.15" customHeight="1">
      <c r="A25" s="164"/>
      <c r="B25" s="165" t="s">
        <v>109</v>
      </c>
      <c r="C25" s="815" t="s">
        <v>110</v>
      </c>
      <c r="D25" s="816"/>
      <c r="E25" s="816"/>
      <c r="F25" s="816"/>
      <c r="G25" s="816"/>
      <c r="H25" s="816"/>
      <c r="I25" s="816"/>
      <c r="J25" s="817"/>
      <c r="K25" s="818" t="s">
        <v>111</v>
      </c>
      <c r="L25" s="819"/>
      <c r="M25" s="166" t="s">
        <v>112</v>
      </c>
      <c r="N25" s="142"/>
      <c r="O25" s="129"/>
      <c r="P25" s="129"/>
      <c r="Q25" s="129"/>
      <c r="R25" s="129"/>
      <c r="S25" s="129"/>
      <c r="T25" s="339"/>
    </row>
    <row r="26" spans="1:20" ht="17.149999999999999" customHeight="1">
      <c r="A26" s="167"/>
      <c r="B26" s="168"/>
      <c r="C26" s="169"/>
      <c r="D26" s="147"/>
      <c r="E26" s="147"/>
      <c r="F26" s="147"/>
      <c r="G26" s="147"/>
      <c r="H26" s="147"/>
      <c r="I26" s="147"/>
      <c r="J26" s="148"/>
      <c r="K26" s="169"/>
      <c r="L26" s="148"/>
      <c r="M26" s="168"/>
      <c r="N26" s="142"/>
      <c r="O26" s="129"/>
      <c r="P26" s="129"/>
      <c r="Q26" s="129"/>
      <c r="R26" s="129"/>
      <c r="S26" s="129"/>
      <c r="T26" s="339"/>
    </row>
    <row r="27" spans="1:20" ht="17.149999999999999" customHeight="1">
      <c r="A27" s="167"/>
      <c r="B27" s="154"/>
      <c r="C27" s="155"/>
      <c r="D27" s="151"/>
      <c r="E27" s="151"/>
      <c r="F27" s="151"/>
      <c r="G27" s="151"/>
      <c r="H27" s="151"/>
      <c r="I27" s="151"/>
      <c r="J27" s="152"/>
      <c r="K27" s="155"/>
      <c r="L27" s="152"/>
      <c r="M27" s="170"/>
      <c r="N27" s="142"/>
      <c r="O27" s="129"/>
      <c r="P27" s="129"/>
      <c r="Q27" s="129"/>
      <c r="R27" s="129"/>
      <c r="S27" s="129"/>
      <c r="T27" s="339"/>
    </row>
    <row r="28" spans="1:20" ht="17.149999999999999" customHeight="1">
      <c r="A28" s="167"/>
      <c r="B28" s="694" t="s">
        <v>1557</v>
      </c>
      <c r="C28" s="695"/>
      <c r="D28" s="696">
        <v>0</v>
      </c>
      <c r="E28" s="697">
        <v>0</v>
      </c>
      <c r="F28" s="697">
        <v>6</v>
      </c>
      <c r="G28" s="697">
        <v>0</v>
      </c>
      <c r="H28" s="697">
        <v>0</v>
      </c>
      <c r="I28" s="697">
        <v>2</v>
      </c>
      <c r="J28" s="173"/>
      <c r="K28" s="155"/>
      <c r="L28" s="174"/>
      <c r="M28" s="175">
        <v>1</v>
      </c>
      <c r="N28" s="142"/>
      <c r="O28" s="129"/>
      <c r="P28" s="129"/>
      <c r="Q28" s="129"/>
      <c r="R28" s="129"/>
      <c r="S28" s="129"/>
      <c r="T28" s="339"/>
    </row>
    <row r="29" spans="1:20" ht="17.149999999999999" customHeight="1">
      <c r="A29" s="167"/>
      <c r="B29" s="154"/>
      <c r="C29" s="155"/>
      <c r="D29" s="426"/>
      <c r="E29" s="426"/>
      <c r="F29" s="426"/>
      <c r="G29" s="426"/>
      <c r="H29" s="426"/>
      <c r="I29" s="426"/>
      <c r="J29" s="152"/>
      <c r="K29" s="155"/>
      <c r="L29" s="152"/>
      <c r="M29" s="154"/>
      <c r="N29" s="142"/>
      <c r="O29" s="129"/>
      <c r="P29" s="129"/>
      <c r="Q29" s="129"/>
      <c r="R29" s="129"/>
      <c r="S29" s="129"/>
      <c r="T29" s="339"/>
    </row>
    <row r="30" spans="1:20" ht="17.149999999999999" customHeight="1">
      <c r="A30" s="167"/>
      <c r="B30" s="154"/>
      <c r="C30" s="155"/>
      <c r="D30" s="151"/>
      <c r="E30" s="151"/>
      <c r="F30" s="151"/>
      <c r="G30" s="151"/>
      <c r="H30" s="151"/>
      <c r="I30" s="151"/>
      <c r="J30" s="152"/>
      <c r="K30" s="155"/>
      <c r="L30" s="152"/>
      <c r="M30" s="154"/>
      <c r="N30" s="142"/>
      <c r="O30" s="129"/>
      <c r="P30" s="129"/>
      <c r="Q30" s="129"/>
      <c r="R30" s="129"/>
      <c r="S30" s="129"/>
      <c r="T30" s="339"/>
    </row>
    <row r="31" spans="1:20" ht="17.149999999999999" customHeight="1">
      <c r="A31" s="167"/>
      <c r="B31" s="154"/>
      <c r="C31" s="176"/>
      <c r="D31" s="172"/>
      <c r="E31" s="172"/>
      <c r="F31" s="172"/>
      <c r="G31" s="172"/>
      <c r="H31" s="172"/>
      <c r="I31" s="172"/>
      <c r="J31" s="177"/>
      <c r="K31" s="155"/>
      <c r="L31" s="152"/>
      <c r="M31" s="175" t="e">
        <f>+L31/$L$54</f>
        <v>#DIV/0!</v>
      </c>
      <c r="N31" s="142"/>
      <c r="O31" s="129"/>
      <c r="P31" s="129"/>
      <c r="Q31" s="129"/>
      <c r="R31" s="129"/>
      <c r="S31" s="129"/>
      <c r="T31" s="339"/>
    </row>
    <row r="32" spans="1:20" ht="17.149999999999999" customHeight="1">
      <c r="A32" s="167"/>
      <c r="B32" s="154"/>
      <c r="C32" s="155"/>
      <c r="D32" s="178"/>
      <c r="E32" s="178"/>
      <c r="F32" s="178"/>
      <c r="G32" s="178"/>
      <c r="H32" s="178"/>
      <c r="I32" s="178"/>
      <c r="J32" s="152"/>
      <c r="K32" s="155"/>
      <c r="L32" s="152"/>
      <c r="M32" s="154"/>
      <c r="N32" s="142"/>
      <c r="O32" s="129"/>
      <c r="P32" s="129"/>
      <c r="Q32" s="129"/>
      <c r="R32" s="129"/>
      <c r="S32" s="129"/>
      <c r="T32" s="339"/>
    </row>
    <row r="33" spans="1:20" ht="17.149999999999999" customHeight="1">
      <c r="A33" s="167"/>
      <c r="B33" s="154"/>
      <c r="C33" s="155"/>
      <c r="D33" s="151"/>
      <c r="E33" s="151"/>
      <c r="F33" s="151"/>
      <c r="G33" s="151"/>
      <c r="H33" s="151"/>
      <c r="I33" s="151"/>
      <c r="J33" s="152"/>
      <c r="K33" s="155"/>
      <c r="L33" s="152"/>
      <c r="M33" s="154"/>
      <c r="N33" s="142"/>
      <c r="O33" s="129"/>
      <c r="P33" s="129"/>
      <c r="Q33" s="129"/>
      <c r="R33" s="129"/>
      <c r="S33" s="129"/>
      <c r="T33" s="339"/>
    </row>
    <row r="34" spans="1:20" ht="17.149999999999999" customHeight="1">
      <c r="A34" s="167"/>
      <c r="B34" s="154"/>
      <c r="C34" s="176"/>
      <c r="D34" s="172"/>
      <c r="E34" s="172"/>
      <c r="F34" s="172"/>
      <c r="G34" s="172"/>
      <c r="H34" s="172"/>
      <c r="I34" s="172"/>
      <c r="J34" s="177"/>
      <c r="K34" s="155"/>
      <c r="L34" s="152"/>
      <c r="M34" s="175" t="e">
        <f>+L34/$L$54</f>
        <v>#DIV/0!</v>
      </c>
      <c r="N34" s="142"/>
      <c r="O34" s="129"/>
      <c r="P34" s="129"/>
      <c r="Q34" s="129"/>
      <c r="R34" s="129"/>
      <c r="S34" s="129"/>
      <c r="T34" s="339"/>
    </row>
    <row r="35" spans="1:20" ht="17.149999999999999" customHeight="1">
      <c r="A35" s="167"/>
      <c r="B35" s="154"/>
      <c r="C35" s="155"/>
      <c r="D35" s="178"/>
      <c r="E35" s="178"/>
      <c r="F35" s="178"/>
      <c r="G35" s="178"/>
      <c r="H35" s="178"/>
      <c r="I35" s="178"/>
      <c r="J35" s="152"/>
      <c r="K35" s="155"/>
      <c r="L35" s="152"/>
      <c r="M35" s="154"/>
      <c r="N35" s="142"/>
      <c r="O35" s="129"/>
      <c r="P35" s="129"/>
      <c r="Q35" s="129"/>
      <c r="R35" s="129"/>
      <c r="S35" s="129"/>
      <c r="T35" s="339"/>
    </row>
    <row r="36" spans="1:20" ht="17.149999999999999" customHeight="1">
      <c r="A36" s="167"/>
      <c r="B36" s="154"/>
      <c r="C36" s="155"/>
      <c r="D36" s="151"/>
      <c r="E36" s="151"/>
      <c r="F36" s="151"/>
      <c r="G36" s="151"/>
      <c r="H36" s="151"/>
      <c r="I36" s="151"/>
      <c r="J36" s="152"/>
      <c r="K36" s="155"/>
      <c r="L36" s="152"/>
      <c r="M36" s="154"/>
      <c r="N36" s="142"/>
      <c r="O36" s="129"/>
      <c r="P36" s="129"/>
      <c r="Q36" s="129"/>
      <c r="R36" s="129"/>
      <c r="S36" s="129"/>
      <c r="T36" s="339"/>
    </row>
    <row r="37" spans="1:20" ht="17.149999999999999" customHeight="1">
      <c r="A37" s="167"/>
      <c r="B37" s="154"/>
      <c r="C37" s="176"/>
      <c r="D37" s="172"/>
      <c r="E37" s="172"/>
      <c r="F37" s="172"/>
      <c r="G37" s="172"/>
      <c r="H37" s="172"/>
      <c r="I37" s="172"/>
      <c r="J37" s="177"/>
      <c r="K37" s="155"/>
      <c r="L37" s="152"/>
      <c r="M37" s="175" t="e">
        <f>+L37/$L$54</f>
        <v>#DIV/0!</v>
      </c>
      <c r="N37" s="142"/>
      <c r="O37" s="129"/>
      <c r="P37" s="129"/>
      <c r="Q37" s="129"/>
      <c r="R37" s="129"/>
      <c r="S37" s="129"/>
      <c r="T37" s="339"/>
    </row>
    <row r="38" spans="1:20" ht="17.149999999999999" customHeight="1">
      <c r="A38" s="167"/>
      <c r="B38" s="154"/>
      <c r="C38" s="155"/>
      <c r="D38" s="178"/>
      <c r="E38" s="178"/>
      <c r="F38" s="178"/>
      <c r="G38" s="178"/>
      <c r="H38" s="178"/>
      <c r="I38" s="178"/>
      <c r="J38" s="152"/>
      <c r="K38" s="155"/>
      <c r="L38" s="152"/>
      <c r="M38" s="154"/>
      <c r="N38" s="142"/>
      <c r="O38" s="129"/>
      <c r="P38" s="129"/>
      <c r="Q38" s="129"/>
      <c r="R38" s="129"/>
      <c r="S38" s="129"/>
      <c r="T38" s="339"/>
    </row>
    <row r="39" spans="1:20" ht="17.149999999999999" customHeight="1">
      <c r="A39" s="167"/>
      <c r="B39" s="154"/>
      <c r="C39" s="155"/>
      <c r="D39" s="151"/>
      <c r="E39" s="151"/>
      <c r="F39" s="151"/>
      <c r="G39" s="151"/>
      <c r="H39" s="151"/>
      <c r="I39" s="151"/>
      <c r="J39" s="152"/>
      <c r="K39" s="155"/>
      <c r="L39" s="152"/>
      <c r="M39" s="154"/>
      <c r="N39" s="142"/>
      <c r="O39" s="129"/>
      <c r="P39" s="129"/>
      <c r="Q39" s="129"/>
      <c r="R39" s="129"/>
      <c r="S39" s="129"/>
      <c r="T39" s="339"/>
    </row>
    <row r="40" spans="1:20" ht="17.149999999999999" customHeight="1">
      <c r="A40" s="167"/>
      <c r="B40" s="154"/>
      <c r="C40" s="176"/>
      <c r="D40" s="172"/>
      <c r="E40" s="172"/>
      <c r="F40" s="172"/>
      <c r="G40" s="172"/>
      <c r="H40" s="172"/>
      <c r="I40" s="172"/>
      <c r="J40" s="177"/>
      <c r="K40" s="155"/>
      <c r="L40" s="152"/>
      <c r="M40" s="175" t="e">
        <f>+L40/$L$54</f>
        <v>#DIV/0!</v>
      </c>
      <c r="N40" s="142"/>
      <c r="O40" s="129"/>
      <c r="P40" s="129"/>
      <c r="Q40" s="129"/>
      <c r="R40" s="129"/>
      <c r="S40" s="129"/>
      <c r="T40" s="339"/>
    </row>
    <row r="41" spans="1:20" ht="17.149999999999999" customHeight="1">
      <c r="A41" s="167"/>
      <c r="B41" s="154"/>
      <c r="C41" s="155"/>
      <c r="D41" s="178"/>
      <c r="E41" s="178"/>
      <c r="F41" s="178"/>
      <c r="G41" s="178"/>
      <c r="H41" s="178"/>
      <c r="I41" s="178"/>
      <c r="J41" s="152"/>
      <c r="K41" s="155"/>
      <c r="L41" s="152"/>
      <c r="M41" s="154"/>
      <c r="N41" s="142"/>
      <c r="O41" s="129"/>
      <c r="P41" s="129"/>
      <c r="Q41" s="129"/>
      <c r="R41" s="129"/>
      <c r="S41" s="129"/>
      <c r="T41" s="339"/>
    </row>
    <row r="42" spans="1:20" ht="17.149999999999999" customHeight="1">
      <c r="A42" s="167"/>
      <c r="B42" s="154"/>
      <c r="C42" s="155"/>
      <c r="D42" s="151"/>
      <c r="E42" s="151"/>
      <c r="F42" s="151"/>
      <c r="G42" s="151"/>
      <c r="H42" s="151"/>
      <c r="I42" s="151"/>
      <c r="J42" s="152"/>
      <c r="K42" s="155"/>
      <c r="L42" s="152"/>
      <c r="M42" s="154"/>
      <c r="N42" s="142"/>
      <c r="O42" s="129"/>
      <c r="P42" s="129"/>
      <c r="Q42" s="129"/>
      <c r="R42" s="129"/>
      <c r="S42" s="129"/>
      <c r="T42" s="339"/>
    </row>
    <row r="43" spans="1:20" ht="17.149999999999999" customHeight="1">
      <c r="A43" s="167"/>
      <c r="B43" s="154"/>
      <c r="C43" s="176"/>
      <c r="D43" s="172"/>
      <c r="E43" s="172"/>
      <c r="F43" s="172"/>
      <c r="G43" s="172"/>
      <c r="H43" s="172"/>
      <c r="I43" s="172"/>
      <c r="J43" s="177"/>
      <c r="K43" s="155"/>
      <c r="L43" s="152"/>
      <c r="M43" s="175" t="e">
        <f>+L43/$L$54</f>
        <v>#DIV/0!</v>
      </c>
      <c r="N43" s="142"/>
      <c r="O43" s="129"/>
      <c r="P43" s="129"/>
      <c r="Q43" s="129"/>
      <c r="R43" s="129"/>
      <c r="S43" s="129"/>
      <c r="T43" s="339"/>
    </row>
    <row r="44" spans="1:20" ht="17.149999999999999" customHeight="1">
      <c r="A44" s="167"/>
      <c r="B44" s="154"/>
      <c r="C44" s="155"/>
      <c r="D44" s="178"/>
      <c r="E44" s="178"/>
      <c r="F44" s="178"/>
      <c r="G44" s="178"/>
      <c r="H44" s="178"/>
      <c r="I44" s="178"/>
      <c r="J44" s="152"/>
      <c r="K44" s="155"/>
      <c r="L44" s="152"/>
      <c r="M44" s="154"/>
      <c r="N44" s="142"/>
      <c r="O44" s="129"/>
      <c r="P44" s="129"/>
      <c r="Q44" s="129"/>
      <c r="R44" s="129"/>
      <c r="S44" s="129"/>
      <c r="T44" s="339"/>
    </row>
    <row r="45" spans="1:20" ht="17.149999999999999" customHeight="1">
      <c r="A45" s="167"/>
      <c r="B45" s="154"/>
      <c r="C45" s="155"/>
      <c r="D45" s="151"/>
      <c r="E45" s="151"/>
      <c r="F45" s="151"/>
      <c r="G45" s="151"/>
      <c r="H45" s="151"/>
      <c r="I45" s="151"/>
      <c r="J45" s="152"/>
      <c r="K45" s="155"/>
      <c r="L45" s="152"/>
      <c r="M45" s="154"/>
      <c r="N45" s="142"/>
      <c r="O45" s="129"/>
      <c r="P45" s="129"/>
      <c r="Q45" s="129"/>
      <c r="R45" s="129"/>
      <c r="S45" s="129"/>
      <c r="T45" s="339"/>
    </row>
    <row r="46" spans="1:20" ht="17.149999999999999" customHeight="1">
      <c r="A46" s="167"/>
      <c r="B46" s="154"/>
      <c r="C46" s="176"/>
      <c r="D46" s="172"/>
      <c r="E46" s="172"/>
      <c r="F46" s="172"/>
      <c r="G46" s="172"/>
      <c r="H46" s="172"/>
      <c r="I46" s="172"/>
      <c r="J46" s="177"/>
      <c r="K46" s="155"/>
      <c r="L46" s="152"/>
      <c r="M46" s="175" t="e">
        <f>+L46/$L$54</f>
        <v>#DIV/0!</v>
      </c>
      <c r="N46" s="142"/>
      <c r="O46" s="129"/>
      <c r="P46" s="129"/>
      <c r="Q46" s="129"/>
      <c r="R46" s="129"/>
      <c r="S46" s="129"/>
      <c r="T46" s="339"/>
    </row>
    <row r="47" spans="1:20" ht="17.149999999999999" customHeight="1">
      <c r="A47" s="167"/>
      <c r="B47" s="154"/>
      <c r="C47" s="155"/>
      <c r="D47" s="178"/>
      <c r="E47" s="178"/>
      <c r="F47" s="178"/>
      <c r="G47" s="178"/>
      <c r="H47" s="178"/>
      <c r="I47" s="178"/>
      <c r="J47" s="152"/>
      <c r="K47" s="155"/>
      <c r="L47" s="152"/>
      <c r="M47" s="154"/>
      <c r="N47" s="142"/>
      <c r="O47" s="129"/>
      <c r="P47" s="129"/>
      <c r="Q47" s="129"/>
      <c r="R47" s="129"/>
      <c r="S47" s="129"/>
      <c r="T47" s="339"/>
    </row>
    <row r="48" spans="1:20" ht="17.149999999999999" customHeight="1">
      <c r="A48" s="167"/>
      <c r="B48" s="154"/>
      <c r="C48" s="155"/>
      <c r="D48" s="151"/>
      <c r="E48" s="151"/>
      <c r="F48" s="151"/>
      <c r="G48" s="151"/>
      <c r="H48" s="151"/>
      <c r="I48" s="151"/>
      <c r="J48" s="152"/>
      <c r="K48" s="155"/>
      <c r="L48" s="152"/>
      <c r="M48" s="154"/>
      <c r="N48" s="142"/>
      <c r="O48" s="129"/>
      <c r="P48" s="129"/>
      <c r="Q48" s="129"/>
      <c r="R48" s="129"/>
      <c r="S48" s="129"/>
      <c r="T48" s="339"/>
    </row>
    <row r="49" spans="1:20" ht="17.149999999999999" customHeight="1">
      <c r="A49" s="167"/>
      <c r="B49" s="154"/>
      <c r="C49" s="176"/>
      <c r="D49" s="172"/>
      <c r="E49" s="172"/>
      <c r="F49" s="172"/>
      <c r="G49" s="172"/>
      <c r="H49" s="172"/>
      <c r="I49" s="172"/>
      <c r="J49" s="177"/>
      <c r="K49" s="155"/>
      <c r="L49" s="152"/>
      <c r="M49" s="175" t="e">
        <f>+L49/$L$54</f>
        <v>#DIV/0!</v>
      </c>
      <c r="N49" s="142"/>
      <c r="O49" s="129"/>
      <c r="P49" s="129"/>
      <c r="Q49" s="129"/>
      <c r="R49" s="129"/>
      <c r="S49" s="129"/>
      <c r="T49" s="339"/>
    </row>
    <row r="50" spans="1:20" ht="17.149999999999999" customHeight="1">
      <c r="A50" s="167"/>
      <c r="B50" s="154"/>
      <c r="C50" s="155"/>
      <c r="D50" s="179"/>
      <c r="E50" s="179"/>
      <c r="F50" s="179"/>
      <c r="G50" s="179"/>
      <c r="H50" s="179"/>
      <c r="I50" s="179"/>
      <c r="J50" s="152"/>
      <c r="K50" s="155"/>
      <c r="L50" s="152"/>
      <c r="M50" s="154"/>
      <c r="N50" s="142"/>
      <c r="O50" s="129"/>
      <c r="P50" s="129"/>
      <c r="Q50" s="129"/>
      <c r="R50" s="129"/>
      <c r="S50" s="129"/>
      <c r="T50" s="339"/>
    </row>
    <row r="51" spans="1:20" ht="17.149999999999999" customHeight="1">
      <c r="A51" s="167"/>
      <c r="B51" s="180"/>
      <c r="C51" s="162"/>
      <c r="D51" s="136"/>
      <c r="E51" s="136"/>
      <c r="F51" s="136"/>
      <c r="G51" s="136"/>
      <c r="H51" s="136"/>
      <c r="I51" s="136"/>
      <c r="J51" s="161"/>
      <c r="K51" s="162"/>
      <c r="L51" s="161"/>
      <c r="M51" s="180"/>
      <c r="N51" s="142"/>
      <c r="O51" s="129"/>
      <c r="P51" s="129"/>
      <c r="Q51" s="129"/>
      <c r="R51" s="129"/>
      <c r="S51" s="129"/>
      <c r="T51" s="339"/>
    </row>
    <row r="52" spans="1:20" ht="17.149999999999999" customHeight="1">
      <c r="A52" s="167"/>
      <c r="B52" s="181" t="s">
        <v>113</v>
      </c>
      <c r="C52" s="169"/>
      <c r="D52" s="434"/>
      <c r="E52" s="434"/>
      <c r="F52" s="434"/>
      <c r="G52" s="434"/>
      <c r="H52" s="434"/>
      <c r="I52" s="434"/>
      <c r="J52" s="148"/>
      <c r="K52" s="169"/>
      <c r="L52" s="148"/>
      <c r="M52" s="168"/>
      <c r="N52" s="142"/>
      <c r="O52" s="129"/>
      <c r="P52" s="129"/>
      <c r="Q52" s="129"/>
      <c r="R52" s="129"/>
      <c r="S52" s="129"/>
      <c r="T52" s="339"/>
    </row>
    <row r="53" spans="1:20" ht="17.149999999999999" customHeight="1">
      <c r="A53" s="167"/>
      <c r="B53" s="180"/>
      <c r="C53" s="162"/>
      <c r="D53" s="136"/>
      <c r="E53" s="136"/>
      <c r="F53" s="136"/>
      <c r="G53" s="136"/>
      <c r="H53" s="136"/>
      <c r="I53" s="136"/>
      <c r="J53" s="161"/>
      <c r="K53" s="162"/>
      <c r="L53" s="161"/>
      <c r="M53" s="180"/>
      <c r="N53" s="142"/>
      <c r="O53" s="129"/>
      <c r="P53" s="129"/>
      <c r="Q53" s="129"/>
      <c r="R53" s="129"/>
      <c r="S53" s="129"/>
      <c r="T53" s="339"/>
    </row>
    <row r="54" spans="1:20" ht="17.149999999999999" customHeight="1">
      <c r="A54" s="167"/>
      <c r="B54" s="168"/>
      <c r="C54" s="169"/>
      <c r="D54" s="147"/>
      <c r="E54" s="147"/>
      <c r="F54" s="147"/>
      <c r="G54" s="147"/>
      <c r="H54" s="147"/>
      <c r="I54" s="182" t="s">
        <v>114</v>
      </c>
      <c r="J54" s="148"/>
      <c r="K54" s="169"/>
      <c r="L54" s="183">
        <f>SUM(L27:L51)</f>
        <v>0</v>
      </c>
      <c r="M54" s="168" t="e">
        <f>SUM(M27:M52)</f>
        <v>#DIV/0!</v>
      </c>
      <c r="N54" s="142"/>
      <c r="O54" s="129"/>
      <c r="P54" s="129"/>
      <c r="Q54" s="129"/>
      <c r="R54" s="129"/>
      <c r="S54" s="129"/>
      <c r="T54" s="339"/>
    </row>
    <row r="55" spans="1:20" ht="17.149999999999999" customHeight="1">
      <c r="A55" s="167"/>
      <c r="B55" s="180"/>
      <c r="C55" s="162"/>
      <c r="D55" s="160"/>
      <c r="E55" s="160"/>
      <c r="F55" s="160"/>
      <c r="G55" s="160"/>
      <c r="H55" s="160"/>
      <c r="I55" s="160"/>
      <c r="J55" s="161"/>
      <c r="K55" s="162"/>
      <c r="L55" s="161"/>
      <c r="M55" s="184"/>
      <c r="N55" s="142"/>
      <c r="O55" s="129"/>
      <c r="P55" s="129"/>
      <c r="Q55" s="129"/>
      <c r="R55" s="129"/>
      <c r="S55" s="129"/>
      <c r="T55" s="339"/>
    </row>
    <row r="56" spans="1:20" ht="17.149999999999999" customHeight="1">
      <c r="A56" s="129"/>
      <c r="B56" s="163"/>
      <c r="C56" s="163"/>
      <c r="D56" s="163"/>
      <c r="E56" s="163"/>
      <c r="F56" s="163"/>
      <c r="G56" s="163"/>
      <c r="H56" s="163"/>
      <c r="I56" s="163"/>
      <c r="J56" s="163"/>
      <c r="K56" s="163"/>
      <c r="L56" s="163"/>
      <c r="M56" s="163"/>
      <c r="N56" s="129"/>
      <c r="O56" s="129"/>
      <c r="P56" s="129"/>
      <c r="Q56" s="129"/>
      <c r="R56" s="129"/>
      <c r="S56" s="129"/>
      <c r="T56" s="339"/>
    </row>
    <row r="57" spans="1:20" ht="17.149999999999999" customHeight="1">
      <c r="A57" s="129"/>
      <c r="B57" s="150" t="s">
        <v>115</v>
      </c>
      <c r="C57" s="129"/>
      <c r="D57" s="129"/>
      <c r="E57" s="129"/>
      <c r="F57" s="129"/>
      <c r="G57" s="129"/>
      <c r="H57" s="129"/>
      <c r="I57" s="129"/>
      <c r="J57" s="129"/>
      <c r="K57" s="129"/>
      <c r="L57" s="129"/>
      <c r="M57" s="129"/>
      <c r="N57" s="129"/>
      <c r="O57" s="129"/>
      <c r="P57" s="129"/>
      <c r="Q57" s="129"/>
      <c r="R57" s="129"/>
      <c r="S57" s="129"/>
      <c r="T57" s="339"/>
    </row>
    <row r="58" spans="1:20" ht="17.149999999999999" customHeight="1">
      <c r="A58" s="129"/>
      <c r="B58" s="150" t="s">
        <v>116</v>
      </c>
      <c r="C58" s="129"/>
      <c r="D58" s="129"/>
      <c r="E58" s="129"/>
      <c r="F58" s="129"/>
      <c r="G58" s="129"/>
      <c r="H58" s="129"/>
      <c r="I58" s="129"/>
      <c r="J58" s="129"/>
      <c r="K58" s="129"/>
      <c r="L58" s="129"/>
      <c r="M58" s="129"/>
      <c r="N58" s="129"/>
      <c r="O58" s="129"/>
      <c r="P58" s="129"/>
      <c r="Q58" s="129"/>
      <c r="R58" s="129"/>
      <c r="S58" s="129"/>
      <c r="T58" s="339"/>
    </row>
    <row r="59" spans="1:20" ht="17.149999999999999" customHeight="1">
      <c r="A59" s="129"/>
      <c r="B59" s="150" t="s">
        <v>117</v>
      </c>
      <c r="C59" s="129"/>
      <c r="D59" s="129"/>
      <c r="E59" s="129"/>
      <c r="F59" s="129"/>
      <c r="G59" s="129"/>
      <c r="H59" s="129"/>
      <c r="I59" s="129"/>
      <c r="J59" s="129"/>
      <c r="K59" s="129"/>
      <c r="L59" s="129"/>
      <c r="M59" s="129"/>
      <c r="N59" s="129"/>
      <c r="O59" s="129"/>
      <c r="P59" s="129"/>
      <c r="Q59" s="129"/>
      <c r="R59" s="129"/>
      <c r="S59" s="129"/>
      <c r="T59" s="339"/>
    </row>
  </sheetData>
  <sheetProtection sheet="false"/>
  <mergeCells count="12">
    <mergeCell ref="Q13:R13"/>
    <mergeCell ref="A23:T23"/>
    <mergeCell ref="C25:J25"/>
    <mergeCell ref="K25:L25"/>
    <mergeCell ref="C1:S1"/>
    <mergeCell ref="B3:K3"/>
    <mergeCell ref="B5:I5"/>
    <mergeCell ref="L7:Q7"/>
    <mergeCell ref="Q9:R9"/>
    <mergeCell ref="Q11:R11"/>
    <mergeCell ref="N5:S5"/>
    <mergeCell ref="M3:S3"/>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pageSetUpPr fitToPage="1"/>
  </sheetPr>
  <dimension ref="A1:F46"/>
  <sheetViews>
    <sheetView topLeftCell="A28" zoomScale="112" workbookViewId="0">
      <selection activeCell="N55" sqref="N55"/>
    </sheetView>
  </sheetViews>
  <sheetFormatPr baseColWidth="10" defaultColWidth="13.3984375" defaultRowHeight="12.75" customHeight="1"/>
  <cols>
    <col min="1" max="1" customWidth="true" style="130" width="26.0" collapsed="true"/>
    <col min="2" max="5" customWidth="true" style="130" width="17.69921875" collapsed="true"/>
    <col min="6" max="256" customWidth="true" style="130" width="13.3984375" collapsed="true"/>
    <col min="257" max="16384" style="186" width="13.3984375" collapsed="true"/>
  </cols>
  <sheetData>
    <row r="1" spans="1:6" ht="16.25" customHeight="1">
      <c r="A1" s="185" t="s">
        <v>28</v>
      </c>
      <c r="B1" s="835" t="str">
        <f>'Fiche de renseignement R1'!$J$3</f>
        <v>IAMGOLD BOTO SA</v>
      </c>
      <c r="C1" s="810"/>
      <c r="D1" s="810"/>
      <c r="E1" s="810"/>
      <c r="F1" s="810"/>
    </row>
    <row r="2" spans="1:6" ht="17.149999999999999" customHeight="1">
      <c r="A2" s="185" t="s">
        <v>29</v>
      </c>
      <c r="B2" s="823" t="str">
        <f>'Activités de l''entreprise R2'!B3</f>
        <v>PARCELLE 08 ZONE 7 ALMADIES DERRIERE HOTEL LODGE</v>
      </c>
      <c r="C2" s="836"/>
      <c r="D2" s="187" t="s">
        <v>30</v>
      </c>
      <c r="E2" s="188">
        <f>'Activités de l''entreprise R2'!M3</f>
        <v>0</v>
      </c>
      <c r="F2" s="189"/>
    </row>
    <row r="3" spans="1:6" ht="16.25" customHeight="1">
      <c r="A3" s="185" t="s">
        <v>118</v>
      </c>
      <c r="B3" s="188" t="str">
        <f>'Activités de l''entreprise R2'!B5</f>
        <v>007768007</v>
      </c>
      <c r="C3" s="190" t="s">
        <v>32</v>
      </c>
      <c r="D3" s="433">
        <f>'Activités de l''entreprise R2'!L5</f>
        <v>44926</v>
      </c>
      <c r="E3" s="191" t="s">
        <v>33</v>
      </c>
      <c r="F3" s="188">
        <f>'Activités de l''entreprise R2'!N5</f>
        <v>12</v>
      </c>
    </row>
    <row r="4" spans="1:6" ht="8.15" customHeight="1">
      <c r="A4" s="129"/>
      <c r="B4" s="134"/>
      <c r="C4" s="129"/>
      <c r="D4" s="134"/>
      <c r="E4" s="129"/>
      <c r="F4" s="134"/>
    </row>
    <row r="5" spans="1:6" ht="17.149999999999999" customHeight="1">
      <c r="A5" s="814" t="s">
        <v>119</v>
      </c>
      <c r="B5" s="772"/>
      <c r="C5" s="772"/>
      <c r="D5" s="772"/>
      <c r="E5" s="772"/>
      <c r="F5" s="772"/>
    </row>
    <row r="6" spans="1:6" ht="8.15" customHeight="1">
      <c r="A6" s="135"/>
      <c r="B6" s="135"/>
      <c r="C6" s="135"/>
      <c r="D6" s="135"/>
      <c r="E6" s="135"/>
      <c r="F6" s="135"/>
    </row>
    <row r="7" spans="1:6" ht="24" customHeight="1">
      <c r="A7" s="192" t="s">
        <v>120</v>
      </c>
      <c r="B7" s="192" t="s">
        <v>121</v>
      </c>
      <c r="C7" s="192" t="s">
        <v>122</v>
      </c>
      <c r="D7" s="193" t="s">
        <v>118</v>
      </c>
      <c r="E7" s="827" t="s">
        <v>123</v>
      </c>
      <c r="F7" s="813"/>
    </row>
    <row r="8" spans="1:6" ht="17.149999999999999" customHeight="1">
      <c r="A8" s="687" t="s">
        <v>1558</v>
      </c>
      <c r="B8" s="687" t="s">
        <v>1559</v>
      </c>
      <c r="C8" s="687" t="s">
        <v>1552</v>
      </c>
      <c r="D8" s="688"/>
      <c r="E8" s="689" t="s">
        <v>1560</v>
      </c>
      <c r="F8" s="690"/>
    </row>
    <row r="9" spans="1:6" ht="17.149999999999999" customHeight="1">
      <c r="A9" s="691"/>
      <c r="B9" s="691"/>
      <c r="C9" s="691"/>
      <c r="D9" s="691"/>
      <c r="E9" s="692"/>
      <c r="F9" s="693"/>
    </row>
    <row r="10" spans="1:6" ht="17.149999999999999" customHeight="1">
      <c r="A10" s="691"/>
      <c r="B10" s="691"/>
      <c r="C10" s="691"/>
      <c r="D10" s="691"/>
      <c r="E10" s="692"/>
      <c r="F10" s="693"/>
    </row>
    <row r="11" spans="1:6" ht="17.149999999999999" customHeight="1">
      <c r="A11" s="154"/>
      <c r="B11" s="154"/>
      <c r="C11" s="154"/>
      <c r="D11" s="154"/>
      <c r="E11" s="155"/>
      <c r="F11" s="152"/>
    </row>
    <row r="12" spans="1:6" ht="17.149999999999999" customHeight="1">
      <c r="A12" s="154"/>
      <c r="B12" s="154"/>
      <c r="C12" s="154"/>
      <c r="D12" s="154"/>
      <c r="E12" s="155"/>
      <c r="F12" s="152"/>
    </row>
    <row r="13" spans="1:6" ht="17.149999999999999" customHeight="1">
      <c r="A13" s="154"/>
      <c r="B13" s="154"/>
      <c r="C13" s="154"/>
      <c r="D13" s="154"/>
      <c r="E13" s="155"/>
      <c r="F13" s="152"/>
    </row>
    <row r="14" spans="1:6" ht="17.149999999999999" customHeight="1">
      <c r="A14" s="154"/>
      <c r="B14" s="154"/>
      <c r="C14" s="154"/>
      <c r="D14" s="154"/>
      <c r="E14" s="155"/>
      <c r="F14" s="152"/>
    </row>
    <row r="15" spans="1:6" ht="17.149999999999999" customHeight="1">
      <c r="A15" s="154"/>
      <c r="B15" s="154"/>
      <c r="C15" s="154"/>
      <c r="D15" s="154"/>
      <c r="E15" s="155"/>
      <c r="F15" s="152"/>
    </row>
    <row r="16" spans="1:6" ht="17.149999999999999" customHeight="1">
      <c r="A16" s="154"/>
      <c r="B16" s="154"/>
      <c r="C16" s="154"/>
      <c r="D16" s="154"/>
      <c r="E16" s="155"/>
      <c r="F16" s="152"/>
    </row>
    <row r="17" spans="1:6" ht="17.149999999999999" customHeight="1">
      <c r="A17" s="154"/>
      <c r="B17" s="154"/>
      <c r="C17" s="154"/>
      <c r="D17" s="154"/>
      <c r="E17" s="155"/>
      <c r="F17" s="152"/>
    </row>
    <row r="18" spans="1:6" ht="17.149999999999999" customHeight="1">
      <c r="A18" s="154"/>
      <c r="B18" s="154"/>
      <c r="C18" s="154"/>
      <c r="D18" s="154"/>
      <c r="E18" s="155"/>
      <c r="F18" s="152"/>
    </row>
    <row r="19" spans="1:6" ht="17.149999999999999" customHeight="1">
      <c r="A19" s="154"/>
      <c r="B19" s="154"/>
      <c r="C19" s="154"/>
      <c r="D19" s="154"/>
      <c r="E19" s="155"/>
      <c r="F19" s="152"/>
    </row>
    <row r="20" spans="1:6" ht="17.149999999999999" customHeight="1">
      <c r="A20" s="154"/>
      <c r="B20" s="154"/>
      <c r="C20" s="154"/>
      <c r="D20" s="154"/>
      <c r="E20" s="155"/>
      <c r="F20" s="152"/>
    </row>
    <row r="21" spans="1:6" ht="17.149999999999999" customHeight="1">
      <c r="A21" s="154"/>
      <c r="B21" s="154"/>
      <c r="C21" s="154"/>
      <c r="D21" s="154"/>
      <c r="E21" s="155"/>
      <c r="F21" s="152"/>
    </row>
    <row r="22" spans="1:6" ht="17.149999999999999" customHeight="1">
      <c r="A22" s="180"/>
      <c r="B22" s="180"/>
      <c r="C22" s="180"/>
      <c r="D22" s="180"/>
      <c r="E22" s="162"/>
      <c r="F22" s="161"/>
    </row>
    <row r="23" spans="1:6" ht="11.25" customHeight="1">
      <c r="A23" s="194" t="s">
        <v>124</v>
      </c>
      <c r="B23" s="163"/>
      <c r="C23" s="163"/>
      <c r="D23" s="163"/>
      <c r="E23" s="163"/>
      <c r="F23" s="163"/>
    </row>
    <row r="24" spans="1:6" ht="8.15" customHeight="1">
      <c r="A24" s="129"/>
      <c r="B24" s="129"/>
      <c r="C24" s="129"/>
      <c r="D24" s="129"/>
      <c r="E24" s="129"/>
      <c r="F24" s="129"/>
    </row>
    <row r="25" spans="1:6" ht="17.149999999999999" customHeight="1">
      <c r="A25" s="814" t="s">
        <v>125</v>
      </c>
      <c r="B25" s="772"/>
      <c r="C25" s="772"/>
      <c r="D25" s="772"/>
      <c r="E25" s="772"/>
      <c r="F25" s="772"/>
    </row>
    <row r="26" spans="1:6" ht="8.15" customHeight="1">
      <c r="A26" s="135"/>
      <c r="B26" s="135"/>
      <c r="C26" s="135"/>
      <c r="D26" s="135"/>
      <c r="E26" s="135"/>
      <c r="F26" s="135"/>
    </row>
    <row r="27" spans="1:6" ht="17.149999999999999" customHeight="1">
      <c r="A27" s="192" t="s">
        <v>120</v>
      </c>
      <c r="B27" s="192" t="s">
        <v>121</v>
      </c>
      <c r="C27" s="827" t="s">
        <v>122</v>
      </c>
      <c r="D27" s="813"/>
      <c r="E27" s="827" t="s">
        <v>123</v>
      </c>
      <c r="F27" s="813"/>
    </row>
    <row r="28" spans="1:6" ht="17.149999999999999" customHeight="1">
      <c r="A28" s="168" t="s">
        <v>1561</v>
      </c>
      <c r="B28" s="168" t="s">
        <v>1566</v>
      </c>
      <c r="C28" s="840" t="s">
        <v>1571</v>
      </c>
      <c r="D28" s="841"/>
      <c r="E28" s="842" t="s">
        <v>1573</v>
      </c>
      <c r="F28" s="843"/>
    </row>
    <row r="29" spans="1:6" ht="17.149999999999999" customHeight="1">
      <c r="A29" s="154" t="s">
        <v>1562</v>
      </c>
      <c r="B29" s="154" t="s">
        <v>1567</v>
      </c>
      <c r="C29" s="837" t="s">
        <v>1572</v>
      </c>
      <c r="D29" s="834"/>
      <c r="E29" s="838" t="s">
        <v>1573</v>
      </c>
      <c r="F29" s="839"/>
    </row>
    <row r="30" spans="1:6" ht="17.149999999999999" customHeight="1">
      <c r="A30" s="154" t="s">
        <v>1563</v>
      </c>
      <c r="B30" s="154" t="s">
        <v>1568</v>
      </c>
      <c r="C30" s="837" t="s">
        <v>1572</v>
      </c>
      <c r="D30" s="834"/>
      <c r="E30" s="838" t="s">
        <v>1573</v>
      </c>
      <c r="F30" s="839"/>
    </row>
    <row r="31" spans="1:6" ht="17.149999999999999" customHeight="1">
      <c r="A31" s="154" t="s">
        <v>1564</v>
      </c>
      <c r="B31" s="154" t="s">
        <v>1569</v>
      </c>
      <c r="C31" s="837" t="s">
        <v>1572</v>
      </c>
      <c r="D31" s="834"/>
      <c r="E31" s="838" t="s">
        <v>1560</v>
      </c>
      <c r="F31" s="839"/>
    </row>
    <row r="32" spans="1:6" ht="17.149999999999999" customHeight="1">
      <c r="A32" s="154" t="s">
        <v>1565</v>
      </c>
      <c r="B32" s="154" t="s">
        <v>1570</v>
      </c>
      <c r="C32" s="837" t="s">
        <v>1572</v>
      </c>
      <c r="D32" s="834"/>
      <c r="E32" s="838" t="s">
        <v>1560</v>
      </c>
      <c r="F32" s="839"/>
    </row>
    <row r="33" spans="1:6" ht="17.149999999999999" customHeight="1">
      <c r="A33" s="154"/>
      <c r="B33" s="154"/>
      <c r="C33" s="837"/>
      <c r="D33" s="834"/>
      <c r="E33" s="838"/>
      <c r="F33" s="839"/>
    </row>
    <row r="34" spans="1:6" ht="17.149999999999999" customHeight="1">
      <c r="A34" s="154"/>
      <c r="B34" s="154"/>
      <c r="C34" s="837"/>
      <c r="D34" s="834"/>
      <c r="E34" s="838"/>
      <c r="F34" s="839"/>
    </row>
    <row r="35" spans="1:6" ht="17.149999999999999" customHeight="1">
      <c r="A35" s="154"/>
      <c r="B35" s="154"/>
      <c r="C35" s="837"/>
      <c r="D35" s="834"/>
      <c r="E35" s="838"/>
      <c r="F35" s="839"/>
    </row>
    <row r="36" spans="1:6" ht="17.149999999999999" customHeight="1">
      <c r="A36" s="154"/>
      <c r="B36" s="154"/>
      <c r="C36" s="837"/>
      <c r="D36" s="834"/>
      <c r="E36" s="838"/>
      <c r="F36" s="839"/>
    </row>
    <row r="37" spans="1:6" ht="17.149999999999999" customHeight="1">
      <c r="A37" s="154"/>
      <c r="B37" s="154"/>
      <c r="C37" s="837"/>
      <c r="D37" s="834"/>
      <c r="E37" s="838"/>
      <c r="F37" s="839"/>
    </row>
    <row r="38" spans="1:6" ht="17.149999999999999" customHeight="1">
      <c r="A38" s="154"/>
      <c r="B38" s="154"/>
      <c r="C38" s="837"/>
      <c r="D38" s="834"/>
      <c r="E38" s="838"/>
      <c r="F38" s="839"/>
    </row>
    <row r="39" spans="1:6" ht="17.149999999999999" customHeight="1">
      <c r="A39" s="154"/>
      <c r="B39" s="154"/>
      <c r="C39" s="837"/>
      <c r="D39" s="834"/>
      <c r="E39" s="838"/>
      <c r="F39" s="839"/>
    </row>
    <row r="40" spans="1:6" ht="17.149999999999999" customHeight="1">
      <c r="A40" s="154"/>
      <c r="B40" s="154"/>
      <c r="C40" s="837"/>
      <c r="D40" s="834"/>
      <c r="E40" s="838"/>
      <c r="F40" s="839"/>
    </row>
    <row r="41" spans="1:6" ht="17.149999999999999" customHeight="1">
      <c r="A41" s="154"/>
      <c r="B41" s="154"/>
      <c r="C41" s="837"/>
      <c r="D41" s="834"/>
      <c r="E41" s="838"/>
      <c r="F41" s="839"/>
    </row>
    <row r="42" spans="1:6" ht="17.149999999999999" customHeight="1">
      <c r="A42" s="154"/>
      <c r="B42" s="154"/>
      <c r="C42" s="837"/>
      <c r="D42" s="834"/>
      <c r="E42" s="838"/>
      <c r="F42" s="839"/>
    </row>
    <row r="43" spans="1:6" ht="17.149999999999999" customHeight="1">
      <c r="A43" s="171"/>
      <c r="B43" s="171"/>
      <c r="C43" s="833"/>
      <c r="D43" s="834"/>
      <c r="E43" s="149"/>
      <c r="F43" s="195"/>
    </row>
    <row r="44" spans="1:6" ht="17.149999999999999" customHeight="1">
      <c r="A44" s="154"/>
      <c r="B44" s="154"/>
      <c r="C44" s="155"/>
      <c r="D44" s="152"/>
      <c r="E44" s="155"/>
      <c r="F44" s="152"/>
    </row>
    <row r="45" spans="1:6" ht="17.149999999999999" customHeight="1">
      <c r="A45" s="180"/>
      <c r="B45" s="180"/>
      <c r="C45" s="162"/>
      <c r="D45" s="161"/>
      <c r="E45" s="162"/>
      <c r="F45" s="161"/>
    </row>
    <row r="46" spans="1:6" ht="8.15" customHeight="1">
      <c r="A46" s="163"/>
      <c r="B46" s="163"/>
      <c r="C46" s="163"/>
      <c r="D46" s="163"/>
      <c r="E46" s="163"/>
      <c r="F46" s="163"/>
    </row>
  </sheetData>
  <sheetProtection sheet="false"/>
  <mergeCells count="38">
    <mergeCell ref="C40:D40"/>
    <mergeCell ref="E40:F40"/>
    <mergeCell ref="C41:D41"/>
    <mergeCell ref="E41:F41"/>
    <mergeCell ref="C37:D37"/>
    <mergeCell ref="E37:F37"/>
    <mergeCell ref="C38:D38"/>
    <mergeCell ref="E38:F38"/>
    <mergeCell ref="C39:D39"/>
    <mergeCell ref="E39:F39"/>
    <mergeCell ref="C34:D34"/>
    <mergeCell ref="E34:F34"/>
    <mergeCell ref="C35:D35"/>
    <mergeCell ref="E35:F35"/>
    <mergeCell ref="C36:D36"/>
    <mergeCell ref="E36:F36"/>
    <mergeCell ref="C31:D31"/>
    <mergeCell ref="E31:F31"/>
    <mergeCell ref="C32:D32"/>
    <mergeCell ref="E32:F32"/>
    <mergeCell ref="C33:D33"/>
    <mergeCell ref="E33:F33"/>
    <mergeCell ref="C43:D43"/>
    <mergeCell ref="B1:F1"/>
    <mergeCell ref="B2:C2"/>
    <mergeCell ref="A5:F5"/>
    <mergeCell ref="E7:F7"/>
    <mergeCell ref="C42:D42"/>
    <mergeCell ref="E42:F42"/>
    <mergeCell ref="A25:F25"/>
    <mergeCell ref="C27:D27"/>
    <mergeCell ref="E27:F27"/>
    <mergeCell ref="C28:D28"/>
    <mergeCell ref="E28:F28"/>
    <mergeCell ref="C29:D29"/>
    <mergeCell ref="E29:F29"/>
    <mergeCell ref="C30:D30"/>
    <mergeCell ref="E30:F30"/>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A1:D48"/>
  <sheetViews>
    <sheetView workbookViewId="0">
      <selection activeCell="N55" sqref="N55"/>
    </sheetView>
  </sheetViews>
  <sheetFormatPr baseColWidth="10" defaultColWidth="12" defaultRowHeight="14"/>
  <cols>
    <col min="1" max="1" customWidth="true" style="198" width="19.3984375" collapsed="true"/>
    <col min="2" max="2" customWidth="true" style="201" width="70.296875" collapsed="true"/>
    <col min="3" max="16384" style="198" width="12.0" collapsed="true"/>
  </cols>
  <sheetData>
    <row r="1" spans="1:4" ht="14.5" thickBot="1">
      <c r="A1" s="196" t="s">
        <v>126</v>
      </c>
      <c r="B1" s="197" t="s">
        <v>127</v>
      </c>
      <c r="C1" s="198" t="s">
        <v>128</v>
      </c>
      <c r="D1" s="198" t="s">
        <v>129</v>
      </c>
    </row>
    <row r="2" spans="1:4" ht="14.5" thickTop="1">
      <c r="A2" s="199" t="s">
        <v>130</v>
      </c>
      <c r="B2" s="200" t="s">
        <v>131</v>
      </c>
      <c r="C2" s="198" t="s">
        <v>1574</v>
      </c>
      <c r="D2" s="198" t="s">
        <v>18</v>
      </c>
    </row>
    <row r="3" spans="1:4">
      <c r="A3" s="199" t="s">
        <v>132</v>
      </c>
      <c r="B3" s="200" t="s">
        <v>133</v>
      </c>
      <c r="C3" s="198" t="s">
        <v>18</v>
      </c>
      <c r="D3" s="198" t="s">
        <v>1574</v>
      </c>
    </row>
    <row r="4" spans="1:4">
      <c r="A4" s="199" t="s">
        <v>134</v>
      </c>
      <c r="B4" s="200" t="s">
        <v>135</v>
      </c>
      <c r="C4" s="198" t="s">
        <v>18</v>
      </c>
      <c r="D4" s="198" t="s">
        <v>1574</v>
      </c>
    </row>
    <row r="5" spans="1:4">
      <c r="A5" s="199" t="s">
        <v>136</v>
      </c>
      <c r="B5" s="200" t="s">
        <v>137</v>
      </c>
      <c r="C5" s="198" t="s">
        <v>1574</v>
      </c>
      <c r="D5" s="198" t="s">
        <v>18</v>
      </c>
    </row>
    <row r="6" spans="1:4">
      <c r="A6" s="199" t="s">
        <v>138</v>
      </c>
      <c r="B6" s="200" t="s">
        <v>139</v>
      </c>
      <c r="C6" s="198" t="s">
        <v>18</v>
      </c>
      <c r="D6" s="198" t="s">
        <v>1574</v>
      </c>
    </row>
    <row r="7" spans="1:4">
      <c r="A7" s="199" t="s">
        <v>140</v>
      </c>
      <c r="B7" s="200" t="s">
        <v>141</v>
      </c>
      <c r="C7" s="198" t="s">
        <v>1574</v>
      </c>
      <c r="D7" s="198" t="s">
        <v>18</v>
      </c>
    </row>
    <row r="8" spans="1:4" ht="28">
      <c r="A8" s="199" t="s">
        <v>142</v>
      </c>
      <c r="B8" s="200" t="s">
        <v>143</v>
      </c>
      <c r="C8" s="198" t="s">
        <v>1574</v>
      </c>
      <c r="D8" s="198" t="s">
        <v>18</v>
      </c>
    </row>
    <row r="9" spans="1:4">
      <c r="A9" s="199" t="s">
        <v>144</v>
      </c>
      <c r="B9" s="200" t="s">
        <v>145</v>
      </c>
      <c r="C9" s="198" t="s">
        <v>18</v>
      </c>
      <c r="D9" s="198" t="s">
        <v>1574</v>
      </c>
    </row>
    <row r="10" spans="1:4">
      <c r="A10" s="199" t="s">
        <v>146</v>
      </c>
      <c r="B10" s="200" t="s">
        <v>147</v>
      </c>
      <c r="C10" s="198" t="s">
        <v>1574</v>
      </c>
      <c r="D10" s="198" t="s">
        <v>18</v>
      </c>
    </row>
    <row r="11" spans="1:4">
      <c r="A11" s="199" t="s">
        <v>148</v>
      </c>
      <c r="B11" s="200" t="s">
        <v>149</v>
      </c>
      <c r="C11" s="198" t="s">
        <v>18</v>
      </c>
      <c r="D11" s="198" t="s">
        <v>1574</v>
      </c>
    </row>
    <row r="12" spans="1:4">
      <c r="A12" s="199" t="s">
        <v>150</v>
      </c>
      <c r="B12" s="200" t="s">
        <v>151</v>
      </c>
      <c r="C12" s="198" t="s">
        <v>1574</v>
      </c>
      <c r="D12" s="198" t="s">
        <v>18</v>
      </c>
    </row>
    <row r="13" spans="1:4">
      <c r="A13" s="199" t="s">
        <v>152</v>
      </c>
      <c r="B13" s="200" t="s">
        <v>153</v>
      </c>
      <c r="C13" s="198" t="s">
        <v>18</v>
      </c>
      <c r="D13" s="198" t="s">
        <v>1574</v>
      </c>
    </row>
    <row r="14" spans="1:4">
      <c r="A14" s="199" t="s">
        <v>154</v>
      </c>
      <c r="B14" s="200" t="s">
        <v>155</v>
      </c>
      <c r="C14" s="198" t="s">
        <v>1574</v>
      </c>
      <c r="D14" s="198" t="s">
        <v>18</v>
      </c>
    </row>
    <row r="15" spans="1:4">
      <c r="A15" s="199" t="s">
        <v>156</v>
      </c>
      <c r="B15" s="200" t="s">
        <v>157</v>
      </c>
      <c r="C15" s="198" t="s">
        <v>1574</v>
      </c>
      <c r="D15" s="198" t="s">
        <v>18</v>
      </c>
    </row>
    <row r="16" spans="1:4">
      <c r="A16" s="199" t="s">
        <v>158</v>
      </c>
      <c r="B16" s="200" t="s">
        <v>159</v>
      </c>
      <c r="C16" s="198" t="s">
        <v>1574</v>
      </c>
      <c r="D16" s="198" t="s">
        <v>18</v>
      </c>
    </row>
    <row r="17" spans="1:4">
      <c r="A17" s="199" t="s">
        <v>160</v>
      </c>
      <c r="B17" s="200" t="s">
        <v>161</v>
      </c>
      <c r="C17" s="198" t="s">
        <v>18</v>
      </c>
      <c r="D17" s="198" t="s">
        <v>1574</v>
      </c>
    </row>
    <row r="18" spans="1:4">
      <c r="A18" s="199" t="s">
        <v>162</v>
      </c>
      <c r="B18" s="200" t="s">
        <v>163</v>
      </c>
      <c r="C18" s="198" t="s">
        <v>18</v>
      </c>
      <c r="D18" s="198" t="s">
        <v>1574</v>
      </c>
    </row>
    <row r="19" spans="1:4">
      <c r="A19" s="199" t="s">
        <v>164</v>
      </c>
      <c r="B19" s="200" t="s">
        <v>165</v>
      </c>
      <c r="C19" s="198" t="s">
        <v>18</v>
      </c>
      <c r="D19" s="198" t="s">
        <v>1574</v>
      </c>
    </row>
    <row r="20" spans="1:4">
      <c r="A20" s="199" t="s">
        <v>166</v>
      </c>
      <c r="B20" s="200" t="s">
        <v>167</v>
      </c>
      <c r="C20" s="198" t="s">
        <v>1574</v>
      </c>
      <c r="D20" s="198" t="s">
        <v>18</v>
      </c>
    </row>
    <row r="21" spans="1:4">
      <c r="A21" s="199" t="s">
        <v>168</v>
      </c>
      <c r="B21" s="200" t="s">
        <v>169</v>
      </c>
      <c r="C21" s="198" t="s">
        <v>1574</v>
      </c>
      <c r="D21" s="198" t="s">
        <v>18</v>
      </c>
    </row>
    <row r="22" spans="1:4">
      <c r="A22" s="199" t="s">
        <v>170</v>
      </c>
      <c r="B22" s="200" t="s">
        <v>171</v>
      </c>
      <c r="C22" s="198" t="s">
        <v>1574</v>
      </c>
      <c r="D22" s="198" t="s">
        <v>18</v>
      </c>
    </row>
    <row r="23" spans="1:4">
      <c r="A23" s="199" t="s">
        <v>172</v>
      </c>
      <c r="B23" s="200" t="s">
        <v>173</v>
      </c>
      <c r="C23" s="198" t="s">
        <v>18</v>
      </c>
      <c r="D23" s="198" t="s">
        <v>1574</v>
      </c>
    </row>
    <row r="24" spans="1:4" ht="28">
      <c r="A24" s="199" t="s">
        <v>174</v>
      </c>
      <c r="B24" s="200" t="s">
        <v>175</v>
      </c>
      <c r="C24" s="198" t="s">
        <v>1574</v>
      </c>
      <c r="D24" s="198" t="s">
        <v>18</v>
      </c>
    </row>
    <row r="25" spans="1:4" ht="28">
      <c r="A25" s="199" t="s">
        <v>176</v>
      </c>
      <c r="B25" s="200" t="s">
        <v>175</v>
      </c>
      <c r="C25" s="198" t="s">
        <v>1574</v>
      </c>
      <c r="D25" s="198" t="s">
        <v>18</v>
      </c>
    </row>
    <row r="26" spans="1:4">
      <c r="A26" s="199" t="s">
        <v>177</v>
      </c>
      <c r="B26" s="200" t="s">
        <v>178</v>
      </c>
      <c r="C26" s="198" t="s">
        <v>1574</v>
      </c>
      <c r="D26" s="198" t="s">
        <v>18</v>
      </c>
    </row>
    <row r="27" spans="1:4">
      <c r="A27" s="199" t="s">
        <v>179</v>
      </c>
      <c r="B27" s="200" t="s">
        <v>180</v>
      </c>
      <c r="C27" s="198" t="s">
        <v>18</v>
      </c>
      <c r="D27" s="198" t="s">
        <v>1574</v>
      </c>
    </row>
    <row r="28" spans="1:4">
      <c r="A28" s="199" t="s">
        <v>181</v>
      </c>
      <c r="B28" s="200" t="s">
        <v>182</v>
      </c>
      <c r="C28" s="198" t="s">
        <v>18</v>
      </c>
      <c r="D28" s="198" t="s">
        <v>1574</v>
      </c>
    </row>
    <row r="29" spans="1:4">
      <c r="A29" s="199" t="s">
        <v>183</v>
      </c>
      <c r="B29" s="200" t="s">
        <v>184</v>
      </c>
      <c r="C29" s="198" t="s">
        <v>18</v>
      </c>
      <c r="D29" s="198" t="s">
        <v>1574</v>
      </c>
    </row>
    <row r="30" spans="1:4">
      <c r="A30" s="199" t="s">
        <v>185</v>
      </c>
      <c r="B30" s="200" t="s">
        <v>186</v>
      </c>
      <c r="C30" s="198" t="s">
        <v>1574</v>
      </c>
      <c r="D30" s="198" t="s">
        <v>18</v>
      </c>
    </row>
    <row r="31" spans="1:4">
      <c r="A31" s="199" t="s">
        <v>187</v>
      </c>
      <c r="B31" s="200" t="s">
        <v>188</v>
      </c>
      <c r="C31" s="198" t="s">
        <v>18</v>
      </c>
      <c r="D31" s="198" t="s">
        <v>1574</v>
      </c>
    </row>
    <row r="32" spans="1:4">
      <c r="A32" s="199" t="s">
        <v>189</v>
      </c>
      <c r="B32" s="200" t="s">
        <v>190</v>
      </c>
      <c r="C32" s="198" t="s">
        <v>18</v>
      </c>
      <c r="D32" s="198" t="s">
        <v>1574</v>
      </c>
    </row>
    <row r="33" spans="1:4">
      <c r="A33" s="199" t="s">
        <v>191</v>
      </c>
      <c r="B33" s="200" t="s">
        <v>192</v>
      </c>
      <c r="C33" s="198" t="s">
        <v>18</v>
      </c>
      <c r="D33" s="198" t="s">
        <v>1574</v>
      </c>
    </row>
    <row r="34" spans="1:4">
      <c r="A34" s="199" t="s">
        <v>193</v>
      </c>
      <c r="B34" s="200" t="s">
        <v>194</v>
      </c>
      <c r="C34" s="198" t="s">
        <v>18</v>
      </c>
      <c r="D34" s="198" t="s">
        <v>1574</v>
      </c>
    </row>
    <row r="35" spans="1:4">
      <c r="A35" s="199" t="s">
        <v>195</v>
      </c>
      <c r="B35" s="200" t="s">
        <v>196</v>
      </c>
      <c r="C35" s="198" t="s">
        <v>18</v>
      </c>
      <c r="D35" s="198" t="s">
        <v>1574</v>
      </c>
    </row>
    <row r="36" spans="1:4">
      <c r="A36" s="199" t="s">
        <v>197</v>
      </c>
      <c r="B36" s="200" t="s">
        <v>198</v>
      </c>
      <c r="C36" s="198" t="s">
        <v>18</v>
      </c>
      <c r="D36" s="198" t="s">
        <v>1574</v>
      </c>
    </row>
    <row r="37" spans="1:4">
      <c r="A37" s="199" t="s">
        <v>199</v>
      </c>
      <c r="B37" s="200" t="s">
        <v>200</v>
      </c>
      <c r="C37" s="198" t="s">
        <v>18</v>
      </c>
      <c r="D37" s="198" t="s">
        <v>1574</v>
      </c>
    </row>
    <row r="38" spans="1:4">
      <c r="A38" s="199" t="s">
        <v>201</v>
      </c>
      <c r="B38" s="200" t="s">
        <v>202</v>
      </c>
      <c r="C38" s="198" t="s">
        <v>18</v>
      </c>
      <c r="D38" s="198" t="s">
        <v>1574</v>
      </c>
    </row>
    <row r="39" spans="1:4">
      <c r="A39" s="199" t="s">
        <v>203</v>
      </c>
      <c r="B39" s="200" t="s">
        <v>204</v>
      </c>
      <c r="C39" s="198" t="s">
        <v>18</v>
      </c>
      <c r="D39" s="198" t="s">
        <v>1574</v>
      </c>
    </row>
    <row r="40" spans="1:4">
      <c r="A40" s="199" t="s">
        <v>205</v>
      </c>
      <c r="B40" s="200" t="s">
        <v>206</v>
      </c>
      <c r="C40" s="198" t="s">
        <v>18</v>
      </c>
      <c r="D40" s="198" t="s">
        <v>1574</v>
      </c>
    </row>
    <row r="41" spans="1:4">
      <c r="A41" s="199" t="s">
        <v>207</v>
      </c>
      <c r="B41" s="200" t="s">
        <v>208</v>
      </c>
      <c r="C41" s="198" t="s">
        <v>1574</v>
      </c>
      <c r="D41" s="198" t="s">
        <v>18</v>
      </c>
    </row>
    <row r="42" spans="1:4" ht="28">
      <c r="A42" s="199" t="s">
        <v>209</v>
      </c>
      <c r="B42" s="200" t="s">
        <v>210</v>
      </c>
      <c r="C42" s="198" t="s">
        <v>18</v>
      </c>
      <c r="D42" s="198" t="s">
        <v>1574</v>
      </c>
    </row>
    <row r="43" spans="1:4">
      <c r="A43" s="199" t="s">
        <v>211</v>
      </c>
      <c r="B43" s="200" t="s">
        <v>212</v>
      </c>
      <c r="C43" s="198" t="s">
        <v>18</v>
      </c>
      <c r="D43" s="198" t="s">
        <v>1574</v>
      </c>
    </row>
    <row r="44" spans="1:4">
      <c r="A44" s="199" t="s">
        <v>213</v>
      </c>
      <c r="B44" s="200" t="s">
        <v>214</v>
      </c>
      <c r="C44" s="198" t="s">
        <v>1574</v>
      </c>
      <c r="D44" s="198" t="s">
        <v>18</v>
      </c>
    </row>
    <row r="45" spans="1:4">
      <c r="A45" s="199" t="s">
        <v>215</v>
      </c>
      <c r="B45" s="200" t="s">
        <v>216</v>
      </c>
      <c r="C45" s="198" t="s">
        <v>18</v>
      </c>
      <c r="D45" s="198" t="s">
        <v>1574</v>
      </c>
    </row>
    <row r="46" spans="1:4" ht="28">
      <c r="A46" s="199" t="s">
        <v>217</v>
      </c>
      <c r="B46" s="200" t="s">
        <v>218</v>
      </c>
      <c r="C46" s="198" t="s">
        <v>1574</v>
      </c>
      <c r="D46" s="198" t="s">
        <v>18</v>
      </c>
    </row>
    <row r="47" spans="1:4">
      <c r="A47" s="199" t="s">
        <v>219</v>
      </c>
      <c r="B47" s="200" t="s">
        <v>220</v>
      </c>
      <c r="C47" s="198" t="s">
        <v>18</v>
      </c>
      <c r="D47" s="198" t="s">
        <v>1574</v>
      </c>
    </row>
    <row r="48" spans="1:4">
      <c r="D48" s="198" t="s">
        <v>1574</v>
      </c>
    </row>
  </sheetData>
  <sheetProtection sheet="false"/>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pageSetUpPr fitToPage="1"/>
  </sheetPr>
  <dimension ref="A1:N54"/>
  <sheetViews>
    <sheetView zoomScale="80" zoomScaleNormal="80" workbookViewId="0">
      <selection activeCell="E1" sqref="E1"/>
    </sheetView>
  </sheetViews>
  <sheetFormatPr baseColWidth="10" defaultColWidth="12" defaultRowHeight="12.75" customHeight="1"/>
  <cols>
    <col min="1" max="1" customWidth="true" style="2" width="4.796875" collapsed="true"/>
    <col min="2" max="2" customWidth="true" style="5" width="71.796875" collapsed="true"/>
    <col min="3" max="3" customWidth="true" style="2" width="4.796875" collapsed="true"/>
    <col min="4" max="6" customWidth="true" style="6" width="16.0" collapsed="true"/>
    <col min="7" max="7" customWidth="true" style="6" width="18.0" collapsed="true"/>
    <col min="8" max="8" customWidth="true" style="2" width="4.796875" collapsed="true"/>
    <col min="9" max="9" bestFit="true" customWidth="true" style="5" width="56.19921875" collapsed="true"/>
    <col min="10" max="10" customWidth="true" style="2" width="4.796875" collapsed="true"/>
    <col min="11" max="12" customWidth="true" style="6" width="16.0" collapsed="true"/>
    <col min="13" max="16384" style="2" width="12.0" collapsed="true"/>
  </cols>
  <sheetData>
    <row r="1" spans="1:14" s="1" customFormat="1" ht="35.4" customHeight="1">
      <c r="A1" s="844" t="s">
        <v>221</v>
      </c>
      <c r="B1" s="444" t="s">
        <v>222</v>
      </c>
      <c r="C1" s="849" t="s">
        <v>223</v>
      </c>
      <c r="D1" s="12"/>
      <c r="E1" s="13" t="s">
        <v>1537</v>
      </c>
      <c r="F1" s="14"/>
      <c r="G1" s="15" t="s">
        <v>1538</v>
      </c>
      <c r="H1" s="844" t="s">
        <v>221</v>
      </c>
      <c r="I1" s="847" t="s">
        <v>224</v>
      </c>
      <c r="J1" s="849" t="s">
        <v>223</v>
      </c>
      <c r="K1" s="16" t="s">
        <v>1537</v>
      </c>
      <c r="L1" s="16" t="s">
        <v>1538</v>
      </c>
    </row>
    <row r="2" spans="1:14" s="1" customFormat="1" ht="25.5" customHeight="1">
      <c r="A2" s="845"/>
      <c r="B2" s="361"/>
      <c r="C2" s="850"/>
      <c r="D2" s="17" t="s">
        <v>225</v>
      </c>
      <c r="E2" s="17" t="s">
        <v>226</v>
      </c>
      <c r="F2" s="427" t="s">
        <v>227</v>
      </c>
      <c r="G2" s="18" t="s">
        <v>227</v>
      </c>
      <c r="H2" s="846"/>
      <c r="I2" s="848"/>
      <c r="J2" s="850"/>
      <c r="K2" s="19" t="s">
        <v>227</v>
      </c>
      <c r="L2" s="19" t="s">
        <v>227</v>
      </c>
    </row>
    <row r="3" spans="1:14" ht="20.149999999999999" customHeight="1">
      <c r="A3" s="46" t="s">
        <v>228</v>
      </c>
      <c r="B3" s="47" t="s">
        <v>229</v>
      </c>
      <c r="C3" s="48">
        <v>3</v>
      </c>
      <c r="D3" s="29">
        <v>44124617079</v>
      </c>
      <c r="E3" s="29">
        <v>52630775</v>
      </c>
      <c r="F3" s="29">
        <v>44071986304</v>
      </c>
      <c r="G3" s="29">
        <v>52124996</v>
      </c>
      <c r="H3" s="49" t="s">
        <v>230</v>
      </c>
      <c r="I3" s="50" t="s">
        <v>231</v>
      </c>
      <c r="J3" s="49">
        <v>13</v>
      </c>
      <c r="K3" s="395">
        <v>10000000</v>
      </c>
      <c r="L3" s="395">
        <v>10000000</v>
      </c>
    </row>
    <row r="4" spans="1:14" ht="20.149999999999999" customHeight="1">
      <c r="A4" s="51" t="s">
        <v>232</v>
      </c>
      <c r="B4" s="52" t="s">
        <v>233</v>
      </c>
      <c r="C4" s="53"/>
      <c r="D4" s="30">
        <v>44028439487</v>
      </c>
      <c r="E4" s="31">
        <v>0</v>
      </c>
      <c r="F4" s="32">
        <v>44028439487</v>
      </c>
      <c r="G4" s="30">
        <v>0</v>
      </c>
      <c r="H4" s="54" t="s">
        <v>234</v>
      </c>
      <c r="I4" s="55" t="s">
        <v>235</v>
      </c>
      <c r="J4" s="54">
        <v>13</v>
      </c>
      <c r="K4" s="396"/>
      <c r="L4" s="396"/>
    </row>
    <row r="5" spans="1:14" ht="20.149999999999999" customHeight="1">
      <c r="A5" s="49" t="s">
        <v>236</v>
      </c>
      <c r="B5" s="50" t="s">
        <v>237</v>
      </c>
      <c r="C5" s="57"/>
      <c r="D5" s="33">
        <v>96177592</v>
      </c>
      <c r="E5" s="34">
        <v>52630775</v>
      </c>
      <c r="F5" s="32">
        <v>43546817</v>
      </c>
      <c r="G5" s="33">
        <v>52124996</v>
      </c>
      <c r="H5" s="49" t="s">
        <v>238</v>
      </c>
      <c r="I5" s="50" t="s">
        <v>239</v>
      </c>
      <c r="J5" s="49">
        <v>14</v>
      </c>
      <c r="K5" s="395"/>
      <c r="L5" s="395"/>
    </row>
    <row r="6" spans="1:14" ht="20.149999999999999" customHeight="1">
      <c r="A6" s="49" t="s">
        <v>240</v>
      </c>
      <c r="B6" s="50" t="s">
        <v>241</v>
      </c>
      <c r="C6" s="57"/>
      <c r="D6" s="33">
        <v>0</v>
      </c>
      <c r="E6" s="34">
        <v>0</v>
      </c>
      <c r="F6" s="32">
        <v>0</v>
      </c>
      <c r="G6" s="33">
        <v>0</v>
      </c>
      <c r="H6" s="49" t="s">
        <v>242</v>
      </c>
      <c r="I6" s="50" t="s">
        <v>243</v>
      </c>
      <c r="J6" s="49" t="s">
        <v>244</v>
      </c>
      <c r="K6" s="395"/>
      <c r="L6" s="395"/>
    </row>
    <row r="7" spans="1:14" s="3" customFormat="1" ht="20.149999999999999" customHeight="1">
      <c r="A7" s="49" t="s">
        <v>245</v>
      </c>
      <c r="B7" s="50" t="s">
        <v>246</v>
      </c>
      <c r="C7" s="57"/>
      <c r="D7" s="33">
        <v>0</v>
      </c>
      <c r="E7" s="34">
        <v>0</v>
      </c>
      <c r="F7" s="32">
        <v>0</v>
      </c>
      <c r="G7" s="33">
        <v>0</v>
      </c>
      <c r="H7" s="49" t="s">
        <v>247</v>
      </c>
      <c r="I7" s="50" t="s">
        <v>248</v>
      </c>
      <c r="J7" s="49">
        <v>14</v>
      </c>
      <c r="K7" s="395"/>
      <c r="L7" s="395"/>
    </row>
    <row r="8" spans="1:14" ht="20.149999999999999" customHeight="1">
      <c r="A8" s="46" t="s">
        <v>249</v>
      </c>
      <c r="B8" s="47" t="s">
        <v>250</v>
      </c>
      <c r="C8" s="48">
        <v>3</v>
      </c>
      <c r="D8" s="29">
        <v>42428515811</v>
      </c>
      <c r="E8" s="29">
        <v>243672245</v>
      </c>
      <c r="F8" s="29">
        <v>42184843566</v>
      </c>
      <c r="G8" s="29">
        <v>32575963615</v>
      </c>
      <c r="H8" s="49" t="s">
        <v>251</v>
      </c>
      <c r="I8" s="50" t="s">
        <v>252</v>
      </c>
      <c r="J8" s="49">
        <v>14</v>
      </c>
      <c r="K8" s="395"/>
      <c r="L8" s="395"/>
    </row>
    <row r="9" spans="1:14" ht="32.25" customHeight="1">
      <c r="A9" s="443" t="s">
        <v>253</v>
      </c>
      <c r="B9" s="59" t="s">
        <v>254</v>
      </c>
      <c r="C9" s="58"/>
      <c r="D9" s="35"/>
      <c r="E9" s="36"/>
      <c r="F9" s="37"/>
      <c r="G9" s="35"/>
      <c r="H9" s="360" t="s">
        <v>255</v>
      </c>
      <c r="I9" s="391" t="s">
        <v>256</v>
      </c>
      <c r="J9" s="360">
        <v>14</v>
      </c>
      <c r="K9" s="397"/>
      <c r="L9" s="33"/>
      <c r="N9" s="28"/>
    </row>
    <row r="10" spans="1:14" ht="26.25" customHeight="1">
      <c r="A10" s="443" t="s">
        <v>257</v>
      </c>
      <c r="B10" s="59" t="s">
        <v>258</v>
      </c>
      <c r="C10" s="58"/>
      <c r="D10" s="35"/>
      <c r="E10" s="36"/>
      <c r="F10" s="38"/>
      <c r="G10" s="35"/>
      <c r="H10" s="392" t="s">
        <v>259</v>
      </c>
      <c r="I10" s="393" t="s">
        <v>260</v>
      </c>
      <c r="J10" s="394"/>
      <c r="K10" s="398"/>
      <c r="L10" s="33"/>
    </row>
    <row r="11" spans="1:14" ht="20.149999999999999" customHeight="1">
      <c r="A11" s="51" t="s">
        <v>261</v>
      </c>
      <c r="B11" s="52" t="s">
        <v>262</v>
      </c>
      <c r="C11" s="53"/>
      <c r="D11" s="30">
        <v>41216985491</v>
      </c>
      <c r="E11" s="31">
        <v>79793984</v>
      </c>
      <c r="F11" s="39">
        <v>41137191507</v>
      </c>
      <c r="G11" s="30">
        <v>31386687217</v>
      </c>
      <c r="H11" s="51" t="s">
        <v>263</v>
      </c>
      <c r="I11" s="60" t="s">
        <v>264</v>
      </c>
      <c r="J11" s="51">
        <v>15</v>
      </c>
      <c r="K11" s="30"/>
      <c r="L11" s="30"/>
    </row>
    <row r="12" spans="1:14" ht="20.149999999999999" customHeight="1">
      <c r="A12" s="49" t="s">
        <v>265</v>
      </c>
      <c r="B12" s="50" t="s">
        <v>266</v>
      </c>
      <c r="C12" s="57"/>
      <c r="D12" s="33">
        <v>393560030</v>
      </c>
      <c r="E12" s="34">
        <v>77887090</v>
      </c>
      <c r="F12" s="40">
        <v>315672940</v>
      </c>
      <c r="G12" s="33">
        <v>343602332</v>
      </c>
      <c r="H12" s="49" t="s">
        <v>267</v>
      </c>
      <c r="I12" s="61" t="s">
        <v>268</v>
      </c>
      <c r="J12" s="49">
        <v>15</v>
      </c>
      <c r="K12" s="33"/>
      <c r="L12" s="33"/>
    </row>
    <row r="13" spans="1:14" ht="20.149999999999999" customHeight="1">
      <c r="A13" s="49" t="s">
        <v>269</v>
      </c>
      <c r="B13" s="50" t="s">
        <v>270</v>
      </c>
      <c r="C13" s="57"/>
      <c r="D13" s="33">
        <v>194438234</v>
      </c>
      <c r="E13" s="34">
        <v>85991171</v>
      </c>
      <c r="F13" s="40">
        <v>108447063</v>
      </c>
      <c r="G13" s="33">
        <v>157056622</v>
      </c>
      <c r="H13" s="62" t="s">
        <v>271</v>
      </c>
      <c r="I13" s="63" t="s">
        <v>272</v>
      </c>
      <c r="J13" s="64"/>
      <c r="K13" s="65">
        <v>10000000</v>
      </c>
      <c r="L13" s="65">
        <v>10000000</v>
      </c>
    </row>
    <row r="14" spans="1:14" ht="20.149999999999999" customHeight="1">
      <c r="A14" s="49" t="s">
        <v>273</v>
      </c>
      <c r="B14" s="390" t="s">
        <v>274</v>
      </c>
      <c r="C14" s="57">
        <v>3</v>
      </c>
      <c r="D14" s="33">
        <v>623532056</v>
      </c>
      <c r="E14" s="34">
        <v>0</v>
      </c>
      <c r="F14" s="41">
        <v>623532056</v>
      </c>
      <c r="G14" s="33">
        <v>688617444</v>
      </c>
      <c r="H14" s="49" t="s">
        <v>275</v>
      </c>
      <c r="I14" s="66" t="s">
        <v>276</v>
      </c>
      <c r="J14" s="49">
        <v>16</v>
      </c>
      <c r="K14" s="33">
        <v>85897310394</v>
      </c>
      <c r="L14" s="33">
        <v>28095007190</v>
      </c>
    </row>
    <row r="15" spans="1:14" ht="20.149999999999999" customHeight="1">
      <c r="A15" s="62" t="s">
        <v>277</v>
      </c>
      <c r="B15" s="67" t="s">
        <v>147</v>
      </c>
      <c r="C15" s="62">
        <v>4</v>
      </c>
      <c r="D15" s="42">
        <v>1266202</v>
      </c>
      <c r="E15" s="42">
        <v>0</v>
      </c>
      <c r="F15" s="42">
        <v>1266202</v>
      </c>
      <c r="G15" s="42">
        <v>1266202</v>
      </c>
      <c r="H15" s="68" t="s">
        <v>278</v>
      </c>
      <c r="I15" s="69" t="s">
        <v>279</v>
      </c>
      <c r="J15" s="54">
        <v>16</v>
      </c>
      <c r="K15" s="56">
        <v>0</v>
      </c>
      <c r="L15" s="56">
        <v>0</v>
      </c>
    </row>
    <row r="16" spans="1:14" ht="20.149999999999999" customHeight="1">
      <c r="A16" s="49" t="s">
        <v>280</v>
      </c>
      <c r="B16" s="50" t="s">
        <v>281</v>
      </c>
      <c r="C16" s="57"/>
      <c r="D16" s="33"/>
      <c r="E16" s="34"/>
      <c r="F16" s="41"/>
      <c r="G16" s="33"/>
      <c r="H16" s="49" t="s">
        <v>282</v>
      </c>
      <c r="I16" s="66" t="s">
        <v>283</v>
      </c>
      <c r="J16" s="49">
        <v>16</v>
      </c>
      <c r="K16" s="33">
        <v>2923279196</v>
      </c>
      <c r="L16" s="33">
        <v>42172294</v>
      </c>
    </row>
    <row r="17" spans="1:12" ht="20.149999999999999" customHeight="1">
      <c r="A17" s="49" t="s">
        <v>284</v>
      </c>
      <c r="B17" s="50" t="s">
        <v>285</v>
      </c>
      <c r="C17" s="57"/>
      <c r="D17" s="33">
        <v>1266202</v>
      </c>
      <c r="E17" s="34">
        <v>0</v>
      </c>
      <c r="F17" s="41">
        <v>1266202</v>
      </c>
      <c r="G17" s="33">
        <v>1266202</v>
      </c>
      <c r="H17" s="62" t="s">
        <v>286</v>
      </c>
      <c r="I17" s="70" t="s">
        <v>287</v>
      </c>
      <c r="J17" s="64"/>
      <c r="K17" s="42">
        <v>88820589590</v>
      </c>
      <c r="L17" s="42">
        <v>28137179484</v>
      </c>
    </row>
    <row r="18" spans="1:12" ht="20.149999999999999" customHeight="1">
      <c r="A18" s="71" t="s">
        <v>288</v>
      </c>
      <c r="B18" s="72" t="s">
        <v>289</v>
      </c>
      <c r="C18" s="73"/>
      <c r="D18" s="43">
        <v>86554399092</v>
      </c>
      <c r="E18" s="43">
        <v>296303020</v>
      </c>
      <c r="F18" s="43">
        <v>86258096072</v>
      </c>
      <c r="G18" s="43">
        <v>32629354813</v>
      </c>
      <c r="H18" s="71" t="s">
        <v>290</v>
      </c>
      <c r="I18" s="72" t="s">
        <v>291</v>
      </c>
      <c r="J18" s="74"/>
      <c r="K18" s="75">
        <v>88830589590</v>
      </c>
      <c r="L18" s="75">
        <v>28147179484</v>
      </c>
    </row>
    <row r="19" spans="1:12" ht="20.149999999999999" customHeight="1">
      <c r="A19" s="49" t="s">
        <v>292</v>
      </c>
      <c r="B19" s="50" t="s">
        <v>293</v>
      </c>
      <c r="C19" s="57">
        <v>5</v>
      </c>
      <c r="D19" s="44"/>
      <c r="E19" s="34"/>
      <c r="F19" s="41"/>
      <c r="G19" s="33"/>
      <c r="H19" s="49" t="s">
        <v>294</v>
      </c>
      <c r="I19" s="66" t="s">
        <v>295</v>
      </c>
      <c r="J19" s="49">
        <v>5</v>
      </c>
      <c r="K19" s="33"/>
      <c r="L19" s="33"/>
    </row>
    <row r="20" spans="1:12" ht="20.149999999999999" customHeight="1">
      <c r="A20" s="49" t="s">
        <v>296</v>
      </c>
      <c r="B20" s="50" t="s">
        <v>151</v>
      </c>
      <c r="C20" s="57">
        <v>6</v>
      </c>
      <c r="D20" s="44">
        <v>59194011</v>
      </c>
      <c r="E20" s="34">
        <v>0</v>
      </c>
      <c r="F20" s="41">
        <v>59194011</v>
      </c>
      <c r="G20" s="33">
        <v>38519190</v>
      </c>
      <c r="H20" s="49" t="s">
        <v>297</v>
      </c>
      <c r="I20" s="66" t="s">
        <v>298</v>
      </c>
      <c r="J20" s="49">
        <v>7</v>
      </c>
      <c r="K20" s="33"/>
      <c r="L20" s="33"/>
    </row>
    <row r="21" spans="1:12" ht="20.149999999999999" customHeight="1">
      <c r="A21" s="49" t="s">
        <v>299</v>
      </c>
      <c r="B21" s="50" t="s">
        <v>300</v>
      </c>
      <c r="C21" s="57"/>
      <c r="D21" s="44"/>
      <c r="E21" s="34"/>
      <c r="F21" s="41"/>
      <c r="G21" s="33"/>
      <c r="H21" s="49" t="s">
        <v>301</v>
      </c>
      <c r="I21" s="66" t="s">
        <v>302</v>
      </c>
      <c r="J21" s="49">
        <v>17</v>
      </c>
      <c r="K21" s="33">
        <v>334533601</v>
      </c>
      <c r="L21" s="33">
        <v>1321415095</v>
      </c>
    </row>
    <row r="22" spans="1:12" ht="20.149999999999999" customHeight="1">
      <c r="A22" s="49" t="s">
        <v>303</v>
      </c>
      <c r="B22" s="50" t="s">
        <v>304</v>
      </c>
      <c r="C22" s="57">
        <v>17</v>
      </c>
      <c r="D22" s="44">
        <v>2911340</v>
      </c>
      <c r="E22" s="34">
        <v>0</v>
      </c>
      <c r="F22" s="41">
        <v>2911340</v>
      </c>
      <c r="G22" s="33">
        <v>2000000</v>
      </c>
      <c r="H22" s="49" t="s">
        <v>305</v>
      </c>
      <c r="I22" s="66" t="s">
        <v>306</v>
      </c>
      <c r="J22" s="49">
        <v>18</v>
      </c>
      <c r="K22" s="33">
        <v>254689679</v>
      </c>
      <c r="L22" s="33">
        <v>123670544</v>
      </c>
    </row>
    <row r="23" spans="1:12" ht="20.149999999999999" customHeight="1">
      <c r="A23" s="49" t="s">
        <v>307</v>
      </c>
      <c r="B23" s="50" t="s">
        <v>308</v>
      </c>
      <c r="C23" s="57">
        <v>7</v>
      </c>
      <c r="D23" s="44">
        <v>0</v>
      </c>
      <c r="E23" s="34">
        <v>0</v>
      </c>
      <c r="F23" s="41">
        <v>0</v>
      </c>
      <c r="G23" s="33">
        <v>0</v>
      </c>
      <c r="H23" s="49" t="s">
        <v>309</v>
      </c>
      <c r="I23" s="66" t="s">
        <v>310</v>
      </c>
      <c r="J23" s="49">
        <v>19</v>
      </c>
      <c r="K23" s="33">
        <v>652023381</v>
      </c>
      <c r="L23" s="33">
        <v>4856230416</v>
      </c>
    </row>
    <row r="24" spans="1:12" ht="20.149999999999999" customHeight="1">
      <c r="A24" s="49" t="s">
        <v>311</v>
      </c>
      <c r="B24" s="50" t="s">
        <v>312</v>
      </c>
      <c r="C24" s="57">
        <v>8</v>
      </c>
      <c r="D24" s="44">
        <v>70137987</v>
      </c>
      <c r="E24" s="34">
        <v>191029</v>
      </c>
      <c r="F24" s="41">
        <v>69946958</v>
      </c>
      <c r="G24" s="33">
        <v>51787880</v>
      </c>
      <c r="H24" s="54" t="s">
        <v>313</v>
      </c>
      <c r="I24" s="69" t="s">
        <v>314</v>
      </c>
      <c r="J24" s="54">
        <v>19</v>
      </c>
      <c r="K24" s="56">
        <v>0</v>
      </c>
      <c r="L24" s="56">
        <v>0</v>
      </c>
    </row>
    <row r="25" spans="1:12" ht="20.149999999999999" customHeight="1">
      <c r="A25" s="71" t="s">
        <v>315</v>
      </c>
      <c r="B25" s="72" t="s">
        <v>316</v>
      </c>
      <c r="C25" s="73"/>
      <c r="D25" s="43">
        <v>132243338</v>
      </c>
      <c r="E25" s="43">
        <v>191029</v>
      </c>
      <c r="F25" s="43">
        <v>132052309</v>
      </c>
      <c r="G25" s="43">
        <v>92307070</v>
      </c>
      <c r="H25" s="71" t="s">
        <v>317</v>
      </c>
      <c r="I25" s="72" t="s">
        <v>318</v>
      </c>
      <c r="J25" s="74"/>
      <c r="K25" s="75">
        <v>1241246661</v>
      </c>
      <c r="L25" s="75">
        <v>6301316055</v>
      </c>
    </row>
    <row r="26" spans="1:12" ht="20.149999999999999" customHeight="1">
      <c r="A26" s="49" t="s">
        <v>319</v>
      </c>
      <c r="B26" s="50" t="s">
        <v>320</v>
      </c>
      <c r="C26" s="57">
        <v>9</v>
      </c>
      <c r="D26" s="33"/>
      <c r="E26" s="34"/>
      <c r="F26" s="41"/>
      <c r="G26" s="33"/>
      <c r="H26" s="76"/>
      <c r="I26" s="77"/>
      <c r="J26" s="49"/>
      <c r="K26" s="78"/>
      <c r="L26" s="78"/>
    </row>
    <row r="27" spans="1:12" ht="20.149999999999999" customHeight="1">
      <c r="A27" s="49" t="s">
        <v>321</v>
      </c>
      <c r="B27" s="50" t="s">
        <v>322</v>
      </c>
      <c r="C27" s="57">
        <v>10</v>
      </c>
      <c r="D27" s="33"/>
      <c r="E27" s="34"/>
      <c r="F27" s="41"/>
      <c r="G27" s="33"/>
      <c r="H27" s="49" t="s">
        <v>323</v>
      </c>
      <c r="I27" s="66" t="s">
        <v>324</v>
      </c>
      <c r="J27" s="49">
        <v>20</v>
      </c>
      <c r="K27" s="33"/>
      <c r="L27" s="33"/>
    </row>
    <row r="28" spans="1:12" ht="20.149999999999999" customHeight="1">
      <c r="A28" s="49" t="s">
        <v>325</v>
      </c>
      <c r="B28" s="50" t="s">
        <v>326</v>
      </c>
      <c r="C28" s="57">
        <v>11</v>
      </c>
      <c r="D28" s="33">
        <v>814679608</v>
      </c>
      <c r="E28" s="34">
        <v>0</v>
      </c>
      <c r="F28" s="41">
        <v>814679608</v>
      </c>
      <c r="G28" s="33">
        <v>1677943871</v>
      </c>
      <c r="H28" s="49" t="s">
        <v>327</v>
      </c>
      <c r="I28" s="66" t="s">
        <v>328</v>
      </c>
      <c r="J28" s="49">
        <v>20</v>
      </c>
      <c r="K28" s="33"/>
      <c r="L28" s="33"/>
    </row>
    <row r="29" spans="1:12" ht="20.149999999999999" customHeight="1">
      <c r="A29" s="71" t="s">
        <v>329</v>
      </c>
      <c r="B29" s="72" t="s">
        <v>330</v>
      </c>
      <c r="C29" s="73"/>
      <c r="D29" s="43">
        <v>814679608</v>
      </c>
      <c r="E29" s="43">
        <v>0</v>
      </c>
      <c r="F29" s="43">
        <v>814679608</v>
      </c>
      <c r="G29" s="43">
        <v>1677943871</v>
      </c>
      <c r="H29" s="79" t="s">
        <v>331</v>
      </c>
      <c r="I29" s="72" t="s">
        <v>332</v>
      </c>
      <c r="J29" s="74"/>
      <c r="K29" s="75"/>
      <c r="L29" s="75"/>
    </row>
    <row r="30" spans="1:12" ht="25.25" customHeight="1">
      <c r="A30" s="49" t="s">
        <v>333</v>
      </c>
      <c r="B30" s="50" t="s">
        <v>334</v>
      </c>
      <c r="C30" s="57">
        <v>12</v>
      </c>
      <c r="D30" s="33">
        <v>2869989451</v>
      </c>
      <c r="E30" s="34"/>
      <c r="F30" s="41">
        <v>2869989451</v>
      </c>
      <c r="G30" s="33">
        <v>49246590</v>
      </c>
      <c r="H30" s="49" t="s">
        <v>335</v>
      </c>
      <c r="I30" s="66" t="s">
        <v>336</v>
      </c>
      <c r="J30" s="49">
        <v>12</v>
      </c>
      <c r="K30" s="33">
        <v>2981189</v>
      </c>
      <c r="L30" s="33">
        <v>356805</v>
      </c>
    </row>
    <row r="31" spans="1:12" ht="20.149999999999999" customHeight="1">
      <c r="A31" s="71" t="s">
        <v>337</v>
      </c>
      <c r="B31" s="72" t="s">
        <v>338</v>
      </c>
      <c r="C31" s="73"/>
      <c r="D31" s="45">
        <v>87501322038</v>
      </c>
      <c r="E31" s="45">
        <v>296494049</v>
      </c>
      <c r="F31" s="45">
        <v>90074817440</v>
      </c>
      <c r="G31" s="45">
        <v>34448852344</v>
      </c>
      <c r="H31" s="71" t="s">
        <v>339</v>
      </c>
      <c r="I31" s="72" t="s">
        <v>338</v>
      </c>
      <c r="J31" s="74"/>
      <c r="K31" s="75"/>
      <c r="L31" s="75"/>
    </row>
    <row r="32" spans="1:12" ht="12.75" customHeight="1">
      <c r="F32" s="27"/>
    </row>
    <row r="33" spans="9:9" ht="12.75" customHeight="1">
      <c r="I33" s="399"/>
    </row>
    <row r="36" spans="9:9" ht="6" customHeight="1"/>
    <row r="47" spans="9:9" ht="6" customHeight="1"/>
    <row r="54" ht="6" customHeight="1"/>
  </sheetData>
  <sheetProtection sheet="false"/>
  <mergeCells count="5">
    <mergeCell ref="A1:A2"/>
    <mergeCell ref="H1:H2"/>
    <mergeCell ref="I1:I2"/>
    <mergeCell ref="J1:J2"/>
    <mergeCell ref="C1:C2"/>
  </mergeCells>
  <dataValidations count="1">
    <dataValidation allowBlank="1" showInputMessage="1" showErrorMessage="1" errorTitle="Erreur de saisie" error="La cellule ne peut prendre que du numérique." promptTitle="Information" prompt="Cette cellule ne peut prendre que du numérique." sqref="D3:G31 K3:L31" xr:uid="{00000000-0002-0000-0500-000000000000}"/>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pageSetUpPr fitToPage="1"/>
  </sheetPr>
  <dimension ref="A1:G78"/>
  <sheetViews>
    <sheetView zoomScale="66" zoomScaleNormal="66" workbookViewId="0">
      <selection activeCell="E1" sqref="E1"/>
    </sheetView>
  </sheetViews>
  <sheetFormatPr baseColWidth="10" defaultColWidth="12" defaultRowHeight="12.75" customHeight="1"/>
  <cols>
    <col min="1" max="1" customWidth="true" style="99" width="4.796875" collapsed="true"/>
    <col min="2" max="2" bestFit="true" customWidth="true" style="80" width="65.296875" collapsed="true"/>
    <col min="3" max="3" bestFit="true" customWidth="true" style="80" width="3.69921875" collapsed="true"/>
    <col min="4" max="4" bestFit="true" customWidth="true" style="80" width="9.69921875" collapsed="true"/>
    <col min="5" max="6" customWidth="true" style="81" width="18.296875" collapsed="true"/>
    <col min="7" max="16384" style="80" width="12.0" collapsed="true"/>
  </cols>
  <sheetData>
    <row r="1" spans="1:6" ht="18" customHeight="1">
      <c r="A1" s="82" t="s">
        <v>221</v>
      </c>
      <c r="B1" s="83" t="s">
        <v>340</v>
      </c>
      <c r="C1" s="82"/>
      <c r="D1" s="82" t="s">
        <v>341</v>
      </c>
      <c r="E1" s="84" t="s">
        <v>1539</v>
      </c>
      <c r="F1" s="84" t="s">
        <v>1540</v>
      </c>
    </row>
    <row r="2" spans="1:6" ht="18" customHeight="1">
      <c r="A2" s="85" t="s">
        <v>342</v>
      </c>
      <c r="B2" s="86" t="s">
        <v>343</v>
      </c>
      <c r="C2" s="85" t="s">
        <v>344</v>
      </c>
      <c r="D2" s="85">
        <v>21</v>
      </c>
      <c r="E2" s="87"/>
      <c r="F2" s="87"/>
    </row>
    <row r="3" spans="1:6" ht="18" customHeight="1">
      <c r="A3" s="88" t="s">
        <v>345</v>
      </c>
      <c r="B3" s="61" t="s">
        <v>346</v>
      </c>
      <c r="C3" s="88" t="s">
        <v>347</v>
      </c>
      <c r="D3" s="88">
        <v>22</v>
      </c>
      <c r="E3" s="89"/>
      <c r="F3" s="89"/>
    </row>
    <row r="4" spans="1:6" ht="18" customHeight="1">
      <c r="A4" s="88" t="s">
        <v>348</v>
      </c>
      <c r="B4" s="90" t="s">
        <v>349</v>
      </c>
      <c r="C4" s="91" t="s">
        <v>350</v>
      </c>
      <c r="D4" s="91">
        <v>6</v>
      </c>
      <c r="E4" s="89"/>
      <c r="F4" s="89"/>
    </row>
    <row r="5" spans="1:6" ht="18" customHeight="1">
      <c r="A5" s="92" t="s">
        <v>351</v>
      </c>
      <c r="B5" s="93" t="s">
        <v>352</v>
      </c>
      <c r="C5" s="92"/>
      <c r="D5" s="92"/>
      <c r="E5" s="75"/>
      <c r="F5" s="75"/>
    </row>
    <row r="6" spans="1:6" ht="18" customHeight="1">
      <c r="A6" s="88" t="s">
        <v>353</v>
      </c>
      <c r="B6" s="61" t="s">
        <v>354</v>
      </c>
      <c r="C6" s="88" t="s">
        <v>344</v>
      </c>
      <c r="D6" s="88">
        <v>21</v>
      </c>
      <c r="E6" s="89"/>
      <c r="F6" s="89"/>
    </row>
    <row r="7" spans="1:6" ht="18" customHeight="1">
      <c r="A7" s="88" t="s">
        <v>355</v>
      </c>
      <c r="B7" s="61" t="s">
        <v>356</v>
      </c>
      <c r="C7" s="88" t="s">
        <v>344</v>
      </c>
      <c r="D7" s="88">
        <v>21</v>
      </c>
      <c r="E7" s="89"/>
      <c r="F7" s="89"/>
    </row>
    <row r="8" spans="1:6" ht="18" customHeight="1">
      <c r="A8" s="88" t="s">
        <v>357</v>
      </c>
      <c r="B8" s="61" t="s">
        <v>358</v>
      </c>
      <c r="C8" s="88" t="s">
        <v>344</v>
      </c>
      <c r="D8" s="88">
        <v>21</v>
      </c>
      <c r="E8" s="89"/>
      <c r="F8" s="89"/>
    </row>
    <row r="9" spans="1:6" ht="18" customHeight="1">
      <c r="A9" s="92" t="s">
        <v>359</v>
      </c>
      <c r="B9" s="93" t="s">
        <v>360</v>
      </c>
      <c r="C9" s="92"/>
      <c r="D9" s="92"/>
      <c r="E9" s="75">
        <v>0</v>
      </c>
      <c r="F9" s="75"/>
    </row>
    <row r="10" spans="1:6" ht="18" customHeight="1">
      <c r="A10" s="88" t="s">
        <v>361</v>
      </c>
      <c r="B10" s="61" t="s">
        <v>362</v>
      </c>
      <c r="C10" s="91" t="s">
        <v>350</v>
      </c>
      <c r="D10" s="88">
        <v>6</v>
      </c>
      <c r="E10" s="89"/>
      <c r="F10" s="89"/>
    </row>
    <row r="11" spans="1:6" ht="18" customHeight="1">
      <c r="A11" s="88" t="s">
        <v>363</v>
      </c>
      <c r="B11" s="61" t="s">
        <v>364</v>
      </c>
      <c r="C11" s="88"/>
      <c r="D11" s="88">
        <v>21</v>
      </c>
      <c r="E11" s="89">
        <v>9236283675</v>
      </c>
      <c r="F11" s="89">
        <v>9652980330</v>
      </c>
    </row>
    <row r="12" spans="1:6" ht="18" customHeight="1">
      <c r="A12" s="88" t="s">
        <v>365</v>
      </c>
      <c r="B12" s="61" t="s">
        <v>366</v>
      </c>
      <c r="C12" s="88"/>
      <c r="D12" s="88">
        <v>21</v>
      </c>
      <c r="E12" s="89">
        <v>0</v>
      </c>
      <c r="F12" s="89">
        <v>0</v>
      </c>
    </row>
    <row r="13" spans="1:6" ht="18" customHeight="1">
      <c r="A13" s="88" t="s">
        <v>367</v>
      </c>
      <c r="B13" s="61" t="s">
        <v>368</v>
      </c>
      <c r="C13" s="88" t="s">
        <v>344</v>
      </c>
      <c r="D13" s="88">
        <v>21</v>
      </c>
      <c r="E13" s="89">
        <v>2861563</v>
      </c>
      <c r="F13" s="89">
        <v>4846702</v>
      </c>
    </row>
    <row r="14" spans="1:6" ht="18" customHeight="1">
      <c r="A14" s="94" t="s">
        <v>369</v>
      </c>
      <c r="B14" s="95" t="s">
        <v>370</v>
      </c>
      <c r="C14" s="94" t="s">
        <v>344</v>
      </c>
      <c r="D14" s="94">
        <v>12</v>
      </c>
      <c r="E14" s="96">
        <v>46112334</v>
      </c>
      <c r="F14" s="96">
        <v>137671940</v>
      </c>
    </row>
    <row r="15" spans="1:6" ht="18" customHeight="1">
      <c r="A15" s="88" t="s">
        <v>371</v>
      </c>
      <c r="B15" s="61" t="s">
        <v>372</v>
      </c>
      <c r="C15" s="88" t="s">
        <v>347</v>
      </c>
      <c r="D15" s="88">
        <v>22</v>
      </c>
      <c r="E15" s="89">
        <v>0</v>
      </c>
      <c r="F15" s="89">
        <v>0</v>
      </c>
    </row>
    <row r="16" spans="1:6" ht="18" customHeight="1">
      <c r="A16" s="88" t="s">
        <v>373</v>
      </c>
      <c r="B16" s="90" t="s">
        <v>374</v>
      </c>
      <c r="C16" s="91" t="s">
        <v>350</v>
      </c>
      <c r="D16" s="88">
        <v>6</v>
      </c>
      <c r="E16" s="89">
        <v>0</v>
      </c>
      <c r="F16" s="89">
        <v>0</v>
      </c>
    </row>
    <row r="17" spans="1:7" ht="18" customHeight="1">
      <c r="A17" s="88" t="s">
        <v>375</v>
      </c>
      <c r="B17" s="61" t="s">
        <v>376</v>
      </c>
      <c r="C17" s="88" t="s">
        <v>347</v>
      </c>
      <c r="D17" s="88">
        <v>22</v>
      </c>
      <c r="E17" s="89">
        <v>349152470</v>
      </c>
      <c r="F17" s="89">
        <v>713609614</v>
      </c>
    </row>
    <row r="18" spans="1:7" ht="18" customHeight="1">
      <c r="A18" s="88" t="s">
        <v>377</v>
      </c>
      <c r="B18" s="90" t="s">
        <v>378</v>
      </c>
      <c r="C18" s="91" t="s">
        <v>350</v>
      </c>
      <c r="D18" s="88">
        <v>6</v>
      </c>
      <c r="E18" s="89">
        <v>-20674821</v>
      </c>
      <c r="F18" s="89">
        <v>-14631508</v>
      </c>
    </row>
    <row r="19" spans="1:7" ht="18" customHeight="1">
      <c r="A19" s="88" t="s">
        <v>379</v>
      </c>
      <c r="B19" s="61" t="s">
        <v>380</v>
      </c>
      <c r="C19" s="88" t="s">
        <v>347</v>
      </c>
      <c r="D19" s="88">
        <v>23</v>
      </c>
      <c r="E19" s="89">
        <v>146271853</v>
      </c>
      <c r="F19" s="89">
        <v>185281834</v>
      </c>
    </row>
    <row r="20" spans="1:7" ht="18" customHeight="1">
      <c r="A20" s="88" t="s">
        <v>381</v>
      </c>
      <c r="B20" s="61" t="s">
        <v>382</v>
      </c>
      <c r="C20" s="88" t="s">
        <v>347</v>
      </c>
      <c r="D20" s="88">
        <v>24</v>
      </c>
      <c r="E20" s="89">
        <v>3536776621</v>
      </c>
      <c r="F20" s="89">
        <v>6829030561</v>
      </c>
    </row>
    <row r="21" spans="1:7" ht="18" customHeight="1">
      <c r="A21" s="88" t="s">
        <v>383</v>
      </c>
      <c r="B21" s="61" t="s">
        <v>384</v>
      </c>
      <c r="C21" s="88" t="s">
        <v>347</v>
      </c>
      <c r="D21" s="88">
        <v>25</v>
      </c>
      <c r="E21" s="89">
        <v>13207676</v>
      </c>
      <c r="F21" s="89">
        <v>9661831</v>
      </c>
    </row>
    <row r="22" spans="1:7" ht="18" customHeight="1">
      <c r="A22" s="88" t="s">
        <v>385</v>
      </c>
      <c r="B22" s="61" t="s">
        <v>386</v>
      </c>
      <c r="C22" s="88" t="s">
        <v>347</v>
      </c>
      <c r="D22" s="88">
        <v>26</v>
      </c>
      <c r="E22" s="89">
        <v>786944946</v>
      </c>
      <c r="F22" s="89">
        <v>518558600</v>
      </c>
    </row>
    <row r="23" spans="1:7" ht="18" customHeight="1">
      <c r="A23" s="92" t="s">
        <v>387</v>
      </c>
      <c r="B23" s="93" t="s">
        <v>388</v>
      </c>
      <c r="C23" s="92"/>
      <c r="D23" s="92"/>
      <c r="E23" s="75">
        <v>4473578827</v>
      </c>
      <c r="F23" s="75">
        <v>1553988040</v>
      </c>
    </row>
    <row r="24" spans="1:7" ht="18" customHeight="1">
      <c r="A24" s="88" t="s">
        <v>389</v>
      </c>
      <c r="B24" s="61" t="s">
        <v>390</v>
      </c>
      <c r="C24" s="88" t="s">
        <v>347</v>
      </c>
      <c r="D24" s="88">
        <v>27</v>
      </c>
      <c r="E24" s="89">
        <v>1138660841</v>
      </c>
      <c r="F24" s="89">
        <v>1434746792</v>
      </c>
    </row>
    <row r="25" spans="1:7" ht="18" customHeight="1">
      <c r="A25" s="92" t="s">
        <v>391</v>
      </c>
      <c r="B25" s="93" t="s">
        <v>392</v>
      </c>
      <c r="C25" s="92"/>
      <c r="D25" s="92"/>
      <c r="E25" s="75">
        <v>3334917986</v>
      </c>
      <c r="F25" s="75">
        <v>119241248</v>
      </c>
    </row>
    <row r="26" spans="1:7" ht="18" customHeight="1">
      <c r="A26" s="88" t="s">
        <v>393</v>
      </c>
      <c r="B26" s="61" t="s">
        <v>394</v>
      </c>
      <c r="C26" s="88" t="s">
        <v>344</v>
      </c>
      <c r="D26" s="88">
        <v>28</v>
      </c>
      <c r="E26" s="89">
        <v>0</v>
      </c>
      <c r="F26" s="89">
        <v>0</v>
      </c>
    </row>
    <row r="27" spans="1:7" ht="18" customHeight="1">
      <c r="A27" s="94" t="s">
        <v>395</v>
      </c>
      <c r="B27" s="95" t="s">
        <v>396</v>
      </c>
      <c r="C27" s="94" t="s">
        <v>347</v>
      </c>
      <c r="D27" s="94" t="s">
        <v>397</v>
      </c>
      <c r="E27" s="96">
        <v>174654368</v>
      </c>
      <c r="F27" s="96">
        <v>142175480</v>
      </c>
      <c r="G27" s="97"/>
    </row>
    <row r="28" spans="1:7" ht="18" customHeight="1">
      <c r="A28" s="92" t="s">
        <v>398</v>
      </c>
      <c r="B28" s="93" t="s">
        <v>399</v>
      </c>
      <c r="C28" s="92"/>
      <c r="D28" s="92"/>
      <c r="E28" s="75">
        <v>3160263618</v>
      </c>
      <c r="F28" s="75">
        <v>-22934232</v>
      </c>
    </row>
    <row r="29" spans="1:7" ht="18" customHeight="1">
      <c r="A29" s="88" t="s">
        <v>400</v>
      </c>
      <c r="B29" s="61" t="s">
        <v>401</v>
      </c>
      <c r="C29" s="88" t="s">
        <v>344</v>
      </c>
      <c r="D29" s="88">
        <v>29</v>
      </c>
      <c r="E29" s="89">
        <v>9643057</v>
      </c>
      <c r="F29" s="89">
        <v>30480926</v>
      </c>
    </row>
    <row r="30" spans="1:7" ht="18" customHeight="1">
      <c r="A30" s="88" t="s">
        <v>402</v>
      </c>
      <c r="B30" s="61" t="s">
        <v>403</v>
      </c>
      <c r="C30" s="88" t="s">
        <v>344</v>
      </c>
      <c r="D30" s="88">
        <v>28</v>
      </c>
      <c r="E30" s="89">
        <v>0</v>
      </c>
      <c r="F30" s="89">
        <v>0</v>
      </c>
    </row>
    <row r="31" spans="1:7" ht="18" customHeight="1">
      <c r="A31" s="88" t="s">
        <v>404</v>
      </c>
      <c r="B31" s="61" t="s">
        <v>405</v>
      </c>
      <c r="C31" s="88" t="s">
        <v>344</v>
      </c>
      <c r="D31" s="88">
        <v>12</v>
      </c>
      <c r="E31" s="89">
        <v>0</v>
      </c>
      <c r="F31" s="89">
        <v>0</v>
      </c>
    </row>
    <row r="32" spans="1:7" ht="18" customHeight="1">
      <c r="A32" s="88" t="s">
        <v>406</v>
      </c>
      <c r="B32" s="61" t="s">
        <v>407</v>
      </c>
      <c r="C32" s="88" t="s">
        <v>347</v>
      </c>
      <c r="D32" s="88">
        <v>29</v>
      </c>
      <c r="E32" s="89">
        <v>300108253</v>
      </c>
      <c r="F32" s="89">
        <v>7546694</v>
      </c>
    </row>
    <row r="33" spans="1:6" ht="18" customHeight="1">
      <c r="A33" s="88" t="s">
        <v>408</v>
      </c>
      <c r="B33" s="61" t="s">
        <v>409</v>
      </c>
      <c r="C33" s="88" t="s">
        <v>347</v>
      </c>
      <c r="D33" s="88" t="s">
        <v>397</v>
      </c>
      <c r="E33" s="89">
        <v>2869798422</v>
      </c>
      <c r="F33" s="89">
        <v>0</v>
      </c>
    </row>
    <row r="34" spans="1:6" ht="18" customHeight="1">
      <c r="A34" s="92" t="s">
        <v>410</v>
      </c>
      <c r="B34" s="93" t="s">
        <v>411</v>
      </c>
      <c r="C34" s="92"/>
      <c r="D34" s="92"/>
      <c r="E34" s="75">
        <v>-3160263618</v>
      </c>
      <c r="F34" s="75">
        <v>22934232</v>
      </c>
    </row>
    <row r="35" spans="1:6" ht="18" customHeight="1">
      <c r="A35" s="98" t="s">
        <v>412</v>
      </c>
      <c r="B35" s="63" t="s">
        <v>413</v>
      </c>
      <c r="C35" s="98"/>
      <c r="D35" s="98"/>
      <c r="E35" s="65"/>
      <c r="F35" s="65"/>
    </row>
    <row r="36" spans="1:6" ht="18" customHeight="1">
      <c r="A36" s="88" t="s">
        <v>414</v>
      </c>
      <c r="B36" s="61" t="s">
        <v>415</v>
      </c>
      <c r="C36" s="88" t="s">
        <v>344</v>
      </c>
      <c r="D36" s="88" t="s">
        <v>416</v>
      </c>
      <c r="E36" s="89"/>
      <c r="F36" s="89"/>
    </row>
    <row r="37" spans="1:6" ht="18" customHeight="1">
      <c r="A37" s="88" t="s">
        <v>417</v>
      </c>
      <c r="B37" s="61" t="s">
        <v>418</v>
      </c>
      <c r="C37" s="88" t="s">
        <v>344</v>
      </c>
      <c r="D37" s="88">
        <v>30</v>
      </c>
      <c r="E37" s="89"/>
      <c r="F37" s="89"/>
    </row>
    <row r="38" spans="1:6" ht="18" customHeight="1">
      <c r="A38" s="88" t="s">
        <v>419</v>
      </c>
      <c r="B38" s="61" t="s">
        <v>420</v>
      </c>
      <c r="C38" s="88" t="s">
        <v>347</v>
      </c>
      <c r="D38" s="88" t="s">
        <v>416</v>
      </c>
      <c r="E38" s="89"/>
      <c r="F38" s="89"/>
    </row>
    <row r="39" spans="1:6" ht="18" customHeight="1">
      <c r="A39" s="88" t="s">
        <v>421</v>
      </c>
      <c r="B39" s="61" t="s">
        <v>422</v>
      </c>
      <c r="C39" s="88" t="s">
        <v>347</v>
      </c>
      <c r="D39" s="88">
        <v>30</v>
      </c>
      <c r="E39" s="89"/>
      <c r="F39" s="89"/>
    </row>
    <row r="40" spans="1:6" ht="18" customHeight="1">
      <c r="A40" s="98" t="s">
        <v>423</v>
      </c>
      <c r="B40" s="63" t="s">
        <v>424</v>
      </c>
      <c r="C40" s="98"/>
      <c r="D40" s="98"/>
      <c r="E40" s="65"/>
      <c r="F40" s="65"/>
    </row>
    <row r="41" spans="1:6" ht="18" customHeight="1">
      <c r="A41" s="88" t="s">
        <v>425</v>
      </c>
      <c r="B41" s="61" t="s">
        <v>426</v>
      </c>
      <c r="C41" s="88" t="s">
        <v>347</v>
      </c>
      <c r="D41" s="88">
        <v>30</v>
      </c>
      <c r="E41" s="89"/>
      <c r="F41" s="89"/>
    </row>
    <row r="42" spans="1:6" ht="18" customHeight="1">
      <c r="A42" s="88" t="s">
        <v>427</v>
      </c>
      <c r="B42" s="61" t="s">
        <v>428</v>
      </c>
      <c r="C42" s="88" t="s">
        <v>347</v>
      </c>
      <c r="D42" s="88"/>
      <c r="E42" s="89"/>
      <c r="F42" s="89"/>
    </row>
    <row r="43" spans="1:6" ht="18" customHeight="1">
      <c r="A43" s="92" t="s">
        <v>429</v>
      </c>
      <c r="B43" s="93" t="s">
        <v>430</v>
      </c>
      <c r="C43" s="92"/>
      <c r="D43" s="92"/>
      <c r="E43" s="75">
        <v>0</v>
      </c>
      <c r="F43" s="75">
        <v>0</v>
      </c>
    </row>
    <row r="47" spans="1:6" ht="12.75" customHeight="1">
      <c r="B47" s="100"/>
      <c r="C47" s="100"/>
    </row>
    <row r="48" spans="1:6" ht="12.75" customHeight="1">
      <c r="B48" s="100"/>
      <c r="C48" s="100"/>
    </row>
    <row r="49" spans="2:6" ht="12.75" customHeight="1">
      <c r="B49" s="100"/>
      <c r="C49" s="100"/>
    </row>
    <row r="52" spans="2:6" ht="12.75" customHeight="1">
      <c r="B52" s="101"/>
      <c r="C52" s="101"/>
    </row>
    <row r="53" spans="2:6" ht="12.75" customHeight="1">
      <c r="B53" s="101"/>
      <c r="C53" s="101"/>
    </row>
    <row r="56" spans="2:6" ht="12.75" customHeight="1">
      <c r="E56" s="102"/>
      <c r="F56" s="102"/>
    </row>
    <row r="57" spans="2:6" ht="12.75" customHeight="1">
      <c r="E57" s="102"/>
      <c r="F57" s="102"/>
    </row>
    <row r="58" spans="2:6" ht="12.75" customHeight="1">
      <c r="E58" s="102"/>
      <c r="F58" s="102"/>
    </row>
    <row r="59" spans="2:6" ht="12.75" customHeight="1">
      <c r="E59" s="102"/>
      <c r="F59" s="102"/>
    </row>
    <row r="60" spans="2:6" ht="12.75" customHeight="1">
      <c r="E60" s="102"/>
      <c r="F60" s="102"/>
    </row>
    <row r="61" spans="2:6" ht="12.75" customHeight="1">
      <c r="E61" s="102"/>
      <c r="F61" s="102"/>
    </row>
    <row r="62" spans="2:6" ht="12.75" customHeight="1">
      <c r="E62" s="102"/>
      <c r="F62" s="102"/>
    </row>
    <row r="63" spans="2:6" ht="12.75" customHeight="1">
      <c r="E63" s="102"/>
      <c r="F63" s="102"/>
    </row>
    <row r="64" spans="2:6" ht="12.75" customHeight="1">
      <c r="E64" s="102"/>
      <c r="F64" s="102"/>
    </row>
    <row r="65" spans="5:6" ht="12.75" customHeight="1">
      <c r="E65" s="102"/>
      <c r="F65" s="102"/>
    </row>
    <row r="66" spans="5:6" ht="12.75" customHeight="1">
      <c r="E66" s="102"/>
      <c r="F66" s="102"/>
    </row>
    <row r="67" spans="5:6" ht="12.75" customHeight="1">
      <c r="E67" s="102"/>
      <c r="F67" s="102"/>
    </row>
    <row r="68" spans="5:6" ht="12.75" customHeight="1">
      <c r="E68" s="102"/>
      <c r="F68" s="102"/>
    </row>
    <row r="69" spans="5:6" ht="12.75" customHeight="1">
      <c r="E69" s="102"/>
      <c r="F69" s="102"/>
    </row>
    <row r="70" spans="5:6" ht="12.75" customHeight="1">
      <c r="E70" s="102"/>
      <c r="F70" s="102"/>
    </row>
    <row r="71" spans="5:6" ht="12.75" customHeight="1">
      <c r="E71" s="102"/>
      <c r="F71" s="102"/>
    </row>
    <row r="72" spans="5:6" ht="12.75" customHeight="1">
      <c r="E72" s="102"/>
      <c r="F72" s="102"/>
    </row>
    <row r="73" spans="5:6" ht="12.75" customHeight="1">
      <c r="E73" s="102"/>
      <c r="F73" s="102"/>
    </row>
    <row r="74" spans="5:6" ht="12.75" customHeight="1">
      <c r="E74" s="102"/>
      <c r="F74" s="102"/>
    </row>
    <row r="75" spans="5:6" ht="12.75" customHeight="1">
      <c r="E75" s="102"/>
      <c r="F75" s="102"/>
    </row>
    <row r="76" spans="5:6" ht="12.75" customHeight="1">
      <c r="E76" s="102"/>
      <c r="F76" s="102"/>
    </row>
    <row r="77" spans="5:6" ht="12.75" customHeight="1">
      <c r="E77" s="102"/>
      <c r="F77" s="102"/>
    </row>
    <row r="78" spans="5:6" ht="12.75" customHeight="1">
      <c r="E78" s="102"/>
      <c r="F78" s="102"/>
    </row>
  </sheetData>
  <sheetProtection sheet="false"/>
  <dataValidations count="1">
    <dataValidation allowBlank="1" showInputMessage="1" showErrorMessage="1" errorTitle="Erreur de saisie" error="La cellule ne peut prendre que du numérique." promptTitle="Information" prompt="Cette cellule ne peut prendre que du numérique," sqref="E2:F43" xr:uid="{00000000-0002-0000-0600-000000000000}"/>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pageSetUpPr fitToPage="1"/>
  </sheetPr>
  <dimension ref="A1:F66"/>
  <sheetViews>
    <sheetView topLeftCell="A14" zoomScale="74" zoomScaleNormal="74" workbookViewId="0">
      <selection activeCell="N55" sqref="N55"/>
    </sheetView>
  </sheetViews>
  <sheetFormatPr baseColWidth="10" defaultColWidth="12" defaultRowHeight="12.75" customHeight="1"/>
  <cols>
    <col min="1" max="1" bestFit="true" customWidth="true" style="9" width="4.796875" collapsed="true"/>
    <col min="2" max="2" bestFit="true" customWidth="true" style="5" width="83.0" collapsed="true"/>
    <col min="3" max="3" bestFit="true" customWidth="true" style="5" width="3.69921875" collapsed="true"/>
    <col min="4" max="4" customWidth="true" style="5" width="10.0" collapsed="true"/>
    <col min="5" max="6" customWidth="true" style="6" width="18.296875" collapsed="true"/>
    <col min="7" max="16384" style="5" width="12.0" collapsed="true"/>
  </cols>
  <sheetData>
    <row r="1" spans="1:6" ht="25.25" customHeight="1">
      <c r="A1" s="20" t="s">
        <v>221</v>
      </c>
      <c r="B1" s="21" t="s">
        <v>340</v>
      </c>
      <c r="C1" s="20"/>
      <c r="D1" s="20" t="s">
        <v>341</v>
      </c>
      <c r="E1" s="22" t="s">
        <v>1539</v>
      </c>
      <c r="F1" s="22" t="s">
        <v>1540</v>
      </c>
    </row>
    <row r="2" spans="1:6" ht="27" customHeight="1">
      <c r="A2" s="367" t="s">
        <v>34</v>
      </c>
      <c r="B2" s="368" t="s">
        <v>431</v>
      </c>
      <c r="C2" s="367" t="s">
        <v>128</v>
      </c>
      <c r="D2" s="23"/>
      <c r="E2" s="400">
        <v>1677943871</v>
      </c>
      <c r="F2" s="400">
        <v>2753722181</v>
      </c>
    </row>
    <row r="3" spans="1:6" ht="25.25" customHeight="1">
      <c r="A3" s="369"/>
      <c r="B3" s="370" t="s">
        <v>432</v>
      </c>
      <c r="C3" s="369"/>
      <c r="D3" s="26"/>
      <c r="E3" s="25"/>
      <c r="F3" s="25"/>
    </row>
    <row r="4" spans="1:6" ht="25.25" customHeight="1">
      <c r="A4" s="371" t="s">
        <v>433</v>
      </c>
      <c r="B4" s="372" t="s">
        <v>434</v>
      </c>
      <c r="C4" s="371"/>
      <c r="D4" s="7"/>
      <c r="E4" s="401">
        <v>3044452790</v>
      </c>
      <c r="F4" s="401">
        <v>142175480</v>
      </c>
    </row>
    <row r="5" spans="1:6" ht="25.25" customHeight="1">
      <c r="A5" s="371" t="s">
        <v>435</v>
      </c>
      <c r="B5" s="373" t="s">
        <v>436</v>
      </c>
      <c r="C5" s="371"/>
      <c r="D5" s="7"/>
      <c r="E5" s="401">
        <v>0</v>
      </c>
      <c r="F5" s="401">
        <v>0</v>
      </c>
    </row>
    <row r="6" spans="1:6" ht="25.25" customHeight="1">
      <c r="A6" s="371" t="s">
        <v>437</v>
      </c>
      <c r="B6" s="373" t="s">
        <v>438</v>
      </c>
      <c r="C6" s="371"/>
      <c r="D6" s="7"/>
      <c r="E6" s="401">
        <v>20674821</v>
      </c>
      <c r="F6" s="422">
        <v>14631508</v>
      </c>
    </row>
    <row r="7" spans="1:6" ht="25.25" customHeight="1">
      <c r="A7" s="371" t="s">
        <v>439</v>
      </c>
      <c r="B7" s="373" t="s">
        <v>440</v>
      </c>
      <c r="C7" s="371"/>
      <c r="D7" s="7"/>
      <c r="E7" s="422">
        <v>19070418</v>
      </c>
      <c r="F7" s="422">
        <v>46897264</v>
      </c>
    </row>
    <row r="8" spans="1:6" ht="25.25" customHeight="1">
      <c r="A8" s="371" t="s">
        <v>441</v>
      </c>
      <c r="B8" s="373" t="s">
        <v>442</v>
      </c>
      <c r="C8" s="371"/>
      <c r="D8" s="7"/>
      <c r="E8" s="422">
        <v>-5060069394</v>
      </c>
      <c r="F8" s="422">
        <v>1024893595</v>
      </c>
    </row>
    <row r="9" spans="1:6" ht="25.25" customHeight="1">
      <c r="A9" s="371"/>
      <c r="B9" s="374" t="s">
        <v>443</v>
      </c>
      <c r="C9" s="371"/>
      <c r="D9" s="7"/>
      <c r="E9" s="422">
        <v>-5099814633</v>
      </c>
      <c r="F9" s="422">
        <v>963364823</v>
      </c>
    </row>
    <row r="10" spans="1:6" ht="25.25" customHeight="1">
      <c r="A10" s="367" t="s">
        <v>38</v>
      </c>
      <c r="B10" s="375" t="s">
        <v>444</v>
      </c>
      <c r="C10" s="367" t="s">
        <v>445</v>
      </c>
      <c r="D10" s="23"/>
      <c r="E10" s="423">
        <v>-2055361843</v>
      </c>
      <c r="F10" s="423">
        <v>1105540303</v>
      </c>
    </row>
    <row r="11" spans="1:6" ht="25.25" customHeight="1">
      <c r="A11" s="369"/>
      <c r="B11" s="370" t="s">
        <v>446</v>
      </c>
      <c r="C11" s="369"/>
      <c r="D11" s="26"/>
      <c r="E11" s="25"/>
      <c r="F11" s="25"/>
    </row>
    <row r="12" spans="1:6" ht="25.25" customHeight="1">
      <c r="A12" s="371" t="s">
        <v>447</v>
      </c>
      <c r="B12" s="373" t="s">
        <v>448</v>
      </c>
      <c r="C12" s="371"/>
      <c r="D12" s="7"/>
      <c r="E12" s="8">
        <v>44050301125</v>
      </c>
      <c r="F12" s="8">
        <v>53243934</v>
      </c>
    </row>
    <row r="13" spans="1:6" ht="25.25" customHeight="1">
      <c r="A13" s="371" t="s">
        <v>449</v>
      </c>
      <c r="B13" s="373" t="s">
        <v>450</v>
      </c>
      <c r="C13" s="371"/>
      <c r="D13" s="7"/>
      <c r="E13" s="422">
        <v>9741786022</v>
      </c>
      <c r="F13" s="8">
        <v>20444771948</v>
      </c>
    </row>
    <row r="14" spans="1:6" ht="25.25" customHeight="1">
      <c r="A14" s="371" t="s">
        <v>451</v>
      </c>
      <c r="B14" s="373" t="s">
        <v>452</v>
      </c>
      <c r="C14" s="371"/>
      <c r="D14" s="7"/>
      <c r="E14" s="8">
        <v>0</v>
      </c>
      <c r="F14" s="8">
        <v>1266202</v>
      </c>
    </row>
    <row r="15" spans="1:6" ht="25.25" customHeight="1">
      <c r="A15" s="371" t="s">
        <v>453</v>
      </c>
      <c r="B15" s="373" t="s">
        <v>454</v>
      </c>
      <c r="C15" s="371"/>
      <c r="D15" s="7"/>
      <c r="E15" s="8">
        <v>0</v>
      </c>
      <c r="F15" s="8">
        <v>0</v>
      </c>
    </row>
    <row r="16" spans="1:6" ht="25.25" customHeight="1">
      <c r="A16" s="371" t="s">
        <v>455</v>
      </c>
      <c r="B16" s="373" t="s">
        <v>456</v>
      </c>
      <c r="C16" s="371"/>
      <c r="D16" s="7"/>
      <c r="E16" s="8">
        <v>0</v>
      </c>
      <c r="F16" s="8">
        <v>0</v>
      </c>
    </row>
    <row r="17" spans="1:6" ht="25.25" customHeight="1">
      <c r="A17" s="367" t="s">
        <v>40</v>
      </c>
      <c r="B17" s="375" t="s">
        <v>457</v>
      </c>
      <c r="C17" s="367" t="s">
        <v>458</v>
      </c>
      <c r="D17" s="23"/>
      <c r="E17" s="423">
        <v>-53792087147</v>
      </c>
      <c r="F17" s="4">
        <v>-20499282084</v>
      </c>
    </row>
    <row r="18" spans="1:6" ht="25.25" customHeight="1">
      <c r="A18" s="369"/>
      <c r="B18" s="370" t="s">
        <v>459</v>
      </c>
      <c r="C18" s="369"/>
      <c r="D18" s="26"/>
      <c r="E18" s="25"/>
      <c r="F18" s="25"/>
    </row>
    <row r="19" spans="1:6" ht="25.25" customHeight="1">
      <c r="A19" s="371" t="s">
        <v>460</v>
      </c>
      <c r="B19" s="373" t="s">
        <v>461</v>
      </c>
      <c r="C19" s="371"/>
      <c r="D19" s="7"/>
      <c r="E19" s="8"/>
      <c r="F19" s="8"/>
    </row>
    <row r="20" spans="1:6" ht="25.25" customHeight="1">
      <c r="A20" s="371" t="s">
        <v>462</v>
      </c>
      <c r="B20" s="373" t="s">
        <v>463</v>
      </c>
      <c r="C20" s="371"/>
      <c r="D20" s="7"/>
      <c r="E20" s="8"/>
      <c r="F20" s="8"/>
    </row>
    <row r="21" spans="1:6" ht="25.25" customHeight="1">
      <c r="A21" s="371" t="s">
        <v>464</v>
      </c>
      <c r="B21" s="373" t="s">
        <v>465</v>
      </c>
      <c r="C21" s="371"/>
      <c r="D21" s="7"/>
      <c r="E21" s="8"/>
      <c r="F21" s="8"/>
    </row>
    <row r="22" spans="1:6" ht="25.25" customHeight="1">
      <c r="A22" s="371" t="s">
        <v>466</v>
      </c>
      <c r="B22" s="373" t="s">
        <v>467</v>
      </c>
      <c r="C22" s="371"/>
      <c r="D22" s="7"/>
      <c r="E22" s="8"/>
      <c r="F22" s="8"/>
    </row>
    <row r="23" spans="1:6" ht="25.25" customHeight="1">
      <c r="A23" s="369" t="s">
        <v>43</v>
      </c>
      <c r="B23" s="370" t="s">
        <v>468</v>
      </c>
      <c r="C23" s="369" t="s">
        <v>469</v>
      </c>
      <c r="D23" s="26"/>
      <c r="E23" s="25"/>
      <c r="F23" s="25"/>
    </row>
    <row r="24" spans="1:6" ht="25.25" customHeight="1">
      <c r="A24" s="369"/>
      <c r="B24" s="370" t="s">
        <v>470</v>
      </c>
      <c r="C24" s="369"/>
      <c r="D24" s="26"/>
      <c r="E24" s="25"/>
      <c r="F24" s="25"/>
    </row>
    <row r="25" spans="1:6" ht="25.25" customHeight="1">
      <c r="A25" s="371" t="s">
        <v>471</v>
      </c>
      <c r="B25" s="373" t="s">
        <v>472</v>
      </c>
      <c r="C25" s="376"/>
      <c r="D25" s="7"/>
      <c r="E25" s="8"/>
      <c r="F25" s="8"/>
    </row>
    <row r="26" spans="1:6" ht="25.25" customHeight="1">
      <c r="A26" s="371" t="s">
        <v>473</v>
      </c>
      <c r="B26" s="373" t="s">
        <v>474</v>
      </c>
      <c r="C26" s="371"/>
      <c r="D26" s="7"/>
      <c r="E26" s="8">
        <v>58921929719</v>
      </c>
      <c r="F26" s="8">
        <v>18967705746</v>
      </c>
    </row>
    <row r="27" spans="1:6" ht="25.25" customHeight="1">
      <c r="A27" s="371" t="s">
        <v>475</v>
      </c>
      <c r="B27" s="373" t="s">
        <v>476</v>
      </c>
      <c r="C27" s="371"/>
      <c r="D27" s="7"/>
      <c r="E27" s="8">
        <v>1119626515</v>
      </c>
      <c r="F27" s="8">
        <v>0</v>
      </c>
    </row>
    <row r="28" spans="1:6" ht="25.25" customHeight="1">
      <c r="A28" s="369" t="s">
        <v>48</v>
      </c>
      <c r="B28" s="370" t="s">
        <v>477</v>
      </c>
      <c r="C28" s="369" t="s">
        <v>478</v>
      </c>
      <c r="D28" s="26"/>
      <c r="E28" s="25">
        <v>57802303204</v>
      </c>
      <c r="F28" s="25">
        <v>18967705746</v>
      </c>
    </row>
    <row r="29" spans="1:6" ht="25.25" customHeight="1">
      <c r="A29" s="367" t="s">
        <v>52</v>
      </c>
      <c r="B29" s="375" t="s">
        <v>479</v>
      </c>
      <c r="C29" s="367" t="s">
        <v>480</v>
      </c>
      <c r="D29" s="23"/>
      <c r="E29" s="24">
        <v>57802303204</v>
      </c>
      <c r="F29" s="24">
        <v>18967705746</v>
      </c>
    </row>
    <row r="30" spans="1:6" ht="25.25" customHeight="1">
      <c r="A30" s="369" t="s">
        <v>54</v>
      </c>
      <c r="B30" s="370" t="s">
        <v>481</v>
      </c>
      <c r="C30" s="369" t="s">
        <v>482</v>
      </c>
      <c r="D30" s="26"/>
      <c r="E30" s="424">
        <v>1954854214</v>
      </c>
      <c r="F30" s="424">
        <v>-426036035</v>
      </c>
    </row>
    <row r="31" spans="1:6" ht="27" customHeight="1">
      <c r="A31" s="367" t="s">
        <v>60</v>
      </c>
      <c r="B31" s="368" t="s">
        <v>483</v>
      </c>
      <c r="C31" s="367" t="s">
        <v>484</v>
      </c>
      <c r="D31" s="23"/>
      <c r="E31" s="423">
        <v>814679608</v>
      </c>
      <c r="F31" s="400">
        <v>1677943871</v>
      </c>
    </row>
    <row r="32" spans="1:6" ht="12.75" customHeight="1">
      <c r="B32" s="5" t="s">
        <v>485</v>
      </c>
      <c r="E32" s="402"/>
      <c r="F32" s="402"/>
    </row>
    <row r="35" spans="2:6" ht="12.75" customHeight="1">
      <c r="B35" s="10"/>
      <c r="C35" s="10"/>
    </row>
    <row r="36" spans="2:6" ht="12.75" customHeight="1">
      <c r="B36" s="10"/>
      <c r="C36" s="10"/>
    </row>
    <row r="37" spans="2:6" ht="12.75" customHeight="1">
      <c r="B37" s="10"/>
      <c r="C37" s="10"/>
    </row>
    <row r="40" spans="2:6" ht="12.75" customHeight="1">
      <c r="B40" s="11"/>
      <c r="C40" s="11"/>
    </row>
    <row r="41" spans="2:6" ht="12.75" customHeight="1">
      <c r="B41" s="11"/>
      <c r="C41" s="11"/>
    </row>
    <row r="44" spans="2:6" ht="12.75" customHeight="1">
      <c r="E44" s="5"/>
      <c r="F44" s="5"/>
    </row>
    <row r="45" spans="2:6" ht="12.75" customHeight="1">
      <c r="E45" s="5"/>
      <c r="F45" s="5"/>
    </row>
    <row r="46" spans="2:6" ht="12.75" customHeight="1">
      <c r="E46" s="5"/>
      <c r="F46" s="5"/>
    </row>
    <row r="47" spans="2:6" ht="12.75" customHeight="1">
      <c r="E47" s="5"/>
      <c r="F47" s="5"/>
    </row>
    <row r="48" spans="2:6" ht="12.75" customHeight="1">
      <c r="E48" s="5"/>
      <c r="F48" s="5"/>
    </row>
    <row r="49" spans="5:6" ht="12.75" customHeight="1">
      <c r="E49" s="5"/>
      <c r="F49" s="5"/>
    </row>
    <row r="50" spans="5:6" ht="12.75" customHeight="1">
      <c r="E50" s="5"/>
      <c r="F50" s="5"/>
    </row>
    <row r="51" spans="5:6" ht="12.75" customHeight="1">
      <c r="E51" s="5"/>
      <c r="F51" s="5"/>
    </row>
    <row r="52" spans="5:6" ht="12.75" customHeight="1">
      <c r="E52" s="5"/>
      <c r="F52" s="5"/>
    </row>
    <row r="53" spans="5:6" ht="12.75" customHeight="1">
      <c r="E53" s="5"/>
      <c r="F53" s="5"/>
    </row>
    <row r="54" spans="5:6" ht="12.75" customHeight="1">
      <c r="E54" s="5"/>
      <c r="F54" s="5"/>
    </row>
    <row r="55" spans="5:6" ht="12.75" customHeight="1">
      <c r="E55" s="5"/>
      <c r="F55" s="5"/>
    </row>
    <row r="56" spans="5:6" ht="12.75" customHeight="1">
      <c r="E56" s="5"/>
      <c r="F56" s="5"/>
    </row>
    <row r="57" spans="5:6" ht="12.75" customHeight="1">
      <c r="E57" s="5"/>
      <c r="F57" s="5"/>
    </row>
    <row r="58" spans="5:6" ht="12.75" customHeight="1">
      <c r="E58" s="5"/>
      <c r="F58" s="5"/>
    </row>
    <row r="59" spans="5:6" ht="12.75" customHeight="1">
      <c r="E59" s="5"/>
      <c r="F59" s="5"/>
    </row>
    <row r="60" spans="5:6" ht="12.75" customHeight="1">
      <c r="E60" s="5"/>
      <c r="F60" s="5"/>
    </row>
    <row r="61" spans="5:6" ht="12.75" customHeight="1">
      <c r="E61" s="5"/>
      <c r="F61" s="5"/>
    </row>
    <row r="62" spans="5:6" ht="12.75" customHeight="1">
      <c r="E62" s="5"/>
      <c r="F62" s="5"/>
    </row>
    <row r="63" spans="5:6" ht="12.75" customHeight="1">
      <c r="E63" s="5"/>
      <c r="F63" s="5"/>
    </row>
    <row r="64" spans="5:6" ht="12.75" customHeight="1">
      <c r="E64" s="5"/>
      <c r="F64" s="5"/>
    </row>
    <row r="65" spans="5:6" ht="12.75" customHeight="1">
      <c r="E65" s="5"/>
      <c r="F65" s="5"/>
    </row>
    <row r="66" spans="5:6" ht="12.75" customHeight="1">
      <c r="E66" s="5"/>
      <c r="F66" s="5"/>
    </row>
  </sheetData>
  <sheetProtection sheet="false"/>
  <dataValidations count="1">
    <dataValidation allowBlank="1" showInputMessage="1" showErrorMessage="1" errorTitle="Erreur de saisie" error="La cellule ne peut prendre que du numérique." promptTitle="Information" prompt="Cette cellule ne peut prendre que du numérique." sqref="E2:F31" xr:uid="{00000000-0002-0000-0700-000000000000}"/>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45"/>
  <sheetViews>
    <sheetView workbookViewId="0">
      <selection activeCell="J9" sqref="J9"/>
    </sheetView>
  </sheetViews>
  <sheetFormatPr baseColWidth="10" defaultColWidth="12" defaultRowHeight="13"/>
  <cols>
    <col min="1" max="1" customWidth="true" style="202" width="41.19921875" collapsed="true"/>
    <col min="2" max="2" bestFit="true" customWidth="true" style="202" width="5.796875" collapsed="true"/>
    <col min="3" max="3" bestFit="true" customWidth="true" style="352" width="13.69921875" collapsed="true"/>
    <col min="4" max="4" customWidth="true" style="202" width="17.0" collapsed="true"/>
    <col min="5" max="6" customWidth="true" style="202" width="14.796875" collapsed="true"/>
    <col min="7" max="16384" style="202" width="12.0" collapsed="true"/>
  </cols>
  <sheetData>
    <row r="1" spans="1:6" ht="18.5">
      <c r="A1" s="856" t="s">
        <v>486</v>
      </c>
      <c r="B1" s="856"/>
      <c r="C1" s="856"/>
      <c r="D1" s="856"/>
      <c r="E1" s="856"/>
      <c r="F1" s="856"/>
    </row>
    <row r="2" spans="1:6" ht="8.15" customHeight="1"/>
    <row r="3" spans="1:6">
      <c r="A3" s="857" t="s">
        <v>487</v>
      </c>
      <c r="B3" s="857"/>
      <c r="C3" s="857"/>
      <c r="D3" s="202" t="s">
        <v>488</v>
      </c>
      <c r="E3" s="858">
        <f>+'Fiche de renseignement R1'!$V$9</f>
        <v>44926</v>
      </c>
      <c r="F3" s="859"/>
    </row>
    <row r="4" spans="1:6" ht="15" customHeight="1">
      <c r="A4" s="859" t="s">
        <v>1542</v>
      </c>
      <c r="B4" s="859"/>
      <c r="C4" s="859"/>
      <c r="D4" s="860" t="s">
        <v>489</v>
      </c>
      <c r="E4" s="861">
        <f>+'Fiche de renseignement R1'!$AH$9</f>
        <v>12</v>
      </c>
      <c r="F4" s="861"/>
    </row>
    <row r="5" spans="1:6" ht="15" customHeight="1">
      <c r="A5" s="202" t="s">
        <v>490</v>
      </c>
      <c r="B5" s="862" t="str">
        <f>+'Fiche de renseignement R1'!$J$9</f>
        <v>007768007</v>
      </c>
      <c r="C5" s="862"/>
      <c r="D5" s="860"/>
      <c r="E5" s="859"/>
      <c r="F5" s="859"/>
    </row>
    <row r="6" spans="1:6" ht="8.15" customHeight="1"/>
    <row r="7" spans="1:6">
      <c r="A7" s="446" t="s">
        <v>340</v>
      </c>
      <c r="B7" s="851" t="s">
        <v>223</v>
      </c>
      <c r="C7" s="853" t="s">
        <v>491</v>
      </c>
      <c r="D7" s="855" t="s">
        <v>492</v>
      </c>
      <c r="E7" s="855"/>
      <c r="F7" s="855"/>
    </row>
    <row r="8" spans="1:6">
      <c r="A8" s="447"/>
      <c r="B8" s="852"/>
      <c r="C8" s="854"/>
      <c r="D8" s="852" t="s">
        <v>493</v>
      </c>
      <c r="E8" s="852" t="s">
        <v>494</v>
      </c>
      <c r="F8" s="448" t="s">
        <v>495</v>
      </c>
    </row>
    <row r="9" spans="1:6">
      <c r="A9" s="447"/>
      <c r="B9" s="852"/>
      <c r="C9" s="854"/>
      <c r="D9" s="852"/>
      <c r="E9" s="852"/>
      <c r="F9" s="447" t="s">
        <v>496</v>
      </c>
    </row>
    <row r="10" spans="1:6" ht="20.149999999999999" customHeight="1">
      <c r="A10" s="203" t="s">
        <v>497</v>
      </c>
      <c r="B10" s="203"/>
      <c r="C10" s="353"/>
      <c r="D10" s="203"/>
      <c r="E10" s="203"/>
      <c r="F10" s="203"/>
    </row>
    <row r="11" spans="1:6" ht="19.25" customHeight="1">
      <c r="A11" s="204" t="s">
        <v>498</v>
      </c>
      <c r="B11" s="205"/>
      <c r="C11" s="354"/>
      <c r="D11" s="205"/>
      <c r="E11" s="205"/>
      <c r="F11" s="205"/>
    </row>
    <row r="12" spans="1:6" ht="19.25" customHeight="1">
      <c r="A12" s="204" t="s">
        <v>499</v>
      </c>
      <c r="B12" s="205"/>
      <c r="C12" s="354"/>
      <c r="D12" s="205"/>
      <c r="E12" s="205"/>
      <c r="F12" s="205"/>
    </row>
    <row r="13" spans="1:6" ht="24" customHeight="1">
      <c r="A13" s="204" t="s">
        <v>500</v>
      </c>
      <c r="B13" s="205"/>
      <c r="C13" s="354"/>
      <c r="D13" s="205"/>
      <c r="E13" s="205"/>
      <c r="F13" s="205"/>
    </row>
    <row r="14" spans="1:6" ht="19.25" customHeight="1">
      <c r="A14" s="204" t="s">
        <v>501</v>
      </c>
      <c r="B14" s="205"/>
      <c r="C14" s="354"/>
      <c r="D14" s="205"/>
      <c r="E14" s="205"/>
      <c r="F14" s="205"/>
    </row>
    <row r="15" spans="1:6" ht="20.149999999999999" customHeight="1">
      <c r="A15" s="206" t="s">
        <v>502</v>
      </c>
      <c r="B15" s="206"/>
      <c r="C15" s="355">
        <f>SUM(C11:C14)</f>
        <v>0</v>
      </c>
      <c r="D15" s="206">
        <f t="shared" ref="D15:F15" si="0">SUM(D11:D14)</f>
        <v>0</v>
      </c>
      <c r="E15" s="206">
        <f t="shared" si="0"/>
        <v>0</v>
      </c>
      <c r="F15" s="206">
        <f t="shared" si="0"/>
        <v>0</v>
      </c>
    </row>
    <row r="16" spans="1:6" ht="10.25" customHeight="1">
      <c r="A16" s="205"/>
      <c r="B16" s="205"/>
      <c r="C16" s="354"/>
      <c r="D16" s="205"/>
      <c r="E16" s="205"/>
      <c r="F16" s="205"/>
    </row>
    <row r="17" spans="1:6" ht="20.149999999999999" customHeight="1">
      <c r="A17" s="203" t="s">
        <v>503</v>
      </c>
      <c r="B17" s="203"/>
      <c r="C17" s="353"/>
      <c r="D17" s="203"/>
      <c r="E17" s="203"/>
      <c r="F17" s="203"/>
    </row>
    <row r="18" spans="1:6" ht="19.25" customHeight="1">
      <c r="A18" s="205" t="s">
        <v>504</v>
      </c>
      <c r="B18" s="205"/>
      <c r="C18" s="354"/>
      <c r="D18" s="205"/>
      <c r="E18" s="205"/>
      <c r="F18" s="205"/>
    </row>
    <row r="19" spans="1:6" ht="19.25" customHeight="1">
      <c r="A19" s="205" t="s">
        <v>505</v>
      </c>
      <c r="B19" s="205"/>
      <c r="C19" s="354"/>
      <c r="D19" s="205"/>
      <c r="E19" s="205"/>
      <c r="F19" s="205"/>
    </row>
    <row r="20" spans="1:6" ht="19.25" customHeight="1">
      <c r="A20" s="205" t="s">
        <v>506</v>
      </c>
      <c r="B20" s="205"/>
      <c r="C20" s="354"/>
      <c r="D20" s="205"/>
      <c r="E20" s="205"/>
      <c r="F20" s="205"/>
    </row>
    <row r="21" spans="1:6" ht="19.25" customHeight="1">
      <c r="A21" s="205" t="s">
        <v>507</v>
      </c>
      <c r="B21" s="205"/>
      <c r="C21" s="354"/>
      <c r="D21" s="205"/>
      <c r="E21" s="205"/>
      <c r="F21" s="205"/>
    </row>
    <row r="22" spans="1:6" ht="20.149999999999999" customHeight="1">
      <c r="A22" s="207" t="s">
        <v>508</v>
      </c>
      <c r="B22" s="207"/>
      <c r="C22" s="356">
        <f>SUM(C18:C21)</f>
        <v>0</v>
      </c>
      <c r="D22" s="207">
        <f t="shared" ref="D22:F22" si="1">SUM(D18:D21)</f>
        <v>0</v>
      </c>
      <c r="E22" s="207">
        <f t="shared" si="1"/>
        <v>0</v>
      </c>
      <c r="F22" s="207">
        <f t="shared" si="1"/>
        <v>0</v>
      </c>
    </row>
    <row r="23" spans="1:6" ht="10.25" customHeight="1">
      <c r="A23" s="205"/>
      <c r="B23" s="205"/>
      <c r="C23" s="354"/>
      <c r="D23" s="205"/>
      <c r="E23" s="205"/>
      <c r="F23" s="205"/>
    </row>
    <row r="24" spans="1:6" ht="20.149999999999999" customHeight="1">
      <c r="A24" s="203" t="s">
        <v>509</v>
      </c>
      <c r="B24" s="203"/>
      <c r="C24" s="353"/>
      <c r="D24" s="203"/>
      <c r="E24" s="203"/>
      <c r="F24" s="203"/>
    </row>
    <row r="25" spans="1:6" ht="19.25" customHeight="1">
      <c r="A25" s="205" t="s">
        <v>510</v>
      </c>
      <c r="B25" s="205"/>
      <c r="C25" s="354"/>
      <c r="D25" s="205"/>
      <c r="E25" s="205"/>
      <c r="F25" s="205"/>
    </row>
    <row r="26" spans="1:6" ht="19.25" customHeight="1">
      <c r="A26" s="205" t="s">
        <v>308</v>
      </c>
      <c r="B26" s="205"/>
      <c r="C26" s="354"/>
      <c r="D26" s="205"/>
      <c r="E26" s="205"/>
      <c r="F26" s="205"/>
    </row>
    <row r="27" spans="1:6" ht="19.25" customHeight="1">
      <c r="A27" s="205" t="s">
        <v>511</v>
      </c>
      <c r="B27" s="205"/>
      <c r="C27" s="354"/>
      <c r="D27" s="205"/>
      <c r="E27" s="205"/>
      <c r="F27" s="205"/>
    </row>
    <row r="28" spans="1:6" ht="19.25" customHeight="1">
      <c r="A28" s="205" t="s">
        <v>512</v>
      </c>
      <c r="B28" s="205"/>
      <c r="C28" s="354"/>
      <c r="D28" s="205"/>
      <c r="E28" s="205"/>
      <c r="F28" s="205"/>
    </row>
    <row r="29" spans="1:6" ht="19.25" customHeight="1">
      <c r="A29" s="205" t="s">
        <v>513</v>
      </c>
      <c r="B29" s="205"/>
      <c r="C29" s="354"/>
      <c r="D29" s="343"/>
      <c r="E29" s="205"/>
      <c r="F29" s="205"/>
    </row>
    <row r="30" spans="1:6" ht="19.25" customHeight="1">
      <c r="A30" s="205" t="s">
        <v>514</v>
      </c>
      <c r="B30" s="205"/>
      <c r="C30" s="354"/>
      <c r="D30" s="205"/>
      <c r="E30" s="205"/>
      <c r="F30" s="205"/>
    </row>
    <row r="31" spans="1:6" ht="19.25" customHeight="1">
      <c r="A31" s="205" t="s">
        <v>515</v>
      </c>
      <c r="B31" s="205"/>
      <c r="C31" s="354"/>
      <c r="D31" s="343"/>
      <c r="E31" s="205"/>
      <c r="F31" s="205"/>
    </row>
    <row r="32" spans="1:6" ht="19.25" customHeight="1">
      <c r="A32" s="205" t="s">
        <v>516</v>
      </c>
      <c r="B32" s="205"/>
      <c r="C32" s="354"/>
      <c r="D32" s="343"/>
      <c r="E32" s="205"/>
      <c r="F32" s="205"/>
    </row>
    <row r="33" spans="1:6" ht="20.149999999999999" customHeight="1">
      <c r="A33" s="207" t="s">
        <v>517</v>
      </c>
      <c r="B33" s="207"/>
      <c r="C33" s="356">
        <f>SUM(C25:C32)</f>
        <v>0</v>
      </c>
      <c r="D33" s="207">
        <f>SUM(D25:D32)</f>
        <v>0</v>
      </c>
      <c r="E33" s="207">
        <f t="shared" ref="E33:F33" si="2">SUM(E25:E32)</f>
        <v>0</v>
      </c>
      <c r="F33" s="207">
        <f t="shared" si="2"/>
        <v>0</v>
      </c>
    </row>
    <row r="34" spans="1:6" ht="20.149999999999999" customHeight="1">
      <c r="A34" s="208" t="s">
        <v>518</v>
      </c>
      <c r="B34" s="208"/>
      <c r="C34" s="357">
        <f>+C15+C22+C33</f>
        <v>0</v>
      </c>
      <c r="D34" s="208">
        <f t="shared" ref="D34:F34" si="3">+D15+D22+D33</f>
        <v>0</v>
      </c>
      <c r="E34" s="208">
        <f t="shared" si="3"/>
        <v>0</v>
      </c>
      <c r="F34" s="208">
        <f t="shared" si="3"/>
        <v>0</v>
      </c>
    </row>
    <row r="35" spans="1:6" ht="26">
      <c r="A35" s="346" t="s">
        <v>519</v>
      </c>
      <c r="B35" s="209"/>
      <c r="C35" s="358"/>
      <c r="D35" s="210"/>
      <c r="E35" s="211" t="s">
        <v>520</v>
      </c>
      <c r="F35" s="211" t="s">
        <v>521</v>
      </c>
    </row>
    <row r="36" spans="1:6" ht="20.149999999999999" customHeight="1">
      <c r="A36" s="453" t="s">
        <v>522</v>
      </c>
      <c r="B36" s="454"/>
      <c r="C36" s="359"/>
      <c r="D36" s="454"/>
      <c r="E36" s="205"/>
      <c r="F36" s="205"/>
    </row>
    <row r="37" spans="1:6" ht="20.149999999999999" customHeight="1">
      <c r="A37" s="453" t="s">
        <v>523</v>
      </c>
      <c r="B37" s="454"/>
      <c r="C37" s="359"/>
      <c r="D37" s="454"/>
      <c r="E37" s="205"/>
      <c r="F37" s="205"/>
    </row>
    <row r="38" spans="1:6" ht="20.149999999999999" customHeight="1">
      <c r="A38" s="453" t="s">
        <v>524</v>
      </c>
      <c r="B38" s="454"/>
      <c r="C38" s="359"/>
      <c r="D38" s="454"/>
      <c r="E38" s="205"/>
      <c r="F38" s="205"/>
    </row>
    <row r="39" spans="1:6" ht="20.149999999999999" customHeight="1">
      <c r="A39" s="453" t="s">
        <v>525</v>
      </c>
      <c r="B39" s="454"/>
      <c r="C39" s="359"/>
      <c r="D39" s="454"/>
      <c r="E39" s="205"/>
      <c r="F39" s="205"/>
    </row>
    <row r="40" spans="1:6" ht="20.149999999999999" customHeight="1">
      <c r="A40" s="453" t="s">
        <v>526</v>
      </c>
      <c r="B40" s="454"/>
      <c r="C40" s="359"/>
      <c r="D40" s="454"/>
      <c r="E40" s="205"/>
      <c r="F40" s="205"/>
    </row>
    <row r="41" spans="1:6" ht="20.149999999999999" customHeight="1">
      <c r="A41" s="453" t="s">
        <v>527</v>
      </c>
      <c r="B41" s="454"/>
      <c r="C41" s="359"/>
      <c r="D41" s="454"/>
      <c r="E41" s="205"/>
      <c r="F41" s="205"/>
    </row>
    <row r="42" spans="1:6" ht="20.149999999999999" customHeight="1">
      <c r="A42" s="453" t="s">
        <v>528</v>
      </c>
      <c r="B42" s="454"/>
      <c r="C42" s="359"/>
      <c r="D42" s="454"/>
      <c r="E42" s="205"/>
      <c r="F42" s="205"/>
    </row>
    <row r="43" spans="1:6" ht="20.149999999999999" customHeight="1">
      <c r="A43" s="346" t="s">
        <v>114</v>
      </c>
      <c r="B43" s="209"/>
      <c r="C43" s="358"/>
      <c r="D43" s="209"/>
      <c r="E43" s="208">
        <f>SUM(E36:E42)</f>
        <v>0</v>
      </c>
      <c r="F43" s="208">
        <f>SUM(F36:F42)</f>
        <v>0</v>
      </c>
    </row>
    <row r="44" spans="1:6">
      <c r="A44" s="212" t="s">
        <v>529</v>
      </c>
    </row>
    <row r="45" spans="1:6">
      <c r="A45" s="213" t="s">
        <v>530</v>
      </c>
    </row>
  </sheetData>
  <sheetProtection sheet="false"/>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pageSetUpPr fitToPage="1"/>
  </sheetPr>
  <dimension ref="A1:D14"/>
  <sheetViews>
    <sheetView workbookViewId="0">
      <selection activeCell="D4" sqref="D4"/>
    </sheetView>
  </sheetViews>
  <sheetFormatPr baseColWidth="10" defaultColWidth="12" defaultRowHeight="13"/>
  <cols>
    <col min="1" max="1" customWidth="true" style="202" width="41.19921875" collapsed="true"/>
    <col min="2" max="2" customWidth="true" style="202" width="56.3984375" collapsed="true"/>
    <col min="3" max="3" customWidth="true" style="202" width="22.19921875" collapsed="true"/>
    <col min="4" max="16384" style="202" width="12.0" collapsed="true"/>
  </cols>
  <sheetData>
    <row r="1" spans="1:4" ht="18.5">
      <c r="A1" s="856" t="s">
        <v>531</v>
      </c>
      <c r="B1" s="856"/>
      <c r="C1" s="856"/>
      <c r="D1" s="856"/>
    </row>
    <row r="3" spans="1:4" ht="12.75" customHeight="1">
      <c r="A3" s="857" t="s">
        <v>487</v>
      </c>
      <c r="B3" s="857"/>
      <c r="C3" s="202" t="s">
        <v>488</v>
      </c>
      <c r="D3" s="351">
        <f>+'Note 1'!E3</f>
        <v>44926</v>
      </c>
    </row>
    <row r="4" spans="1:4" ht="15" customHeight="1">
      <c r="A4" s="864" t="str">
        <f>+'Note 1'!A4</f>
        <v>IAMGOLD BOTO SA</v>
      </c>
      <c r="B4" s="864"/>
      <c r="C4" s="202" t="s">
        <v>489</v>
      </c>
      <c r="D4" s="202">
        <f>+'Note 1'!E4</f>
        <v>12</v>
      </c>
    </row>
    <row r="5" spans="1:4" ht="15" customHeight="1">
      <c r="A5" s="202" t="s">
        <v>490</v>
      </c>
      <c r="B5" s="450" t="str">
        <f>+'Note 1'!B5</f>
        <v>007768007</v>
      </c>
    </row>
    <row r="7" spans="1:4">
      <c r="A7" s="865" t="s">
        <v>532</v>
      </c>
      <c r="B7" s="865"/>
      <c r="C7" s="865"/>
      <c r="D7" s="865"/>
    </row>
    <row r="8" spans="1:4" ht="63" customHeight="1">
      <c r="A8" s="863" t="s">
        <v>533</v>
      </c>
      <c r="B8" s="863"/>
      <c r="C8" s="863"/>
      <c r="D8" s="863"/>
    </row>
    <row r="9" spans="1:4">
      <c r="A9" s="865" t="s">
        <v>534</v>
      </c>
      <c r="B9" s="865"/>
      <c r="C9" s="865"/>
      <c r="D9" s="865"/>
    </row>
    <row r="10" spans="1:4" ht="94.5" customHeight="1">
      <c r="A10" s="863" t="s">
        <v>535</v>
      </c>
      <c r="B10" s="863"/>
      <c r="C10" s="863"/>
      <c r="D10" s="863"/>
    </row>
    <row r="11" spans="1:4">
      <c r="A11" s="865" t="s">
        <v>536</v>
      </c>
      <c r="B11" s="865"/>
      <c r="C11" s="865"/>
      <c r="D11" s="865"/>
    </row>
    <row r="12" spans="1:4" ht="82.5" customHeight="1">
      <c r="A12" s="863" t="s">
        <v>537</v>
      </c>
      <c r="B12" s="863"/>
      <c r="C12" s="863"/>
      <c r="D12" s="863"/>
    </row>
    <row r="13" spans="1:4" ht="31.5" customHeight="1">
      <c r="A13" s="866" t="s">
        <v>538</v>
      </c>
      <c r="B13" s="866"/>
      <c r="C13" s="866"/>
      <c r="D13" s="866"/>
    </row>
    <row r="14" spans="1:4" ht="105.75" customHeight="1">
      <c r="A14" s="863" t="s">
        <v>539</v>
      </c>
      <c r="B14" s="863"/>
      <c r="C14" s="863"/>
      <c r="D14" s="863"/>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pageSetUpPr fitToPage="1"/>
  </sheetPr>
  <dimension ref="A1:H41"/>
  <sheetViews>
    <sheetView workbookViewId="0">
      <selection activeCell="I29" sqref="I29"/>
    </sheetView>
  </sheetViews>
  <sheetFormatPr baseColWidth="10" defaultColWidth="12" defaultRowHeight="13"/>
  <cols>
    <col min="1" max="1" customWidth="true" style="202" width="41.19921875" collapsed="true"/>
    <col min="2" max="2" bestFit="true" customWidth="true" style="202" width="17.796875" collapsed="true"/>
    <col min="3" max="7" customWidth="true" style="202" width="13.69921875" collapsed="true"/>
    <col min="8" max="8" customWidth="true" style="202" width="15.296875" collapsed="true"/>
    <col min="9" max="16384" style="202" width="12.0" collapsed="true"/>
  </cols>
  <sheetData>
    <row r="1" spans="1:8" ht="18.5">
      <c r="A1" s="856" t="s">
        <v>540</v>
      </c>
      <c r="B1" s="856"/>
      <c r="C1" s="856"/>
      <c r="D1" s="856"/>
      <c r="E1" s="856"/>
      <c r="F1" s="856"/>
      <c r="G1" s="856"/>
      <c r="H1" s="856"/>
    </row>
    <row r="2" spans="1:8" ht="8.15" customHeight="1"/>
    <row r="3" spans="1:8" ht="12.75" customHeight="1">
      <c r="A3" s="857" t="s">
        <v>487</v>
      </c>
      <c r="B3" s="857"/>
      <c r="C3" s="857"/>
      <c r="E3" s="214" t="s">
        <v>488</v>
      </c>
      <c r="F3" s="878">
        <f>+'Note 1'!E3</f>
        <v>44926</v>
      </c>
      <c r="G3" s="878"/>
    </row>
    <row r="4" spans="1:8" ht="15" customHeight="1">
      <c r="A4" s="864" t="str">
        <f>+'Note 1'!A4</f>
        <v>IAMGOLD BOTO SA</v>
      </c>
      <c r="B4" s="864"/>
      <c r="C4" s="864"/>
      <c r="E4" s="879" t="s">
        <v>489</v>
      </c>
      <c r="F4" s="880">
        <f>+'Note 1'!E4</f>
        <v>12</v>
      </c>
      <c r="G4" s="880"/>
    </row>
    <row r="5" spans="1:8" ht="15" customHeight="1">
      <c r="A5" s="202" t="s">
        <v>490</v>
      </c>
      <c r="B5" s="882" t="str">
        <f>+'Note 1'!B5</f>
        <v>007768007</v>
      </c>
      <c r="C5" s="882"/>
      <c r="E5" s="879"/>
      <c r="F5" s="881"/>
      <c r="G5" s="881"/>
    </row>
    <row r="6" spans="1:8" ht="8.15" customHeight="1"/>
    <row r="7" spans="1:8" ht="20.149999999999999" customHeight="1">
      <c r="A7" s="870" t="s">
        <v>541</v>
      </c>
      <c r="B7" s="867" t="s">
        <v>542</v>
      </c>
      <c r="C7" s="867" t="s">
        <v>543</v>
      </c>
      <c r="D7" s="867" t="s">
        <v>544</v>
      </c>
      <c r="E7" s="875" t="s">
        <v>545</v>
      </c>
      <c r="F7" s="867" t="s">
        <v>546</v>
      </c>
      <c r="G7" s="867" t="s">
        <v>544</v>
      </c>
      <c r="H7" s="867" t="s">
        <v>547</v>
      </c>
    </row>
    <row r="8" spans="1:8" ht="20.149999999999999" customHeight="1">
      <c r="A8" s="871"/>
      <c r="B8" s="873"/>
      <c r="C8" s="873"/>
      <c r="D8" s="873"/>
      <c r="E8" s="876"/>
      <c r="F8" s="873"/>
      <c r="G8" s="868"/>
      <c r="H8" s="868"/>
    </row>
    <row r="9" spans="1:8" ht="20.149999999999999" customHeight="1">
      <c r="A9" s="872"/>
      <c r="B9" s="873"/>
      <c r="C9" s="874"/>
      <c r="D9" s="874"/>
      <c r="E9" s="877"/>
      <c r="F9" s="874"/>
      <c r="G9" s="869"/>
      <c r="H9" s="869"/>
    </row>
    <row r="10" spans="1:8" ht="20.149999999999999" customHeight="1">
      <c r="A10" s="364" t="s">
        <v>229</v>
      </c>
      <c r="B10" s="207">
        <v>74315954</v>
      </c>
      <c r="C10" s="207">
        <v>44050301125</v>
      </c>
      <c r="D10" s="207">
        <v>0</v>
      </c>
      <c r="E10" s="207">
        <v>0</v>
      </c>
      <c r="F10" s="207">
        <v>0</v>
      </c>
      <c r="G10" s="207">
        <v>0</v>
      </c>
      <c r="H10" s="207">
        <v>44124617079</v>
      </c>
    </row>
    <row r="11" spans="1:8">
      <c r="A11" s="362" t="s">
        <v>233</v>
      </c>
      <c r="B11" s="205">
        <v>0</v>
      </c>
      <c r="C11" s="205">
        <v>44028439487</v>
      </c>
      <c r="D11" s="205"/>
      <c r="E11" s="205"/>
      <c r="F11" s="205">
        <v>0</v>
      </c>
      <c r="G11" s="205"/>
      <c r="H11" s="205">
        <v>44028439487</v>
      </c>
    </row>
    <row r="12" spans="1:8">
      <c r="A12" s="362" t="s">
        <v>237</v>
      </c>
      <c r="B12" s="205">
        <v>74315954</v>
      </c>
      <c r="C12" s="205">
        <v>21861638</v>
      </c>
      <c r="D12" s="205"/>
      <c r="E12" s="205"/>
      <c r="F12" s="205">
        <v>0</v>
      </c>
      <c r="G12" s="205"/>
      <c r="H12" s="205">
        <v>96177592</v>
      </c>
    </row>
    <row r="13" spans="1:8">
      <c r="A13" s="362" t="s">
        <v>241</v>
      </c>
      <c r="B13" s="205">
        <v>0</v>
      </c>
      <c r="C13" s="205">
        <v>0</v>
      </c>
      <c r="D13" s="205"/>
      <c r="E13" s="205"/>
      <c r="F13" s="205">
        <v>0</v>
      </c>
      <c r="G13" s="205"/>
      <c r="H13" s="205">
        <v>0</v>
      </c>
    </row>
    <row r="14" spans="1:8">
      <c r="A14" s="362" t="s">
        <v>246</v>
      </c>
      <c r="B14" s="205">
        <v>0</v>
      </c>
      <c r="C14" s="205">
        <v>0</v>
      </c>
      <c r="D14" s="205"/>
      <c r="E14" s="205"/>
      <c r="F14" s="205">
        <v>0</v>
      </c>
      <c r="G14" s="205"/>
      <c r="H14" s="205">
        <v>0</v>
      </c>
    </row>
    <row r="15" spans="1:8" ht="20.149999999999999" customHeight="1">
      <c r="A15" s="364" t="s">
        <v>250</v>
      </c>
      <c r="B15" s="404">
        <v>31998112345</v>
      </c>
      <c r="C15" s="404">
        <v>9806871410</v>
      </c>
      <c r="D15" s="404">
        <v>0</v>
      </c>
      <c r="E15" s="404">
        <v>0</v>
      </c>
      <c r="F15" s="404">
        <v>-134807064</v>
      </c>
      <c r="G15" s="404">
        <v>134807064</v>
      </c>
      <c r="H15" s="404">
        <v>41804983755</v>
      </c>
    </row>
    <row r="16" spans="1:8">
      <c r="A16" s="363" t="s">
        <v>548</v>
      </c>
      <c r="B16" s="205">
        <v>0</v>
      </c>
      <c r="C16" s="205">
        <v>0</v>
      </c>
      <c r="D16" s="205"/>
      <c r="E16" s="205"/>
      <c r="F16" s="205">
        <v>0</v>
      </c>
      <c r="G16" s="205"/>
      <c r="H16" s="205">
        <v>0</v>
      </c>
    </row>
    <row r="17" spans="1:8">
      <c r="A17" s="363" t="s">
        <v>549</v>
      </c>
      <c r="B17" s="205">
        <v>0</v>
      </c>
      <c r="C17" s="205">
        <v>0</v>
      </c>
      <c r="D17" s="205"/>
      <c r="E17" s="205"/>
      <c r="F17" s="205">
        <v>0</v>
      </c>
      <c r="G17" s="205"/>
      <c r="H17" s="205">
        <v>0</v>
      </c>
    </row>
    <row r="18" spans="1:8">
      <c r="A18" s="363" t="s">
        <v>550</v>
      </c>
      <c r="B18" s="403">
        <v>31064914570</v>
      </c>
      <c r="C18" s="403">
        <v>9750915545</v>
      </c>
      <c r="D18" s="403"/>
      <c r="E18" s="403"/>
      <c r="F18" s="403">
        <v>0</v>
      </c>
      <c r="G18" s="403"/>
      <c r="H18" s="403">
        <v>40815830115</v>
      </c>
    </row>
    <row r="19" spans="1:8">
      <c r="A19" s="363" t="s">
        <v>551</v>
      </c>
      <c r="B19" s="403">
        <v>0</v>
      </c>
      <c r="C19" s="403">
        <v>0</v>
      </c>
      <c r="D19" s="403"/>
      <c r="E19" s="403"/>
      <c r="F19" s="403">
        <v>0</v>
      </c>
      <c r="G19" s="403"/>
      <c r="H19" s="403">
        <v>0</v>
      </c>
    </row>
    <row r="20" spans="1:8">
      <c r="A20" s="362" t="s">
        <v>262</v>
      </c>
      <c r="B20" s="403">
        <v>359083339</v>
      </c>
      <c r="C20" s="403">
        <v>42072037</v>
      </c>
      <c r="D20" s="403"/>
      <c r="E20" s="403"/>
      <c r="F20" s="403">
        <v>-2920000</v>
      </c>
      <c r="G20" s="403">
        <v>2920000</v>
      </c>
      <c r="H20" s="403">
        <v>401155376</v>
      </c>
    </row>
    <row r="21" spans="1:8">
      <c r="A21" s="363" t="s">
        <v>266</v>
      </c>
      <c r="B21" s="403">
        <v>379676202</v>
      </c>
      <c r="C21" s="403">
        <v>13883828</v>
      </c>
      <c r="D21" s="403"/>
      <c r="E21" s="403"/>
      <c r="F21" s="403">
        <v>-3974400</v>
      </c>
      <c r="G21" s="403">
        <v>3974400</v>
      </c>
      <c r="H21" s="403">
        <v>393560030</v>
      </c>
    </row>
    <row r="22" spans="1:8">
      <c r="A22" s="363" t="s">
        <v>270</v>
      </c>
      <c r="B22" s="403">
        <v>194438234</v>
      </c>
      <c r="C22" s="403">
        <v>0</v>
      </c>
      <c r="D22" s="403"/>
      <c r="E22" s="403"/>
      <c r="F22" s="403">
        <v>-127912664</v>
      </c>
      <c r="G22" s="403">
        <v>127912664</v>
      </c>
      <c r="H22" s="403">
        <v>194438234</v>
      </c>
    </row>
    <row r="23" spans="1:8" ht="26">
      <c r="A23" s="377" t="s">
        <v>552</v>
      </c>
      <c r="B23" s="207">
        <v>688617444</v>
      </c>
      <c r="C23" s="207">
        <v>0</v>
      </c>
      <c r="D23" s="207">
        <v>0</v>
      </c>
      <c r="E23" s="207">
        <v>0</v>
      </c>
      <c r="F23" s="207">
        <v>65085388</v>
      </c>
      <c r="G23" s="207">
        <v>0</v>
      </c>
      <c r="H23" s="207">
        <v>623532056</v>
      </c>
    </row>
    <row r="24" spans="1:8">
      <c r="A24" s="363" t="s">
        <v>553</v>
      </c>
      <c r="B24" s="205">
        <v>0</v>
      </c>
      <c r="C24" s="205">
        <v>0</v>
      </c>
      <c r="D24" s="205"/>
      <c r="E24" s="205"/>
      <c r="F24" s="205">
        <v>0</v>
      </c>
      <c r="G24" s="205"/>
      <c r="H24" s="205">
        <v>0</v>
      </c>
    </row>
    <row r="25" spans="1:8">
      <c r="A25" s="363" t="s">
        <v>554</v>
      </c>
      <c r="B25" s="205">
        <v>688617444</v>
      </c>
      <c r="C25" s="205">
        <v>0</v>
      </c>
      <c r="D25" s="205"/>
      <c r="E25" s="205"/>
      <c r="F25" s="205">
        <v>65085388</v>
      </c>
      <c r="G25" s="205"/>
      <c r="H25" s="205">
        <v>623532056</v>
      </c>
    </row>
    <row r="26" spans="1:8" ht="20.149999999999999" customHeight="1">
      <c r="A26" s="364" t="s">
        <v>147</v>
      </c>
      <c r="B26" s="404">
        <v>1266202</v>
      </c>
      <c r="C26" s="404">
        <v>0</v>
      </c>
      <c r="D26" s="404">
        <v>0</v>
      </c>
      <c r="E26" s="404">
        <v>0</v>
      </c>
      <c r="F26" s="404">
        <v>0</v>
      </c>
      <c r="G26" s="404">
        <v>0</v>
      </c>
      <c r="H26" s="404">
        <v>1266202</v>
      </c>
    </row>
    <row r="27" spans="1:8">
      <c r="A27" s="363" t="s">
        <v>320</v>
      </c>
      <c r="B27" s="403">
        <v>0</v>
      </c>
      <c r="C27" s="403">
        <v>0</v>
      </c>
      <c r="D27" s="403"/>
      <c r="E27" s="403"/>
      <c r="F27" s="403">
        <v>0</v>
      </c>
      <c r="G27" s="403"/>
      <c r="H27" s="403">
        <v>0</v>
      </c>
    </row>
    <row r="28" spans="1:8">
      <c r="A28" s="363" t="s">
        <v>285</v>
      </c>
      <c r="B28" s="403">
        <v>1266202</v>
      </c>
      <c r="C28" s="403">
        <v>0</v>
      </c>
      <c r="D28" s="403"/>
      <c r="E28" s="403"/>
      <c r="F28" s="403">
        <v>0</v>
      </c>
      <c r="G28" s="403"/>
      <c r="H28" s="403">
        <v>1266202</v>
      </c>
    </row>
    <row r="29" spans="1:8" ht="20.149999999999999" customHeight="1">
      <c r="A29" s="378" t="s">
        <v>338</v>
      </c>
      <c r="B29" s="405">
        <v>32762311945</v>
      </c>
      <c r="C29" s="405">
        <v>53857172535</v>
      </c>
      <c r="D29" s="405">
        <v>0</v>
      </c>
      <c r="E29" s="405">
        <v>0</v>
      </c>
      <c r="F29" s="405">
        <v>-69721676</v>
      </c>
      <c r="G29" s="405">
        <v>134807064</v>
      </c>
      <c r="H29" s="405">
        <v>86554399092</v>
      </c>
    </row>
    <row r="30" spans="1:8">
      <c r="A30" s="379" t="s">
        <v>529</v>
      </c>
    </row>
    <row r="31" spans="1:8">
      <c r="A31" s="213" t="s">
        <v>555</v>
      </c>
    </row>
    <row r="32" spans="1:8">
      <c r="A32" s="213" t="s">
        <v>556</v>
      </c>
    </row>
    <row r="33" spans="1:1">
      <c r="A33" s="213" t="s">
        <v>557</v>
      </c>
    </row>
    <row r="34" spans="1:1">
      <c r="A34" s="213" t="s">
        <v>558</v>
      </c>
    </row>
    <row r="35" spans="1:1">
      <c r="A35" s="216" t="s">
        <v>559</v>
      </c>
    </row>
    <row r="36" spans="1:1">
      <c r="A36" s="216" t="s">
        <v>560</v>
      </c>
    </row>
    <row r="37" spans="1:1">
      <c r="A37" s="216" t="s">
        <v>561</v>
      </c>
    </row>
    <row r="38" spans="1:1">
      <c r="A38" s="213" t="s">
        <v>562</v>
      </c>
    </row>
    <row r="39" spans="1:1">
      <c r="A39" s="213" t="s">
        <v>563</v>
      </c>
    </row>
    <row r="40" spans="1:1">
      <c r="A40" s="202" t="s">
        <v>1575</v>
      </c>
    </row>
    <row r="41" spans="1:1">
      <c r="A41" s="202" t="s">
        <v>1576</v>
      </c>
    </row>
  </sheetData>
  <sheetProtection sheet="false"/>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9" xr:uid="{00000000-0002-0000-0A00-000000000000}"/>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24"/>
  <sheetViews>
    <sheetView workbookViewId="0">
      <selection activeCell="D8" sqref="D8:D9"/>
    </sheetView>
  </sheetViews>
  <sheetFormatPr baseColWidth="10" defaultColWidth="12" defaultRowHeight="13"/>
  <cols>
    <col min="1" max="1" customWidth="true" style="202" width="41.19921875" collapsed="true"/>
    <col min="2" max="2" bestFit="true" customWidth="true" style="202" width="13.69921875" collapsed="true"/>
    <col min="3" max="4" customWidth="true" style="202" width="13.69921875" collapsed="true"/>
    <col min="5" max="5" bestFit="true" customWidth="true" style="202" width="12.19921875" collapsed="true"/>
    <col min="6" max="6" customWidth="true" style="202" width="15.296875" collapsed="true"/>
    <col min="7" max="9" customWidth="true" style="202" width="13.69921875" collapsed="true"/>
    <col min="10" max="16384" style="202" width="12.0" collapsed="true"/>
  </cols>
  <sheetData>
    <row r="1" spans="1:9" ht="18.5">
      <c r="A1" s="856" t="s">
        <v>564</v>
      </c>
      <c r="B1" s="856"/>
      <c r="C1" s="856"/>
      <c r="D1" s="856"/>
      <c r="E1" s="856"/>
      <c r="F1" s="856"/>
      <c r="G1" s="856"/>
      <c r="H1" s="856"/>
      <c r="I1" s="856"/>
    </row>
    <row r="2" spans="1:9" ht="8.15" customHeight="1"/>
    <row r="3" spans="1:9" ht="12.75" customHeight="1">
      <c r="A3" s="857" t="s">
        <v>487</v>
      </c>
      <c r="B3" s="857"/>
      <c r="C3" s="857"/>
      <c r="G3" s="217" t="s">
        <v>488</v>
      </c>
      <c r="H3" s="878">
        <f>+'Note 1'!E3</f>
        <v>44926</v>
      </c>
      <c r="I3" s="892"/>
    </row>
    <row r="4" spans="1:9" ht="15" customHeight="1">
      <c r="A4" s="864" t="str">
        <f>+'Note 1'!A4</f>
        <v>IAMGOLD BOTO SA</v>
      </c>
      <c r="B4" s="864"/>
      <c r="C4" s="864"/>
      <c r="G4" s="879" t="s">
        <v>489</v>
      </c>
      <c r="H4" s="893">
        <f>+'Note 1'!E4</f>
        <v>12</v>
      </c>
      <c r="I4" s="893"/>
    </row>
    <row r="5" spans="1:9" ht="15" customHeight="1">
      <c r="A5" s="202" t="s">
        <v>490</v>
      </c>
      <c r="B5" s="882" t="str">
        <f>+'Note 1'!B5</f>
        <v>007768007</v>
      </c>
      <c r="C5" s="882"/>
      <c r="G5" s="879"/>
      <c r="H5" s="894"/>
      <c r="I5" s="894"/>
    </row>
    <row r="6" spans="1:9" ht="8.15" customHeight="1"/>
    <row r="7" spans="1:9" s="218" customFormat="1" ht="18.75" customHeight="1">
      <c r="A7" s="884" t="s">
        <v>541</v>
      </c>
      <c r="B7" s="883" t="s">
        <v>565</v>
      </c>
      <c r="C7" s="533" t="s">
        <v>128</v>
      </c>
      <c r="D7" s="887" t="s">
        <v>566</v>
      </c>
      <c r="E7" s="888"/>
      <c r="F7" s="889"/>
      <c r="G7" s="887" t="s">
        <v>567</v>
      </c>
      <c r="H7" s="889"/>
      <c r="I7" s="211" t="s">
        <v>568</v>
      </c>
    </row>
    <row r="8" spans="1:9" s="218" customFormat="1" ht="25.5" customHeight="1">
      <c r="A8" s="885"/>
      <c r="B8" s="873"/>
      <c r="C8" s="873" t="s">
        <v>542</v>
      </c>
      <c r="D8" s="873" t="s">
        <v>543</v>
      </c>
      <c r="E8" s="876" t="s">
        <v>544</v>
      </c>
      <c r="F8" s="890" t="s">
        <v>545</v>
      </c>
      <c r="G8" s="873" t="s">
        <v>546</v>
      </c>
      <c r="H8" s="873" t="s">
        <v>544</v>
      </c>
      <c r="I8" s="883" t="s">
        <v>542</v>
      </c>
    </row>
    <row r="9" spans="1:9" s="218" customFormat="1" ht="25.5" customHeight="1">
      <c r="A9" s="886"/>
      <c r="B9" s="534" t="s">
        <v>569</v>
      </c>
      <c r="C9" s="874"/>
      <c r="D9" s="874"/>
      <c r="E9" s="877"/>
      <c r="F9" s="891"/>
      <c r="G9" s="874"/>
      <c r="H9" s="874"/>
      <c r="I9" s="874"/>
    </row>
    <row r="10" spans="1:9">
      <c r="A10" s="362" t="s">
        <v>237</v>
      </c>
      <c r="B10" s="205"/>
      <c r="C10" s="205"/>
      <c r="D10" s="205"/>
      <c r="E10" s="205"/>
      <c r="F10" s="205"/>
      <c r="G10" s="205"/>
      <c r="H10" s="205"/>
      <c r="I10" s="205"/>
    </row>
    <row r="11" spans="1:9">
      <c r="A11" s="362" t="s">
        <v>241</v>
      </c>
      <c r="B11" s="205"/>
      <c r="C11" s="205"/>
      <c r="D11" s="205"/>
      <c r="E11" s="205"/>
      <c r="F11" s="205"/>
      <c r="G11" s="205"/>
      <c r="H11" s="205"/>
      <c r="I11" s="205"/>
    </row>
    <row r="12" spans="1:9">
      <c r="A12" s="362" t="s">
        <v>246</v>
      </c>
      <c r="B12" s="205"/>
      <c r="C12" s="205"/>
      <c r="D12" s="205"/>
      <c r="E12" s="205"/>
      <c r="F12" s="205"/>
      <c r="G12" s="205"/>
      <c r="H12" s="205"/>
      <c r="I12" s="205"/>
    </row>
    <row r="13" spans="1:9" ht="26">
      <c r="A13" s="377" t="s">
        <v>570</v>
      </c>
      <c r="B13" s="207"/>
      <c r="C13" s="207"/>
      <c r="D13" s="207"/>
      <c r="E13" s="207"/>
      <c r="F13" s="207"/>
      <c r="G13" s="207"/>
      <c r="H13" s="207"/>
      <c r="I13" s="207"/>
    </row>
    <row r="14" spans="1:9">
      <c r="A14" s="363" t="s">
        <v>571</v>
      </c>
      <c r="B14" s="205"/>
      <c r="C14" s="205"/>
      <c r="D14" s="205"/>
      <c r="E14" s="205"/>
      <c r="F14" s="205"/>
      <c r="G14" s="205"/>
      <c r="H14" s="205"/>
      <c r="I14" s="205"/>
    </row>
    <row r="15" spans="1:9">
      <c r="A15" s="363" t="s">
        <v>572</v>
      </c>
      <c r="B15" s="205"/>
      <c r="C15" s="205"/>
      <c r="D15" s="205"/>
      <c r="E15" s="205"/>
      <c r="F15" s="205"/>
      <c r="G15" s="205"/>
      <c r="H15" s="205"/>
      <c r="I15" s="205"/>
    </row>
    <row r="16" spans="1:9">
      <c r="A16" s="362" t="s">
        <v>262</v>
      </c>
      <c r="B16" s="205"/>
      <c r="C16" s="205"/>
      <c r="D16" s="205"/>
      <c r="E16" s="205"/>
      <c r="F16" s="205"/>
      <c r="G16" s="205"/>
      <c r="H16" s="205"/>
      <c r="I16" s="205"/>
    </row>
    <row r="17" spans="1:9">
      <c r="A17" s="363" t="s">
        <v>266</v>
      </c>
      <c r="B17" s="205"/>
      <c r="C17" s="205"/>
      <c r="D17" s="205"/>
      <c r="E17" s="205"/>
      <c r="F17" s="205"/>
      <c r="G17" s="205"/>
      <c r="H17" s="205"/>
      <c r="I17" s="205"/>
    </row>
    <row r="18" spans="1:9">
      <c r="A18" s="363" t="s">
        <v>270</v>
      </c>
      <c r="B18" s="205"/>
      <c r="C18" s="205"/>
      <c r="D18" s="205"/>
      <c r="E18" s="205"/>
      <c r="F18" s="205"/>
      <c r="G18" s="205"/>
      <c r="H18" s="205"/>
      <c r="I18" s="205"/>
    </row>
    <row r="19" spans="1:9">
      <c r="A19" s="377" t="s">
        <v>573</v>
      </c>
      <c r="B19" s="207"/>
      <c r="C19" s="207"/>
      <c r="D19" s="207"/>
      <c r="E19" s="207"/>
      <c r="F19" s="207"/>
      <c r="G19" s="207"/>
      <c r="H19" s="207"/>
      <c r="I19" s="207"/>
    </row>
    <row r="20" spans="1:9" s="219" customFormat="1">
      <c r="A20" s="365"/>
      <c r="B20" s="538"/>
      <c r="C20" s="538"/>
      <c r="D20" s="538"/>
      <c r="E20" s="538"/>
      <c r="F20" s="538"/>
      <c r="G20" s="538"/>
      <c r="H20" s="538"/>
      <c r="I20" s="539"/>
    </row>
    <row r="21" spans="1:9" ht="20.149999999999999" customHeight="1">
      <c r="A21" s="378" t="s">
        <v>338</v>
      </c>
      <c r="B21" s="215"/>
      <c r="C21" s="215"/>
      <c r="D21" s="215"/>
      <c r="E21" s="215"/>
      <c r="F21" s="215"/>
      <c r="G21" s="215"/>
      <c r="H21" s="215"/>
      <c r="I21" s="215"/>
    </row>
    <row r="22" spans="1:9">
      <c r="A22" s="202" t="s">
        <v>574</v>
      </c>
    </row>
    <row r="23" spans="1:9">
      <c r="A23" s="212" t="s">
        <v>529</v>
      </c>
    </row>
    <row r="24" spans="1:9">
      <c r="A24" s="213" t="s">
        <v>575</v>
      </c>
    </row>
  </sheetData>
  <sheetProtection sheet="false"/>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pageSetUpPr fitToPage="1"/>
  </sheetPr>
  <dimension ref="A1:F37"/>
  <sheetViews>
    <sheetView workbookViewId="0">
      <selection activeCell="A4" sqref="A4:C4"/>
    </sheetView>
  </sheetViews>
  <sheetFormatPr baseColWidth="10" defaultColWidth="12" defaultRowHeight="13"/>
  <cols>
    <col min="1" max="1" customWidth="true" style="202" width="41.19921875" collapsed="true"/>
    <col min="2" max="2" customWidth="true" style="202" width="16.69921875" collapsed="true"/>
    <col min="3" max="3" customWidth="true" style="202" width="16.0" collapsed="true"/>
    <col min="4" max="4" customWidth="true" style="202" width="19.0" collapsed="true"/>
    <col min="5" max="5" customWidth="true" style="202" width="19.69921875" collapsed="true"/>
    <col min="6" max="6" style="219" width="12.0" collapsed="true"/>
    <col min="7" max="16384" style="202" width="12.0" collapsed="true"/>
  </cols>
  <sheetData>
    <row r="1" spans="1:6" ht="18.5">
      <c r="A1" s="856" t="s">
        <v>576</v>
      </c>
      <c r="B1" s="856"/>
      <c r="C1" s="856"/>
      <c r="D1" s="856"/>
      <c r="E1" s="856"/>
    </row>
    <row r="2" spans="1:6" ht="8.15" customHeight="1"/>
    <row r="3" spans="1:6" ht="12.75" customHeight="1">
      <c r="A3" s="857" t="s">
        <v>487</v>
      </c>
      <c r="B3" s="857"/>
      <c r="C3" s="857"/>
      <c r="D3" s="202" t="s">
        <v>488</v>
      </c>
      <c r="E3" s="428">
        <f>+'Note 1'!E3</f>
        <v>44926</v>
      </c>
      <c r="F3" s="220"/>
    </row>
    <row r="4" spans="1:6" ht="15" customHeight="1">
      <c r="A4" s="864" t="str">
        <f>+'Note 1'!A4</f>
        <v>IAMGOLD BOTO SA</v>
      </c>
      <c r="B4" s="864"/>
      <c r="C4" s="864"/>
      <c r="D4" s="860" t="s">
        <v>489</v>
      </c>
      <c r="E4" s="880">
        <f>+'Note 1'!E4</f>
        <v>12</v>
      </c>
      <c r="F4" s="221"/>
    </row>
    <row r="5" spans="1:6" ht="15" customHeight="1">
      <c r="A5" s="202" t="s">
        <v>490</v>
      </c>
      <c r="B5" s="882" t="str">
        <f>+'Note 1'!B5</f>
        <v>007768007</v>
      </c>
      <c r="C5" s="882"/>
      <c r="D5" s="860"/>
      <c r="E5" s="881"/>
      <c r="F5" s="221"/>
    </row>
    <row r="6" spans="1:6" ht="8.15" customHeight="1"/>
    <row r="7" spans="1:6" s="218" customFormat="1">
      <c r="A7" s="884" t="s">
        <v>541</v>
      </c>
      <c r="B7" s="211" t="s">
        <v>128</v>
      </c>
      <c r="C7" s="211" t="s">
        <v>445</v>
      </c>
      <c r="D7" s="211" t="s">
        <v>458</v>
      </c>
      <c r="E7" s="211" t="s">
        <v>568</v>
      </c>
      <c r="F7" s="222"/>
    </row>
    <row r="8" spans="1:6" s="218" customFormat="1" ht="27" customHeight="1">
      <c r="A8" s="885"/>
      <c r="B8" s="873" t="s">
        <v>577</v>
      </c>
      <c r="C8" s="873" t="s">
        <v>578</v>
      </c>
      <c r="D8" s="876" t="s">
        <v>579</v>
      </c>
      <c r="E8" s="883" t="s">
        <v>580</v>
      </c>
      <c r="F8" s="222"/>
    </row>
    <row r="9" spans="1:6" s="218" customFormat="1" ht="27" customHeight="1">
      <c r="A9" s="886"/>
      <c r="B9" s="869"/>
      <c r="C9" s="869"/>
      <c r="D9" s="895"/>
      <c r="E9" s="874"/>
      <c r="F9" s="222"/>
    </row>
    <row r="10" spans="1:6">
      <c r="A10" s="362" t="s">
        <v>233</v>
      </c>
      <c r="B10" s="205"/>
      <c r="C10" s="205"/>
      <c r="D10" s="205"/>
      <c r="E10" s="205"/>
    </row>
    <row r="11" spans="1:6">
      <c r="A11" s="362" t="s">
        <v>237</v>
      </c>
      <c r="B11" s="205">
        <v>22190958</v>
      </c>
      <c r="C11" s="205">
        <v>30439817</v>
      </c>
      <c r="D11" s="205">
        <v>0</v>
      </c>
      <c r="E11" s="205">
        <v>52630775</v>
      </c>
    </row>
    <row r="12" spans="1:6">
      <c r="A12" s="362" t="s">
        <v>241</v>
      </c>
      <c r="B12" s="205"/>
      <c r="C12" s="205"/>
      <c r="D12" s="205"/>
      <c r="E12" s="205"/>
    </row>
    <row r="13" spans="1:6">
      <c r="A13" s="362" t="s">
        <v>246</v>
      </c>
      <c r="B13" s="205"/>
      <c r="C13" s="205"/>
      <c r="D13" s="205"/>
      <c r="E13" s="205"/>
    </row>
    <row r="14" spans="1:6" ht="26">
      <c r="A14" s="377" t="s">
        <v>570</v>
      </c>
      <c r="B14" s="207">
        <v>22190958</v>
      </c>
      <c r="C14" s="207">
        <v>30439817</v>
      </c>
      <c r="D14" s="207">
        <v>0</v>
      </c>
      <c r="E14" s="207">
        <v>52630775</v>
      </c>
    </row>
    <row r="15" spans="1:6">
      <c r="A15" s="363" t="s">
        <v>548</v>
      </c>
      <c r="B15" s="205"/>
      <c r="C15" s="205"/>
      <c r="D15" s="205"/>
      <c r="E15" s="205"/>
    </row>
    <row r="16" spans="1:6">
      <c r="A16" s="363" t="s">
        <v>549</v>
      </c>
      <c r="B16" s="205"/>
      <c r="C16" s="205"/>
      <c r="D16" s="205"/>
      <c r="E16" s="205"/>
    </row>
    <row r="17" spans="1:5">
      <c r="A17" s="363" t="s">
        <v>550</v>
      </c>
      <c r="B17" s="205"/>
      <c r="C17" s="205"/>
      <c r="D17" s="205"/>
      <c r="E17" s="205"/>
    </row>
    <row r="18" spans="1:5" ht="15.75" customHeight="1">
      <c r="A18" s="363" t="s">
        <v>551</v>
      </c>
      <c r="B18" s="205"/>
      <c r="C18" s="205"/>
      <c r="D18" s="205"/>
      <c r="E18" s="205"/>
    </row>
    <row r="19" spans="1:5">
      <c r="A19" s="362" t="s">
        <v>262</v>
      </c>
      <c r="B19" s="205">
        <v>37310692</v>
      </c>
      <c r="C19" s="205">
        <v>42483292</v>
      </c>
      <c r="D19" s="205">
        <v>0</v>
      </c>
      <c r="E19" s="205">
        <v>79793984</v>
      </c>
    </row>
    <row r="20" spans="1:5">
      <c r="A20" s="363" t="s">
        <v>266</v>
      </c>
      <c r="B20" s="205">
        <v>36073870</v>
      </c>
      <c r="C20" s="343">
        <v>41813220</v>
      </c>
      <c r="D20" s="205">
        <v>0</v>
      </c>
      <c r="E20" s="205">
        <v>77887090</v>
      </c>
    </row>
    <row r="21" spans="1:5">
      <c r="A21" s="363" t="s">
        <v>270</v>
      </c>
      <c r="B21" s="205">
        <v>37381612</v>
      </c>
      <c r="C21" s="343">
        <v>48609559</v>
      </c>
      <c r="D21" s="205">
        <v>0</v>
      </c>
      <c r="E21" s="205">
        <v>85991171</v>
      </c>
    </row>
    <row r="22" spans="1:5">
      <c r="A22" s="377" t="s">
        <v>573</v>
      </c>
      <c r="B22" s="404">
        <v>110766174</v>
      </c>
      <c r="C22" s="404">
        <v>132906071</v>
      </c>
      <c r="D22" s="404">
        <v>0</v>
      </c>
      <c r="E22" s="404">
        <v>243672245</v>
      </c>
    </row>
    <row r="23" spans="1:5" s="219" customFormat="1">
      <c r="A23" s="365"/>
      <c r="B23" s="538"/>
      <c r="C23" s="538"/>
      <c r="D23" s="538"/>
      <c r="E23" s="539"/>
    </row>
    <row r="24" spans="1:5" ht="20.149999999999999" customHeight="1">
      <c r="A24" s="378" t="s">
        <v>338</v>
      </c>
      <c r="B24" s="406">
        <v>132957132</v>
      </c>
      <c r="C24" s="406">
        <v>163345888</v>
      </c>
      <c r="D24" s="406">
        <v>0</v>
      </c>
      <c r="E24" s="406">
        <v>296303020</v>
      </c>
    </row>
    <row r="25" spans="1:5">
      <c r="A25" s="379" t="s">
        <v>529</v>
      </c>
    </row>
    <row r="26" spans="1:5">
      <c r="A26" s="213" t="s">
        <v>558</v>
      </c>
    </row>
    <row r="27" spans="1:5">
      <c r="A27" s="216" t="s">
        <v>581</v>
      </c>
    </row>
    <row r="28" spans="1:5">
      <c r="A28" s="216" t="s">
        <v>582</v>
      </c>
    </row>
    <row r="30" spans="1:5">
      <c r="A30" s="698" t="s">
        <v>1577</v>
      </c>
      <c r="B30" s="698" t="s">
        <v>1578</v>
      </c>
      <c r="C30" s="698" t="s">
        <v>1579</v>
      </c>
    </row>
    <row r="31" spans="1:5">
      <c r="A31" s="698"/>
      <c r="B31" s="698"/>
      <c r="C31" s="698"/>
    </row>
    <row r="32" spans="1:5">
      <c r="A32" s="698" t="s">
        <v>553</v>
      </c>
      <c r="B32" s="698" t="s">
        <v>1580</v>
      </c>
      <c r="C32" s="698" t="s">
        <v>1581</v>
      </c>
    </row>
    <row r="33" spans="1:3">
      <c r="A33" s="698" t="s">
        <v>1582</v>
      </c>
      <c r="B33" s="698" t="s">
        <v>1580</v>
      </c>
      <c r="C33" s="698" t="s">
        <v>1583</v>
      </c>
    </row>
    <row r="34" spans="1:3">
      <c r="A34" s="698" t="s">
        <v>1584</v>
      </c>
      <c r="B34" s="698" t="s">
        <v>1580</v>
      </c>
      <c r="C34" s="698" t="s">
        <v>1581</v>
      </c>
    </row>
    <row r="35" spans="1:3">
      <c r="A35" s="698" t="s">
        <v>1585</v>
      </c>
      <c r="B35" s="698" t="s">
        <v>1580</v>
      </c>
      <c r="C35" s="698" t="s">
        <v>1586</v>
      </c>
    </row>
    <row r="36" spans="1:3">
      <c r="A36" s="698" t="s">
        <v>1587</v>
      </c>
      <c r="B36" s="698" t="s">
        <v>1580</v>
      </c>
      <c r="C36" s="698" t="s">
        <v>1586</v>
      </c>
    </row>
    <row r="37" spans="1:3">
      <c r="A37" s="698" t="s">
        <v>1588</v>
      </c>
      <c r="B37" s="698" t="s">
        <v>1580</v>
      </c>
      <c r="C37" s="698" t="s">
        <v>1583</v>
      </c>
    </row>
  </sheetData>
  <sheetProtection sheet="false"/>
  <mergeCells count="11">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xr:uid="{00000000-0002-0000-0C00-000000000000}"/>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E34"/>
  <sheetViews>
    <sheetView workbookViewId="0">
      <selection activeCell="E4" sqref="E4:E5"/>
    </sheetView>
  </sheetViews>
  <sheetFormatPr baseColWidth="10" defaultColWidth="11.19921875" defaultRowHeight="14.5"/>
  <cols>
    <col min="1" max="1" customWidth="true" style="460" width="45.69921875" collapsed="true"/>
    <col min="2" max="2" customWidth="true" style="460" width="20.296875" collapsed="true"/>
    <col min="3" max="3" customWidth="true" style="460" width="20.8984375" collapsed="true"/>
    <col min="4" max="4" customWidth="true" style="460" width="21.796875" collapsed="true"/>
    <col min="5" max="5" customWidth="true" style="460" width="22.09765625" collapsed="true"/>
    <col min="6" max="16384" style="460" width="11.19921875" collapsed="true"/>
  </cols>
  <sheetData>
    <row r="1" spans="1:5" ht="18.5">
      <c r="A1" s="896" t="s">
        <v>1526</v>
      </c>
      <c r="B1" s="896"/>
      <c r="C1" s="896"/>
      <c r="D1" s="896"/>
      <c r="E1" s="896"/>
    </row>
    <row r="2" spans="1:5">
      <c r="A2" s="461"/>
      <c r="B2" s="461"/>
      <c r="C2" s="461"/>
      <c r="D2" s="461"/>
      <c r="E2" s="461"/>
    </row>
    <row r="3" spans="1:5">
      <c r="A3" s="897" t="s">
        <v>487</v>
      </c>
      <c r="B3" s="897"/>
      <c r="C3" s="897"/>
      <c r="D3" s="461" t="s">
        <v>488</v>
      </c>
      <c r="E3" s="462">
        <f>+'Note 1'!E3</f>
        <v>44926</v>
      </c>
    </row>
    <row r="4" spans="1:5">
      <c r="A4" s="898" t="str">
        <f>+'Note 1'!A4</f>
        <v>IAMGOLD BOTO SA</v>
      </c>
      <c r="B4" s="898"/>
      <c r="C4" s="898"/>
      <c r="D4" s="899" t="s">
        <v>489</v>
      </c>
      <c r="E4" s="900">
        <f>+'Note 1'!E4</f>
        <v>12</v>
      </c>
    </row>
    <row r="5" spans="1:5">
      <c r="A5" s="461" t="s">
        <v>490</v>
      </c>
      <c r="B5" s="902" t="str">
        <f>+'Note 1'!B5</f>
        <v>007768007</v>
      </c>
      <c r="C5" s="902"/>
      <c r="D5" s="899"/>
      <c r="E5" s="901"/>
    </row>
    <row r="6" spans="1:5" ht="13.5" customHeight="1">
      <c r="A6" s="461"/>
      <c r="B6" s="461"/>
      <c r="C6" s="461"/>
      <c r="D6" s="461"/>
      <c r="E6" s="461"/>
    </row>
    <row r="7" spans="1:5">
      <c r="A7" s="903" t="s">
        <v>541</v>
      </c>
      <c r="B7" s="565" t="s">
        <v>128</v>
      </c>
      <c r="C7" s="565" t="s">
        <v>445</v>
      </c>
      <c r="D7" s="565" t="s">
        <v>458</v>
      </c>
      <c r="E7" s="565" t="s">
        <v>568</v>
      </c>
    </row>
    <row r="8" spans="1:5" ht="25" customHeight="1">
      <c r="A8" s="904"/>
      <c r="B8" s="906" t="s">
        <v>577</v>
      </c>
      <c r="C8" s="906" t="s">
        <v>578</v>
      </c>
      <c r="D8" s="908" t="s">
        <v>579</v>
      </c>
      <c r="E8" s="910" t="s">
        <v>580</v>
      </c>
    </row>
    <row r="9" spans="1:5" ht="34.5" customHeight="1">
      <c r="A9" s="905"/>
      <c r="B9" s="907"/>
      <c r="C9" s="907"/>
      <c r="D9" s="909"/>
      <c r="E9" s="911"/>
    </row>
    <row r="10" spans="1:5" ht="26.25" customHeight="1">
      <c r="A10" s="566" t="s">
        <v>233</v>
      </c>
      <c r="B10" s="469"/>
      <c r="C10" s="469"/>
      <c r="D10" s="469"/>
      <c r="E10" s="469"/>
    </row>
    <row r="11" spans="1:5" ht="22.5" customHeight="1">
      <c r="A11" s="566" t="s">
        <v>237</v>
      </c>
      <c r="B11" s="469"/>
      <c r="C11" s="469"/>
      <c r="D11" s="469"/>
      <c r="E11" s="469"/>
    </row>
    <row r="12" spans="1:5" ht="21" customHeight="1">
      <c r="A12" s="566" t="s">
        <v>241</v>
      </c>
      <c r="B12" s="469"/>
      <c r="C12" s="469"/>
      <c r="D12" s="469"/>
      <c r="E12" s="469"/>
    </row>
    <row r="13" spans="1:5" ht="21.75" customHeight="1">
      <c r="A13" s="566" t="s">
        <v>246</v>
      </c>
      <c r="B13" s="469"/>
      <c r="C13" s="469"/>
      <c r="D13" s="469"/>
      <c r="E13" s="469"/>
    </row>
    <row r="14" spans="1:5" ht="22.5" customHeight="1">
      <c r="A14" s="567" t="s">
        <v>570</v>
      </c>
      <c r="B14" s="568"/>
      <c r="C14" s="568"/>
      <c r="D14" s="568"/>
      <c r="E14" s="568"/>
    </row>
    <row r="15" spans="1:5">
      <c r="A15" s="569" t="s">
        <v>548</v>
      </c>
      <c r="B15" s="469"/>
      <c r="C15" s="469"/>
      <c r="D15" s="469"/>
      <c r="E15" s="469"/>
    </row>
    <row r="16" spans="1:5">
      <c r="A16" s="569" t="s">
        <v>549</v>
      </c>
      <c r="B16" s="469"/>
      <c r="C16" s="469"/>
      <c r="D16" s="469"/>
      <c r="E16" s="469"/>
    </row>
    <row r="17" spans="1:5">
      <c r="A17" s="569" t="s">
        <v>550</v>
      </c>
      <c r="B17" s="469"/>
      <c r="C17" s="469"/>
      <c r="D17" s="469"/>
      <c r="E17" s="469"/>
    </row>
    <row r="18" spans="1:5">
      <c r="A18" s="569" t="s">
        <v>551</v>
      </c>
      <c r="B18" s="469"/>
      <c r="C18" s="469"/>
      <c r="D18" s="469"/>
      <c r="E18" s="469"/>
    </row>
    <row r="19" spans="1:5" ht="24" customHeight="1">
      <c r="A19" s="566" t="s">
        <v>262</v>
      </c>
      <c r="B19" s="469"/>
      <c r="C19" s="469"/>
      <c r="D19" s="469"/>
      <c r="E19" s="469"/>
    </row>
    <row r="20" spans="1:5">
      <c r="A20" s="569" t="s">
        <v>266</v>
      </c>
      <c r="B20" s="469"/>
      <c r="C20" s="570"/>
      <c r="D20" s="469"/>
      <c r="E20" s="469"/>
    </row>
    <row r="21" spans="1:5">
      <c r="A21" s="569" t="s">
        <v>270</v>
      </c>
      <c r="B21" s="469"/>
      <c r="C21" s="570"/>
      <c r="D21" s="469"/>
      <c r="E21" s="469"/>
    </row>
    <row r="22" spans="1:5" ht="24" customHeight="1">
      <c r="A22" s="567" t="s">
        <v>573</v>
      </c>
      <c r="B22" s="571"/>
      <c r="C22" s="571"/>
      <c r="D22" s="571"/>
      <c r="E22" s="571"/>
    </row>
    <row r="23" spans="1:5" ht="26">
      <c r="A23" s="566" t="s">
        <v>1527</v>
      </c>
      <c r="B23" s="469"/>
      <c r="C23" s="469"/>
      <c r="D23" s="469"/>
      <c r="E23" s="469"/>
    </row>
    <row r="24" spans="1:5" ht="26">
      <c r="A24" s="566" t="s">
        <v>1528</v>
      </c>
      <c r="B24" s="469"/>
      <c r="C24" s="469"/>
      <c r="D24" s="469"/>
      <c r="E24" s="469"/>
    </row>
    <row r="25" spans="1:5">
      <c r="A25" s="567" t="s">
        <v>1529</v>
      </c>
      <c r="B25" s="571"/>
      <c r="C25" s="571"/>
      <c r="D25" s="571"/>
      <c r="E25" s="571"/>
    </row>
    <row r="26" spans="1:5">
      <c r="A26" s="569" t="s">
        <v>1530</v>
      </c>
      <c r="B26" s="469"/>
      <c r="C26" s="469"/>
      <c r="D26" s="469"/>
      <c r="E26" s="469"/>
    </row>
    <row r="27" spans="1:5">
      <c r="A27" s="569" t="s">
        <v>1531</v>
      </c>
      <c r="B27" s="469"/>
      <c r="C27" s="469"/>
      <c r="D27" s="469"/>
      <c r="E27" s="469"/>
    </row>
    <row r="28" spans="1:5">
      <c r="A28" s="567" t="s">
        <v>592</v>
      </c>
      <c r="B28" s="571"/>
      <c r="C28" s="571"/>
      <c r="D28" s="571"/>
      <c r="E28" s="571"/>
    </row>
    <row r="29" spans="1:5">
      <c r="A29" s="569"/>
      <c r="B29" s="469"/>
      <c r="C29" s="469"/>
      <c r="D29" s="469"/>
      <c r="E29" s="469"/>
    </row>
    <row r="30" spans="1:5">
      <c r="A30" s="572" t="s">
        <v>338</v>
      </c>
      <c r="B30" s="573"/>
      <c r="C30" s="573"/>
      <c r="D30" s="573"/>
      <c r="E30" s="573"/>
    </row>
    <row r="31" spans="1:5">
      <c r="A31" s="463" t="s">
        <v>529</v>
      </c>
      <c r="B31" s="461"/>
      <c r="C31" s="461"/>
      <c r="D31" s="461"/>
      <c r="E31" s="461"/>
    </row>
    <row r="32" spans="1:5">
      <c r="A32" s="464" t="s">
        <v>558</v>
      </c>
      <c r="B32" s="461"/>
      <c r="C32" s="461"/>
      <c r="D32" s="461"/>
      <c r="E32" s="461"/>
    </row>
    <row r="33" spans="1:5">
      <c r="A33" s="465" t="s">
        <v>581</v>
      </c>
      <c r="B33" s="461"/>
      <c r="C33" s="461"/>
      <c r="D33" s="461"/>
      <c r="E33" s="461"/>
    </row>
    <row r="34" spans="1:5">
      <c r="A34" s="465" t="s">
        <v>582</v>
      </c>
      <c r="B34" s="461"/>
      <c r="C34" s="461"/>
      <c r="D34" s="461"/>
      <c r="E34" s="461"/>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30" xr:uid="{00000000-0002-0000-0D00-000000000000}"/>
  </dataValidation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27"/>
  <sheetViews>
    <sheetView workbookViewId="0">
      <selection activeCell="H39" sqref="H39"/>
    </sheetView>
  </sheetViews>
  <sheetFormatPr baseColWidth="10" defaultColWidth="12" defaultRowHeight="13"/>
  <cols>
    <col min="1" max="1" customWidth="true" style="202" width="41.19921875" collapsed="true"/>
    <col min="2" max="6" customWidth="true" style="202" width="18.296875" collapsed="true"/>
    <col min="7" max="16384" style="202" width="12.0" collapsed="true"/>
  </cols>
  <sheetData>
    <row r="1" spans="1:6" ht="18.5">
      <c r="A1" s="856" t="s">
        <v>583</v>
      </c>
      <c r="B1" s="856"/>
      <c r="C1" s="856"/>
      <c r="D1" s="856"/>
      <c r="E1" s="856"/>
      <c r="F1" s="856"/>
    </row>
    <row r="2" spans="1:6" ht="8.15" customHeight="1"/>
    <row r="3" spans="1:6" ht="12.75" customHeight="1">
      <c r="A3" s="857" t="s">
        <v>487</v>
      </c>
      <c r="B3" s="857"/>
      <c r="C3" s="857"/>
      <c r="D3" s="202" t="s">
        <v>488</v>
      </c>
      <c r="E3" s="878">
        <f>+'Note 1'!E3</f>
        <v>44926</v>
      </c>
      <c r="F3" s="892"/>
    </row>
    <row r="4" spans="1:6" ht="15" customHeight="1">
      <c r="A4" s="864" t="str">
        <f>+'Note 1'!A4</f>
        <v>IAMGOLD BOTO SA</v>
      </c>
      <c r="B4" s="864"/>
      <c r="C4" s="864"/>
      <c r="D4" s="860" t="s">
        <v>489</v>
      </c>
      <c r="E4" s="893">
        <f>+'Note 1'!E4</f>
        <v>12</v>
      </c>
      <c r="F4" s="893"/>
    </row>
    <row r="5" spans="1:6" ht="15" customHeight="1">
      <c r="A5" s="202" t="s">
        <v>490</v>
      </c>
      <c r="B5" s="882" t="str">
        <f>+'Note 1'!B5</f>
        <v>007768007</v>
      </c>
      <c r="C5" s="882"/>
      <c r="D5" s="860"/>
      <c r="E5" s="894"/>
      <c r="F5" s="894"/>
    </row>
    <row r="6" spans="1:6" ht="8.15" customHeight="1"/>
    <row r="7" spans="1:6" ht="20.149999999999999" customHeight="1">
      <c r="A7" s="223"/>
      <c r="B7" s="533" t="s">
        <v>584</v>
      </c>
      <c r="C7" s="533" t="s">
        <v>585</v>
      </c>
      <c r="D7" s="883" t="s">
        <v>586</v>
      </c>
      <c r="E7" s="883" t="s">
        <v>587</v>
      </c>
      <c r="F7" s="883" t="s">
        <v>588</v>
      </c>
    </row>
    <row r="8" spans="1:6" ht="20.149999999999999" customHeight="1">
      <c r="A8" s="224"/>
      <c r="B8" s="534"/>
      <c r="C8" s="534" t="s">
        <v>589</v>
      </c>
      <c r="D8" s="873"/>
      <c r="E8" s="873"/>
      <c r="F8" s="873"/>
    </row>
    <row r="9" spans="1:6" ht="20.149999999999999" customHeight="1">
      <c r="A9" s="225"/>
      <c r="B9" s="534" t="s">
        <v>128</v>
      </c>
      <c r="C9" s="535" t="s">
        <v>445</v>
      </c>
      <c r="D9" s="535" t="s">
        <v>590</v>
      </c>
      <c r="E9" s="535" t="s">
        <v>469</v>
      </c>
      <c r="F9" s="535" t="s">
        <v>591</v>
      </c>
    </row>
    <row r="10" spans="1:6">
      <c r="A10" s="362" t="s">
        <v>233</v>
      </c>
      <c r="B10" s="205"/>
      <c r="C10" s="205"/>
      <c r="D10" s="205"/>
      <c r="E10" s="205"/>
      <c r="F10" s="205"/>
    </row>
    <row r="11" spans="1:6">
      <c r="A11" s="362" t="s">
        <v>237</v>
      </c>
      <c r="B11" s="205"/>
      <c r="C11" s="205"/>
      <c r="D11" s="205"/>
      <c r="E11" s="205"/>
      <c r="F11" s="205"/>
    </row>
    <row r="12" spans="1:6">
      <c r="A12" s="362" t="s">
        <v>241</v>
      </c>
      <c r="B12" s="205"/>
      <c r="C12" s="205"/>
      <c r="D12" s="205"/>
      <c r="E12" s="205"/>
      <c r="F12" s="205"/>
    </row>
    <row r="13" spans="1:6">
      <c r="A13" s="362" t="s">
        <v>246</v>
      </c>
      <c r="B13" s="205"/>
      <c r="C13" s="205"/>
      <c r="D13" s="205"/>
      <c r="E13" s="205"/>
      <c r="F13" s="205"/>
    </row>
    <row r="14" spans="1:6" ht="26">
      <c r="A14" s="377" t="s">
        <v>570</v>
      </c>
      <c r="B14" s="207"/>
      <c r="C14" s="207"/>
      <c r="D14" s="207"/>
      <c r="E14" s="207"/>
      <c r="F14" s="207"/>
    </row>
    <row r="15" spans="1:6">
      <c r="A15" s="363" t="s">
        <v>571</v>
      </c>
      <c r="B15" s="205"/>
      <c r="C15" s="205"/>
      <c r="D15" s="205"/>
      <c r="E15" s="205"/>
      <c r="F15" s="205"/>
    </row>
    <row r="16" spans="1:6">
      <c r="A16" s="363" t="s">
        <v>572</v>
      </c>
      <c r="B16" s="205"/>
      <c r="C16" s="205"/>
      <c r="D16" s="205"/>
      <c r="E16" s="205"/>
      <c r="F16" s="205"/>
    </row>
    <row r="17" spans="1:6">
      <c r="A17" s="362" t="s">
        <v>262</v>
      </c>
      <c r="B17" s="205"/>
      <c r="C17" s="205"/>
      <c r="D17" s="205"/>
      <c r="E17" s="205"/>
      <c r="F17" s="205"/>
    </row>
    <row r="18" spans="1:6">
      <c r="A18" s="363" t="s">
        <v>266</v>
      </c>
      <c r="B18" s="205"/>
      <c r="C18" s="205"/>
      <c r="D18" s="205"/>
      <c r="E18" s="205"/>
      <c r="F18" s="205"/>
    </row>
    <row r="19" spans="1:6">
      <c r="A19" s="363" t="s">
        <v>270</v>
      </c>
      <c r="B19" s="205"/>
      <c r="C19" s="205"/>
      <c r="D19" s="205"/>
      <c r="E19" s="205"/>
      <c r="F19" s="205"/>
    </row>
    <row r="20" spans="1:6">
      <c r="A20" s="377" t="s">
        <v>573</v>
      </c>
      <c r="B20" s="207"/>
      <c r="C20" s="207"/>
      <c r="D20" s="207"/>
      <c r="E20" s="207"/>
      <c r="F20" s="207"/>
    </row>
    <row r="21" spans="1:6">
      <c r="A21" s="363" t="s">
        <v>320</v>
      </c>
      <c r="B21" s="205"/>
      <c r="C21" s="205"/>
      <c r="D21" s="205"/>
      <c r="E21" s="205"/>
      <c r="F21" s="205"/>
    </row>
    <row r="22" spans="1:6">
      <c r="A22" s="363" t="s">
        <v>285</v>
      </c>
      <c r="B22" s="205"/>
      <c r="C22" s="205"/>
      <c r="D22" s="205"/>
      <c r="E22" s="205"/>
      <c r="F22" s="205"/>
    </row>
    <row r="23" spans="1:6">
      <c r="A23" s="377" t="s">
        <v>592</v>
      </c>
      <c r="B23" s="207"/>
      <c r="C23" s="207"/>
      <c r="D23" s="207"/>
      <c r="E23" s="207"/>
      <c r="F23" s="207"/>
    </row>
    <row r="24" spans="1:6" s="219" customFormat="1">
      <c r="A24" s="365"/>
      <c r="B24" s="538"/>
      <c r="C24" s="538"/>
      <c r="D24" s="538"/>
      <c r="E24" s="538"/>
      <c r="F24" s="539"/>
    </row>
    <row r="25" spans="1:6" ht="20.149999999999999" customHeight="1">
      <c r="A25" s="378" t="s">
        <v>338</v>
      </c>
      <c r="B25" s="215"/>
      <c r="C25" s="215"/>
      <c r="D25" s="215"/>
      <c r="E25" s="215"/>
      <c r="F25" s="215"/>
    </row>
    <row r="26" spans="1:6">
      <c r="A26" s="379" t="s">
        <v>529</v>
      </c>
    </row>
    <row r="27" spans="1:6">
      <c r="A27" s="213" t="s">
        <v>593</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00000000-0002-0000-0E00-000000000000}"/>
  </dataValidations>
  <pageMargins left="0.7" right="0.7" top="0.75" bottom="0.75" header="0.3" footer="0.3"/>
  <pageSetup paperSize="9" orientation="landscape"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D28"/>
  <sheetViews>
    <sheetView workbookViewId="0">
      <selection activeCell="D3" sqref="D3"/>
    </sheetView>
  </sheetViews>
  <sheetFormatPr baseColWidth="10" defaultColWidth="12" defaultRowHeight="13"/>
  <cols>
    <col min="1" max="1" customWidth="true" style="202" width="41.19921875" collapsed="true"/>
    <col min="2" max="2" customWidth="true" style="202" width="37.796875" collapsed="true"/>
    <col min="3" max="3" customWidth="true" style="202" width="41.3984375" collapsed="true"/>
    <col min="4" max="16384" style="202" width="12.0" collapsed="true"/>
  </cols>
  <sheetData>
    <row r="1" spans="1:4" ht="18.5">
      <c r="A1" s="856" t="s">
        <v>594</v>
      </c>
      <c r="B1" s="856"/>
      <c r="C1" s="856"/>
    </row>
    <row r="3" spans="1:4" ht="12.75" customHeight="1">
      <c r="A3" s="857" t="s">
        <v>487</v>
      </c>
      <c r="B3" s="857"/>
      <c r="C3" s="202" t="s">
        <v>488</v>
      </c>
      <c r="D3" s="351">
        <f>+'Note 1'!E3</f>
        <v>44926</v>
      </c>
    </row>
    <row r="4" spans="1:4" ht="15" customHeight="1">
      <c r="A4" s="864" t="str">
        <f>+'Note 1'!A4</f>
        <v>IAMGOLD BOTO SA</v>
      </c>
      <c r="B4" s="864"/>
      <c r="C4" s="860" t="s">
        <v>489</v>
      </c>
      <c r="D4" s="202">
        <f>+'Note 1'!E4</f>
        <v>12</v>
      </c>
    </row>
    <row r="5" spans="1:4" ht="15" customHeight="1">
      <c r="A5" s="202" t="s">
        <v>490</v>
      </c>
      <c r="B5" s="450" t="str">
        <f>+'Note 1'!B5</f>
        <v>007768007</v>
      </c>
      <c r="C5" s="860"/>
    </row>
    <row r="7" spans="1:4">
      <c r="A7" s="226" t="s">
        <v>595</v>
      </c>
      <c r="B7" s="227"/>
      <c r="C7" s="574"/>
    </row>
    <row r="8" spans="1:4" ht="12.75" customHeight="1">
      <c r="A8" s="918"/>
      <c r="B8" s="919"/>
      <c r="C8" s="920"/>
    </row>
    <row r="9" spans="1:4" ht="12.75" customHeight="1">
      <c r="A9" s="918"/>
      <c r="B9" s="919"/>
      <c r="C9" s="920"/>
    </row>
    <row r="10" spans="1:4" ht="12.75" customHeight="1">
      <c r="A10" s="918"/>
      <c r="B10" s="919"/>
      <c r="C10" s="920"/>
    </row>
    <row r="11" spans="1:4" ht="12.75" customHeight="1">
      <c r="A11" s="918"/>
      <c r="B11" s="919"/>
      <c r="C11" s="920"/>
    </row>
    <row r="12" spans="1:4" ht="12.75" customHeight="1">
      <c r="A12" s="912"/>
      <c r="B12" s="913"/>
      <c r="C12" s="914"/>
    </row>
    <row r="13" spans="1:4" s="218" customFormat="1">
      <c r="A13" s="346" t="s">
        <v>596</v>
      </c>
      <c r="B13" s="532" t="s">
        <v>597</v>
      </c>
      <c r="C13" s="575" t="s">
        <v>598</v>
      </c>
    </row>
    <row r="14" spans="1:4" s="218" customFormat="1" ht="15" customHeight="1">
      <c r="A14" s="345"/>
      <c r="B14" s="345"/>
      <c r="C14" s="576"/>
    </row>
    <row r="15" spans="1:4" s="218" customFormat="1" ht="15" customHeight="1">
      <c r="A15" s="344"/>
      <c r="B15" s="344"/>
      <c r="C15" s="577"/>
    </row>
    <row r="16" spans="1:4" s="218" customFormat="1" ht="15" customHeight="1">
      <c r="A16" s="344"/>
      <c r="B16" s="344"/>
      <c r="C16" s="577"/>
    </row>
    <row r="17" spans="1:3" s="218" customFormat="1" ht="15" customHeight="1">
      <c r="A17" s="344"/>
      <c r="B17" s="344"/>
      <c r="C17" s="577"/>
    </row>
    <row r="18" spans="1:3" s="218" customFormat="1" ht="15" customHeight="1">
      <c r="A18" s="344"/>
      <c r="B18" s="344"/>
      <c r="C18" s="577"/>
    </row>
    <row r="19" spans="1:3" s="218" customFormat="1" ht="15" customHeight="1">
      <c r="A19" s="344"/>
      <c r="B19" s="344"/>
      <c r="C19" s="577"/>
    </row>
    <row r="20" spans="1:3" s="218" customFormat="1" ht="15" customHeight="1">
      <c r="A20" s="344"/>
      <c r="B20" s="344"/>
      <c r="C20" s="577"/>
    </row>
    <row r="21" spans="1:3" s="218" customFormat="1" ht="15" customHeight="1">
      <c r="A21" s="347"/>
      <c r="B21" s="347"/>
      <c r="C21" s="578"/>
    </row>
    <row r="22" spans="1:3">
      <c r="A22" s="226" t="s">
        <v>599</v>
      </c>
      <c r="B22" s="227"/>
      <c r="C22" s="574"/>
    </row>
    <row r="23" spans="1:3" ht="45" customHeight="1">
      <c r="A23" s="912"/>
      <c r="B23" s="913"/>
      <c r="C23" s="914"/>
    </row>
    <row r="24" spans="1:3">
      <c r="A24" s="226" t="s">
        <v>600</v>
      </c>
      <c r="B24" s="227"/>
      <c r="C24" s="574"/>
    </row>
    <row r="25" spans="1:3" ht="15" customHeight="1">
      <c r="A25" s="228" t="s">
        <v>601</v>
      </c>
      <c r="B25" s="219"/>
      <c r="C25" s="579"/>
    </row>
    <row r="26" spans="1:3" ht="54" customHeight="1">
      <c r="A26" s="915"/>
      <c r="B26" s="916"/>
      <c r="C26" s="917"/>
    </row>
    <row r="27" spans="1:3" s="218" customFormat="1" ht="20.25" customHeight="1">
      <c r="A27" s="229" t="s">
        <v>602</v>
      </c>
      <c r="B27" s="230"/>
      <c r="C27" s="208"/>
    </row>
    <row r="28" spans="1:3" s="222" customFormat="1" ht="20.149999999999999" customHeight="1">
      <c r="A28" s="231"/>
      <c r="B28" s="231"/>
      <c r="C28" s="232"/>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pageSetUpPr fitToPage="1"/>
  </sheetPr>
  <dimension ref="A1:H46"/>
  <sheetViews>
    <sheetView workbookViewId="0">
      <selection activeCell="A5" sqref="A5"/>
    </sheetView>
  </sheetViews>
  <sheetFormatPr baseColWidth="10" defaultColWidth="12" defaultRowHeight="13"/>
  <cols>
    <col min="1" max="1" customWidth="true" style="202" width="36.3984375" collapsed="true"/>
    <col min="2" max="2" customWidth="true" style="202" width="27.296875" collapsed="true"/>
    <col min="3" max="3" customWidth="true" style="202" width="20.796875" collapsed="true"/>
    <col min="4" max="4" customWidth="true" style="202" width="16.3984375" collapsed="true"/>
    <col min="5" max="5" customWidth="true" style="202" width="22.296875" collapsed="true"/>
    <col min="6" max="6" customWidth="true" style="202" width="18.69921875" collapsed="true"/>
    <col min="7" max="7" customWidth="true" style="202" width="18.296875" collapsed="true"/>
    <col min="8" max="8" customWidth="true" style="202" width="16.69921875" collapsed="true"/>
    <col min="9" max="16384" style="202" width="12.0" collapsed="true"/>
  </cols>
  <sheetData>
    <row r="1" spans="1:8" ht="18.5">
      <c r="A1" s="856" t="s">
        <v>603</v>
      </c>
      <c r="B1" s="856"/>
      <c r="C1" s="856"/>
      <c r="D1" s="856"/>
      <c r="E1" s="856"/>
      <c r="F1" s="856"/>
      <c r="G1" s="856"/>
      <c r="H1" s="856"/>
    </row>
    <row r="2" spans="1:8" ht="8.15" customHeight="1"/>
    <row r="3" spans="1:8" ht="12.75" customHeight="1">
      <c r="A3" s="857" t="s">
        <v>487</v>
      </c>
      <c r="B3" s="857"/>
      <c r="C3" s="857"/>
      <c r="D3" s="523"/>
      <c r="F3" s="214"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233" t="s">
        <v>541</v>
      </c>
      <c r="B7" s="883" t="s">
        <v>1592</v>
      </c>
      <c r="C7" s="883" t="s">
        <v>1593</v>
      </c>
      <c r="D7" s="883" t="s">
        <v>769</v>
      </c>
      <c r="E7" s="883" t="s">
        <v>606</v>
      </c>
      <c r="F7" s="931" t="s">
        <v>607</v>
      </c>
      <c r="G7" s="931" t="s">
        <v>608</v>
      </c>
      <c r="H7" s="883" t="s">
        <v>609</v>
      </c>
    </row>
    <row r="8" spans="1:8" s="218" customFormat="1" ht="25.25" customHeight="1">
      <c r="A8" s="234"/>
      <c r="B8" s="874"/>
      <c r="C8" s="874"/>
      <c r="D8" s="874"/>
      <c r="E8" s="874"/>
      <c r="F8" s="877"/>
      <c r="G8" s="877"/>
      <c r="H8" s="874"/>
    </row>
    <row r="9" spans="1:8">
      <c r="A9" s="362" t="s">
        <v>281</v>
      </c>
      <c r="B9" s="205">
        <v>0</v>
      </c>
      <c r="C9" s="205">
        <v>0</v>
      </c>
      <c r="D9" s="205"/>
      <c r="E9" s="205"/>
      <c r="F9" s="205"/>
      <c r="G9" s="205"/>
      <c r="H9" s="205"/>
    </row>
    <row r="10" spans="1:8">
      <c r="A10" s="362" t="s">
        <v>610</v>
      </c>
      <c r="B10" s="205">
        <v>0</v>
      </c>
      <c r="C10" s="205">
        <v>0</v>
      </c>
      <c r="D10" s="205"/>
      <c r="E10" s="205"/>
      <c r="F10" s="205"/>
      <c r="G10" s="205"/>
      <c r="H10" s="205"/>
    </row>
    <row r="11" spans="1:8">
      <c r="A11" s="362" t="s">
        <v>611</v>
      </c>
      <c r="B11" s="205">
        <v>0</v>
      </c>
      <c r="C11" s="205">
        <v>0</v>
      </c>
      <c r="D11" s="205"/>
      <c r="E11" s="205"/>
      <c r="F11" s="205"/>
      <c r="G11" s="205"/>
      <c r="H11" s="205"/>
    </row>
    <row r="12" spans="1:8">
      <c r="A12" s="362" t="s">
        <v>612</v>
      </c>
      <c r="B12" s="205">
        <v>0</v>
      </c>
      <c r="C12" s="205">
        <v>0</v>
      </c>
      <c r="D12" s="205"/>
      <c r="E12" s="205"/>
      <c r="F12" s="205"/>
      <c r="G12" s="205"/>
      <c r="H12" s="205"/>
    </row>
    <row r="13" spans="1:8">
      <c r="A13" s="362" t="s">
        <v>1485</v>
      </c>
      <c r="B13" s="205">
        <v>0</v>
      </c>
      <c r="C13" s="205">
        <v>0</v>
      </c>
      <c r="D13" s="205"/>
      <c r="E13" s="205"/>
      <c r="F13" s="205"/>
      <c r="G13" s="205"/>
      <c r="H13" s="205"/>
    </row>
    <row r="14" spans="1:8">
      <c r="A14" s="363" t="s">
        <v>613</v>
      </c>
      <c r="B14" s="205">
        <v>0</v>
      </c>
      <c r="C14" s="205">
        <v>0</v>
      </c>
      <c r="D14" s="205"/>
      <c r="E14" s="205"/>
      <c r="F14" s="205"/>
      <c r="G14" s="205"/>
      <c r="H14" s="205"/>
    </row>
    <row r="15" spans="1:8">
      <c r="A15" s="363" t="s">
        <v>614</v>
      </c>
      <c r="B15" s="403">
        <v>1266202</v>
      </c>
      <c r="C15" s="403">
        <v>1266202</v>
      </c>
      <c r="D15" s="403"/>
      <c r="E15" s="407"/>
      <c r="F15" s="205"/>
      <c r="G15" s="205"/>
      <c r="H15" s="205"/>
    </row>
    <row r="16" spans="1:8">
      <c r="A16" s="363" t="s">
        <v>615</v>
      </c>
      <c r="B16" s="205">
        <v>0</v>
      </c>
      <c r="C16" s="205">
        <v>0</v>
      </c>
      <c r="D16" s="205"/>
      <c r="E16" s="205"/>
      <c r="F16" s="205"/>
      <c r="G16" s="205"/>
      <c r="H16" s="205"/>
    </row>
    <row r="17" spans="1:8" ht="27" customHeight="1">
      <c r="A17" s="362" t="s">
        <v>1486</v>
      </c>
      <c r="B17" s="205">
        <v>0</v>
      </c>
      <c r="C17" s="205">
        <v>0</v>
      </c>
      <c r="D17" s="205"/>
      <c r="E17" s="205"/>
      <c r="F17" s="205"/>
      <c r="G17" s="205"/>
      <c r="H17" s="205"/>
    </row>
    <row r="18" spans="1:8">
      <c r="A18" s="363" t="s">
        <v>1487</v>
      </c>
      <c r="B18" s="205">
        <v>0</v>
      </c>
      <c r="C18" s="205">
        <v>0</v>
      </c>
      <c r="D18" s="205"/>
      <c r="E18" s="205"/>
      <c r="F18" s="205"/>
      <c r="G18" s="205"/>
      <c r="H18" s="205"/>
    </row>
    <row r="19" spans="1:8">
      <c r="A19" s="377" t="s">
        <v>616</v>
      </c>
      <c r="B19" s="404">
        <v>1266202</v>
      </c>
      <c r="C19" s="404">
        <v>1266202</v>
      </c>
      <c r="D19" s="404"/>
      <c r="E19" s="408"/>
      <c r="F19" s="207"/>
      <c r="G19" s="207"/>
      <c r="H19" s="207"/>
    </row>
    <row r="20" spans="1:8">
      <c r="A20" s="363" t="s">
        <v>617</v>
      </c>
      <c r="B20" s="205"/>
      <c r="C20" s="205"/>
      <c r="D20" s="205"/>
      <c r="E20" s="205"/>
      <c r="F20" s="205"/>
      <c r="G20" s="205"/>
      <c r="H20" s="205"/>
    </row>
    <row r="21" spans="1:8">
      <c r="A21" s="363" t="s">
        <v>618</v>
      </c>
      <c r="B21" s="205"/>
      <c r="C21" s="205"/>
      <c r="D21" s="205"/>
      <c r="E21" s="205"/>
      <c r="F21" s="205"/>
      <c r="G21" s="205"/>
      <c r="H21" s="205"/>
    </row>
    <row r="22" spans="1:8" ht="20.149999999999999" customHeight="1">
      <c r="A22" s="364" t="s">
        <v>619</v>
      </c>
      <c r="B22" s="207">
        <v>1266202</v>
      </c>
      <c r="C22" s="207">
        <v>1266202</v>
      </c>
      <c r="D22" s="207"/>
      <c r="E22" s="207"/>
      <c r="F22" s="207"/>
      <c r="G22" s="207"/>
      <c r="H22" s="207"/>
    </row>
    <row r="23" spans="1:8">
      <c r="A23" s="380"/>
    </row>
    <row r="24" spans="1:8">
      <c r="A24" s="379" t="s">
        <v>620</v>
      </c>
    </row>
    <row r="26" spans="1:8" s="218" customFormat="1" ht="25.25" customHeight="1">
      <c r="A26" s="851" t="s">
        <v>621</v>
      </c>
      <c r="B26" s="883" t="s">
        <v>622</v>
      </c>
      <c r="C26" s="925" t="s">
        <v>623</v>
      </c>
      <c r="D26" s="926"/>
      <c r="E26" s="927"/>
      <c r="F26" s="931" t="s">
        <v>624</v>
      </c>
      <c r="G26" s="931" t="s">
        <v>625</v>
      </c>
      <c r="H26" s="883" t="s">
        <v>626</v>
      </c>
    </row>
    <row r="27" spans="1:8" s="218" customFormat="1" ht="25.25" customHeight="1">
      <c r="A27" s="924"/>
      <c r="B27" s="874"/>
      <c r="C27" s="928"/>
      <c r="D27" s="929"/>
      <c r="E27" s="930"/>
      <c r="F27" s="877"/>
      <c r="G27" s="877"/>
      <c r="H27" s="874"/>
    </row>
    <row r="28" spans="1:8">
      <c r="A28" s="204"/>
      <c r="B28" s="205"/>
      <c r="C28" s="921"/>
      <c r="D28" s="922"/>
      <c r="E28" s="923"/>
      <c r="F28" s="205"/>
      <c r="G28" s="205"/>
      <c r="H28" s="205"/>
    </row>
    <row r="29" spans="1:8">
      <c r="A29" s="204"/>
      <c r="B29" s="205"/>
      <c r="C29" s="921"/>
      <c r="D29" s="922"/>
      <c r="E29" s="923"/>
      <c r="F29" s="205"/>
      <c r="G29" s="205"/>
      <c r="H29" s="205"/>
    </row>
    <row r="30" spans="1:8">
      <c r="A30" s="204"/>
      <c r="B30" s="205"/>
      <c r="C30" s="921"/>
      <c r="D30" s="922"/>
      <c r="E30" s="923"/>
      <c r="F30" s="205"/>
      <c r="G30" s="205"/>
      <c r="H30" s="205"/>
    </row>
    <row r="31" spans="1:8">
      <c r="A31" s="204"/>
      <c r="B31" s="205"/>
      <c r="C31" s="921"/>
      <c r="D31" s="922"/>
      <c r="E31" s="923"/>
      <c r="F31" s="205"/>
      <c r="G31" s="205"/>
      <c r="H31" s="205"/>
    </row>
    <row r="32" spans="1:8">
      <c r="A32" s="205"/>
      <c r="B32" s="205"/>
      <c r="C32" s="921"/>
      <c r="D32" s="922"/>
      <c r="E32" s="923"/>
      <c r="F32" s="205"/>
      <c r="G32" s="205"/>
      <c r="H32" s="205"/>
    </row>
    <row r="33" spans="1:8">
      <c r="A33" s="205"/>
      <c r="B33" s="205"/>
      <c r="C33" s="921"/>
      <c r="D33" s="922"/>
      <c r="E33" s="923"/>
      <c r="F33" s="205"/>
      <c r="G33" s="205"/>
      <c r="H33" s="205"/>
    </row>
    <row r="34" spans="1:8">
      <c r="A34" s="205"/>
      <c r="B34" s="205"/>
      <c r="C34" s="921"/>
      <c r="D34" s="922"/>
      <c r="E34" s="923"/>
      <c r="F34" s="205"/>
      <c r="G34" s="205"/>
      <c r="H34" s="205"/>
    </row>
    <row r="35" spans="1:8">
      <c r="A35" s="212" t="s">
        <v>529</v>
      </c>
    </row>
    <row r="36" spans="1:8">
      <c r="A36" s="213" t="s">
        <v>627</v>
      </c>
    </row>
    <row r="37" spans="1:8">
      <c r="A37" s="213" t="s">
        <v>628</v>
      </c>
    </row>
    <row r="38" spans="1:8">
      <c r="A38" s="213" t="s">
        <v>629</v>
      </c>
    </row>
    <row r="39" spans="1:8">
      <c r="A39" s="213" t="s">
        <v>558</v>
      </c>
    </row>
    <row r="40" spans="1:8">
      <c r="A40" s="216" t="s">
        <v>559</v>
      </c>
    </row>
    <row r="41" spans="1:8">
      <c r="A41" s="216" t="s">
        <v>560</v>
      </c>
    </row>
    <row r="42" spans="1:8">
      <c r="A42" s="216" t="s">
        <v>561</v>
      </c>
    </row>
    <row r="43" spans="1:8">
      <c r="A43" s="213" t="s">
        <v>630</v>
      </c>
    </row>
    <row r="44" spans="1:8">
      <c r="A44" s="213" t="s">
        <v>631</v>
      </c>
    </row>
    <row r="45" spans="1:8">
      <c r="A45" s="235" t="s">
        <v>632</v>
      </c>
    </row>
    <row r="46" spans="1:8">
      <c r="A46" s="202" t="s">
        <v>1589</v>
      </c>
    </row>
  </sheetData>
  <sheetProtection sheet="false"/>
  <mergeCells count="27">
    <mergeCell ref="A1:H1"/>
    <mergeCell ref="A3:C3"/>
    <mergeCell ref="G3:H3"/>
    <mergeCell ref="A4:C4"/>
    <mergeCell ref="F4:F5"/>
    <mergeCell ref="G4:H5"/>
    <mergeCell ref="B5:C5"/>
    <mergeCell ref="H26:H27"/>
    <mergeCell ref="B7:B8"/>
    <mergeCell ref="C7:C8"/>
    <mergeCell ref="E7:E8"/>
    <mergeCell ref="F7:F8"/>
    <mergeCell ref="G7:G8"/>
    <mergeCell ref="H7:H8"/>
    <mergeCell ref="D7:D8"/>
    <mergeCell ref="A26:A27"/>
    <mergeCell ref="B26:B27"/>
    <mergeCell ref="C26:E27"/>
    <mergeCell ref="F26:F27"/>
    <mergeCell ref="G26:G27"/>
    <mergeCell ref="C34:E34"/>
    <mergeCell ref="C28:E28"/>
    <mergeCell ref="C29:E29"/>
    <mergeCell ref="C30:E30"/>
    <mergeCell ref="C31:E31"/>
    <mergeCell ref="C32:E32"/>
    <mergeCell ref="C33:E33"/>
  </mergeCells>
  <dataValidations count="1">
    <dataValidation allowBlank="1" showInputMessage="1" showErrorMessage="1" errorTitle="Erreur de saisie" error="La cellule ne peut prendre que du numérique." promptTitle="Information" prompt="Cette cellule ne peut prendre que du numérique." sqref="B9:H22 G28:H34" xr:uid="{00000000-0002-0000-1000-000000000000}"/>
  </dataValidations>
  <pageMargins left="0.7" right="0.7" top="0.75" bottom="0.75" header="0.3" footer="0.3"/>
  <pageSetup paperSize="9" scale="74" orientation="landscape"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30"/>
  <sheetViews>
    <sheetView workbookViewId="0">
      <selection activeCell="A5" sqref="A5"/>
    </sheetView>
  </sheetViews>
  <sheetFormatPr baseColWidth="10" defaultColWidth="12" defaultRowHeight="13"/>
  <cols>
    <col min="1" max="1" customWidth="true" style="202" width="39.3984375" collapsed="true"/>
    <col min="2" max="2" bestFit="true" customWidth="true" style="202" width="9.3984375" collapsed="true"/>
    <col min="3" max="3" bestFit="true" customWidth="true" style="202" width="11.296875" collapsed="true"/>
    <col min="4" max="4" customWidth="true" style="202" width="11.296875" collapsed="true"/>
    <col min="5" max="5" customWidth="true" style="202" width="9.3984375" collapsed="true"/>
    <col min="6" max="8" customWidth="true" style="202" width="13.69921875" collapsed="true"/>
    <col min="9" max="16384" style="202" width="12.0" collapsed="true"/>
  </cols>
  <sheetData>
    <row r="1" spans="1:8" ht="18.5">
      <c r="A1" s="856" t="s">
        <v>633</v>
      </c>
      <c r="B1" s="856"/>
      <c r="C1" s="856"/>
      <c r="D1" s="856"/>
      <c r="E1" s="856"/>
      <c r="F1" s="856"/>
      <c r="G1" s="856"/>
      <c r="H1" s="856"/>
    </row>
    <row r="2" spans="1:8" ht="8.15" customHeight="1"/>
    <row r="3" spans="1:8" ht="12.75" customHeight="1">
      <c r="A3" s="857" t="s">
        <v>487</v>
      </c>
      <c r="B3" s="857"/>
      <c r="C3" s="857"/>
      <c r="D3" s="523"/>
      <c r="F3" s="214"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851" t="s">
        <v>340</v>
      </c>
      <c r="B7" s="883" t="s">
        <v>1592</v>
      </c>
      <c r="C7" s="883" t="s">
        <v>1593</v>
      </c>
      <c r="D7" s="883" t="s">
        <v>769</v>
      </c>
      <c r="E7" s="883" t="s">
        <v>606</v>
      </c>
      <c r="F7" s="931" t="s">
        <v>607</v>
      </c>
      <c r="G7" s="931" t="s">
        <v>608</v>
      </c>
      <c r="H7" s="883" t="s">
        <v>609</v>
      </c>
    </row>
    <row r="8" spans="1:8" s="218" customFormat="1" ht="25.25" customHeight="1">
      <c r="A8" s="924"/>
      <c r="B8" s="874"/>
      <c r="C8" s="874"/>
      <c r="D8" s="874"/>
      <c r="E8" s="874"/>
      <c r="F8" s="877"/>
      <c r="G8" s="877"/>
      <c r="H8" s="874"/>
    </row>
    <row r="9" spans="1:8" ht="25.5" customHeight="1">
      <c r="A9" s="362" t="s">
        <v>634</v>
      </c>
      <c r="B9" s="205"/>
      <c r="C9" s="205"/>
      <c r="D9" s="205"/>
      <c r="E9" s="205"/>
      <c r="F9" s="205"/>
      <c r="G9" s="205"/>
      <c r="H9" s="205"/>
    </row>
    <row r="10" spans="1:8" ht="25.5" customHeight="1">
      <c r="A10" s="363" t="s">
        <v>635</v>
      </c>
      <c r="B10" s="205"/>
      <c r="C10" s="205"/>
      <c r="D10" s="205"/>
      <c r="E10" s="366"/>
      <c r="F10" s="205"/>
      <c r="G10" s="205"/>
      <c r="H10" s="205"/>
    </row>
    <row r="11" spans="1:8">
      <c r="A11" s="377" t="s">
        <v>616</v>
      </c>
      <c r="B11" s="207"/>
      <c r="C11" s="207"/>
      <c r="D11" s="207"/>
      <c r="E11" s="207"/>
      <c r="F11" s="207"/>
      <c r="G11" s="207"/>
      <c r="H11" s="207"/>
    </row>
    <row r="12" spans="1:8" ht="25.5" customHeight="1">
      <c r="A12" s="363" t="s">
        <v>636</v>
      </c>
      <c r="B12" s="205"/>
      <c r="C12" s="205"/>
      <c r="D12" s="205"/>
      <c r="E12" s="205"/>
      <c r="F12" s="205"/>
      <c r="G12" s="205"/>
      <c r="H12" s="205"/>
    </row>
    <row r="13" spans="1:8" ht="20.149999999999999" customHeight="1">
      <c r="A13" s="378" t="s">
        <v>619</v>
      </c>
      <c r="B13" s="215"/>
      <c r="C13" s="215"/>
      <c r="D13" s="215"/>
      <c r="E13" s="215"/>
      <c r="F13" s="215"/>
      <c r="G13" s="215"/>
      <c r="H13" s="215"/>
    </row>
    <row r="14" spans="1:8">
      <c r="A14" s="379" t="s">
        <v>529</v>
      </c>
    </row>
    <row r="15" spans="1:8">
      <c r="A15" s="213" t="s">
        <v>637</v>
      </c>
    </row>
    <row r="16" spans="1:8">
      <c r="A16" s="213" t="s">
        <v>631</v>
      </c>
    </row>
    <row r="17" spans="1:8">
      <c r="A17" s="235" t="s">
        <v>632</v>
      </c>
    </row>
    <row r="19" spans="1:8" ht="18.5">
      <c r="A19" s="938" t="s">
        <v>638</v>
      </c>
      <c r="B19" s="938"/>
      <c r="C19" s="938"/>
      <c r="D19" s="938"/>
      <c r="E19" s="938"/>
      <c r="F19" s="938"/>
      <c r="G19" s="938"/>
      <c r="H19" s="938"/>
    </row>
    <row r="21" spans="1:8" s="218" customFormat="1" ht="25.25" customHeight="1">
      <c r="A21" s="851" t="s">
        <v>340</v>
      </c>
      <c r="B21" s="925" t="s">
        <v>1592</v>
      </c>
      <c r="C21" s="927"/>
      <c r="D21" s="540"/>
      <c r="E21" s="925" t="s">
        <v>1593</v>
      </c>
      <c r="F21" s="927"/>
      <c r="G21" s="939" t="s">
        <v>639</v>
      </c>
      <c r="H21" s="940"/>
    </row>
    <row r="22" spans="1:8" s="218" customFormat="1" ht="25.25" customHeight="1">
      <c r="A22" s="924"/>
      <c r="B22" s="928"/>
      <c r="C22" s="930"/>
      <c r="D22" s="541"/>
      <c r="E22" s="928"/>
      <c r="F22" s="930"/>
      <c r="G22" s="941"/>
      <c r="H22" s="942"/>
    </row>
    <row r="23" spans="1:8">
      <c r="A23" s="204" t="s">
        <v>640</v>
      </c>
      <c r="B23" s="935"/>
      <c r="C23" s="936"/>
      <c r="D23" s="547"/>
      <c r="E23" s="935"/>
      <c r="F23" s="936"/>
      <c r="G23" s="937"/>
      <c r="H23" s="936"/>
    </row>
    <row r="24" spans="1:8">
      <c r="A24" s="204" t="s">
        <v>641</v>
      </c>
      <c r="B24" s="935"/>
      <c r="C24" s="936"/>
      <c r="D24" s="547"/>
      <c r="E24" s="935"/>
      <c r="F24" s="936"/>
      <c r="G24" s="937"/>
      <c r="H24" s="936"/>
    </row>
    <row r="25" spans="1:8" ht="39">
      <c r="A25" s="204" t="s">
        <v>642</v>
      </c>
      <c r="B25" s="935"/>
      <c r="C25" s="936"/>
      <c r="D25" s="547"/>
      <c r="E25" s="935"/>
      <c r="F25" s="936"/>
      <c r="G25" s="937"/>
      <c r="H25" s="936"/>
    </row>
    <row r="26" spans="1:8">
      <c r="A26" s="204" t="s">
        <v>643</v>
      </c>
      <c r="B26" s="935"/>
      <c r="C26" s="936"/>
      <c r="D26" s="547"/>
      <c r="E26" s="935"/>
      <c r="F26" s="936"/>
      <c r="G26" s="937"/>
      <c r="H26" s="936"/>
    </row>
    <row r="27" spans="1:8" ht="21.5" customHeight="1">
      <c r="A27" s="215" t="s">
        <v>114</v>
      </c>
      <c r="B27" s="932"/>
      <c r="C27" s="933"/>
      <c r="D27" s="544"/>
      <c r="E27" s="932"/>
      <c r="F27" s="933"/>
      <c r="G27" s="934"/>
      <c r="H27" s="933"/>
    </row>
    <row r="28" spans="1:8">
      <c r="A28" s="212" t="s">
        <v>529</v>
      </c>
    </row>
    <row r="29" spans="1:8">
      <c r="A29" s="213" t="s">
        <v>644</v>
      </c>
    </row>
    <row r="30" spans="1:8">
      <c r="A30" s="213" t="s">
        <v>645</v>
      </c>
    </row>
  </sheetData>
  <sheetProtection sheet="false"/>
  <mergeCells count="35">
    <mergeCell ref="A1:H1"/>
    <mergeCell ref="A3:C3"/>
    <mergeCell ref="G3:H3"/>
    <mergeCell ref="A4:C4"/>
    <mergeCell ref="F4:F5"/>
    <mergeCell ref="G4:H5"/>
    <mergeCell ref="B5:C5"/>
    <mergeCell ref="H7:H8"/>
    <mergeCell ref="A19:H19"/>
    <mergeCell ref="A21:A22"/>
    <mergeCell ref="B21:C22"/>
    <mergeCell ref="E21:F22"/>
    <mergeCell ref="G21:H22"/>
    <mergeCell ref="A7:A8"/>
    <mergeCell ref="B7:B8"/>
    <mergeCell ref="C7:C8"/>
    <mergeCell ref="E7:E8"/>
    <mergeCell ref="F7:F8"/>
    <mergeCell ref="G7:G8"/>
    <mergeCell ref="D7:D8"/>
    <mergeCell ref="B23:C23"/>
    <mergeCell ref="E23:F23"/>
    <mergeCell ref="G23:H23"/>
    <mergeCell ref="B24:C24"/>
    <mergeCell ref="E24:F24"/>
    <mergeCell ref="G24:H24"/>
    <mergeCell ref="B27:C27"/>
    <mergeCell ref="E27:F27"/>
    <mergeCell ref="G27:H27"/>
    <mergeCell ref="B25:C25"/>
    <mergeCell ref="E25:F25"/>
    <mergeCell ref="G25:H25"/>
    <mergeCell ref="B26:C26"/>
    <mergeCell ref="E26:F26"/>
    <mergeCell ref="G26:H2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13" xr:uid="{00000000-0002-0000-1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9:H13" xr:uid="{00000000-0002-0000-1100-000001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pageSetUpPr fitToPage="1"/>
  </sheetPr>
  <dimension ref="A1:D33"/>
  <sheetViews>
    <sheetView workbookViewId="0">
      <selection activeCell="B9" sqref="B9"/>
    </sheetView>
  </sheetViews>
  <sheetFormatPr baseColWidth="10" defaultColWidth="12" defaultRowHeight="13"/>
  <cols>
    <col min="1" max="1" customWidth="true" style="202" width="39.3984375" collapsed="true"/>
    <col min="2" max="2" customWidth="true" style="202" width="28.796875" collapsed="true"/>
    <col min="3" max="3" customWidth="true" style="202" width="26.69921875" collapsed="true"/>
    <col min="4" max="4" customWidth="true" style="202" width="21.0" collapsed="true"/>
    <col min="5" max="16384" style="202" width="12.0" collapsed="true"/>
  </cols>
  <sheetData>
    <row r="1" spans="1:4" ht="21">
      <c r="A1" s="856" t="s">
        <v>646</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c r="A9" s="362" t="s">
        <v>647</v>
      </c>
      <c r="B9" s="348"/>
      <c r="C9" s="580"/>
      <c r="D9" s="580"/>
    </row>
    <row r="10" spans="1:4">
      <c r="A10" s="459" t="s">
        <v>1488</v>
      </c>
      <c r="B10" s="348"/>
      <c r="C10" s="580"/>
      <c r="D10" s="580"/>
    </row>
    <row r="11" spans="1:4">
      <c r="A11" s="362" t="s">
        <v>648</v>
      </c>
      <c r="B11" s="409"/>
      <c r="C11" s="581"/>
      <c r="D11" s="418"/>
    </row>
    <row r="12" spans="1:4">
      <c r="A12" s="362" t="s">
        <v>649</v>
      </c>
      <c r="B12" s="348">
        <v>59194011</v>
      </c>
      <c r="C12" s="580">
        <v>38519190</v>
      </c>
      <c r="D12" s="418">
        <v>0.5367408037396425</v>
      </c>
    </row>
    <row r="13" spans="1:4">
      <c r="A13" s="459" t="s">
        <v>1489</v>
      </c>
      <c r="B13" s="348"/>
      <c r="C13" s="580"/>
      <c r="D13" s="418"/>
    </row>
    <row r="14" spans="1:4">
      <c r="A14" s="362" t="s">
        <v>650</v>
      </c>
      <c r="B14" s="545"/>
      <c r="C14" s="580"/>
      <c r="D14" s="418"/>
    </row>
    <row r="15" spans="1:4">
      <c r="A15" s="362" t="s">
        <v>651</v>
      </c>
      <c r="B15" s="545"/>
      <c r="C15" s="580"/>
      <c r="D15" s="418"/>
    </row>
    <row r="16" spans="1:4">
      <c r="A16" s="362" t="s">
        <v>652</v>
      </c>
      <c r="B16" s="409"/>
      <c r="C16" s="581"/>
      <c r="D16" s="418"/>
    </row>
    <row r="17" spans="1:4">
      <c r="A17" s="362" t="s">
        <v>653</v>
      </c>
      <c r="B17" s="545"/>
      <c r="C17" s="580"/>
      <c r="D17" s="418"/>
    </row>
    <row r="18" spans="1:4" ht="26">
      <c r="A18" s="362" t="s">
        <v>654</v>
      </c>
      <c r="B18" s="545"/>
      <c r="C18" s="580"/>
      <c r="D18" s="418"/>
    </row>
    <row r="19" spans="1:4">
      <c r="A19" s="377" t="s">
        <v>655</v>
      </c>
      <c r="B19" s="410">
        <v>59194011</v>
      </c>
      <c r="C19" s="414">
        <v>38519190</v>
      </c>
      <c r="D19" s="582">
        <v>0.5367408037396425</v>
      </c>
    </row>
    <row r="20" spans="1:4">
      <c r="A20" s="362" t="s">
        <v>656</v>
      </c>
      <c r="B20" s="545"/>
      <c r="C20" s="580"/>
      <c r="D20" s="580"/>
    </row>
    <row r="21" spans="1:4">
      <c r="A21" s="362"/>
      <c r="B21" s="545"/>
      <c r="C21" s="580"/>
      <c r="D21" s="580"/>
    </row>
    <row r="22" spans="1:4" ht="26" customHeight="1">
      <c r="A22" s="378" t="s">
        <v>114</v>
      </c>
      <c r="B22" s="542">
        <v>59194011</v>
      </c>
      <c r="C22" s="583">
        <v>38519190</v>
      </c>
      <c r="D22" s="583">
        <v>0.5367408037396425</v>
      </c>
    </row>
    <row r="23" spans="1:4">
      <c r="A23" s="202" t="s">
        <v>657</v>
      </c>
    </row>
    <row r="24" spans="1:4">
      <c r="A24" s="202" t="s">
        <v>658</v>
      </c>
    </row>
    <row r="25" spans="1:4">
      <c r="A25" s="212" t="s">
        <v>529</v>
      </c>
    </row>
    <row r="26" spans="1:4">
      <c r="A26" s="213" t="s">
        <v>659</v>
      </c>
    </row>
    <row r="27" spans="1:4">
      <c r="A27" s="237" t="s">
        <v>660</v>
      </c>
    </row>
    <row r="28" spans="1:4">
      <c r="A28" s="213" t="s">
        <v>661</v>
      </c>
    </row>
    <row r="29" spans="1:4">
      <c r="A29" s="213" t="s">
        <v>662</v>
      </c>
    </row>
    <row r="30" spans="1:4">
      <c r="A30" s="237" t="s">
        <v>663</v>
      </c>
    </row>
    <row r="32" spans="1:4">
      <c r="A32" s="202" t="s">
        <v>1590</v>
      </c>
    </row>
    <row r="33" spans="1:1">
      <c r="A33" s="202" t="s">
        <v>1591</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2" xr:uid="{00000000-0002-0000-12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H32"/>
  <sheetViews>
    <sheetView workbookViewId="0">
      <selection activeCell="C9" sqref="C9"/>
    </sheetView>
  </sheetViews>
  <sheetFormatPr baseColWidth="10" defaultColWidth="12" defaultRowHeight="13"/>
  <cols>
    <col min="1" max="1" customWidth="true" style="202" width="36.3984375" collapsed="true"/>
    <col min="2" max="2" bestFit="true" customWidth="true" style="202" width="19.0" collapsed="true"/>
    <col min="3" max="3" bestFit="true" customWidth="true" style="202" width="19.19921875" collapsed="true"/>
    <col min="4" max="4" customWidth="true" style="202" width="14.09765625" collapsed="true"/>
    <col min="5" max="5" customWidth="true" style="202" width="9.3984375" collapsed="true"/>
    <col min="6" max="8" customWidth="true" style="202" width="13.69921875" collapsed="true"/>
    <col min="9" max="16384" style="202" width="12.0" collapsed="true"/>
  </cols>
  <sheetData>
    <row r="1" spans="1:8" ht="18.5">
      <c r="A1" s="856" t="s">
        <v>664</v>
      </c>
      <c r="B1" s="856"/>
      <c r="C1" s="856"/>
      <c r="D1" s="856"/>
      <c r="E1" s="856"/>
      <c r="F1" s="856"/>
      <c r="G1" s="856"/>
      <c r="H1" s="856"/>
    </row>
    <row r="2" spans="1:8" ht="8.15" customHeight="1"/>
    <row r="3" spans="1:8" ht="12.75" customHeight="1">
      <c r="A3" s="857" t="s">
        <v>487</v>
      </c>
      <c r="B3" s="857"/>
      <c r="C3" s="857"/>
      <c r="D3" s="523"/>
      <c r="F3" s="214"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851" t="s">
        <v>340</v>
      </c>
      <c r="B7" s="883" t="s">
        <v>1592</v>
      </c>
      <c r="C7" s="883" t="s">
        <v>1593</v>
      </c>
      <c r="D7" s="883" t="s">
        <v>769</v>
      </c>
      <c r="E7" s="883" t="s">
        <v>606</v>
      </c>
      <c r="F7" s="931" t="s">
        <v>607</v>
      </c>
      <c r="G7" s="931" t="s">
        <v>608</v>
      </c>
      <c r="H7" s="883" t="s">
        <v>609</v>
      </c>
    </row>
    <row r="8" spans="1:8" s="218" customFormat="1" ht="25.25" customHeight="1">
      <c r="A8" s="924"/>
      <c r="B8" s="874"/>
      <c r="C8" s="874"/>
      <c r="D8" s="874"/>
      <c r="E8" s="874"/>
      <c r="F8" s="877"/>
      <c r="G8" s="877"/>
      <c r="H8" s="874"/>
    </row>
    <row r="9" spans="1:8" ht="26">
      <c r="A9" s="362" t="s">
        <v>665</v>
      </c>
      <c r="B9" s="403"/>
      <c r="C9" s="403"/>
      <c r="D9" s="403"/>
      <c r="E9" s="407"/>
      <c r="F9" s="205"/>
      <c r="G9" s="205"/>
      <c r="H9" s="205"/>
    </row>
    <row r="10" spans="1:8" ht="26">
      <c r="A10" s="362" t="s">
        <v>666</v>
      </c>
      <c r="B10" s="205"/>
      <c r="C10" s="205"/>
      <c r="D10" s="205"/>
      <c r="E10" s="205"/>
      <c r="F10" s="205"/>
      <c r="G10" s="205"/>
      <c r="H10" s="205"/>
    </row>
    <row r="11" spans="1:8" ht="26">
      <c r="A11" s="362" t="s">
        <v>667</v>
      </c>
      <c r="B11" s="205"/>
      <c r="C11" s="205"/>
      <c r="D11" s="205"/>
      <c r="E11" s="205"/>
      <c r="F11" s="205"/>
      <c r="G11" s="205"/>
      <c r="H11" s="205"/>
    </row>
    <row r="12" spans="1:8" ht="39">
      <c r="A12" s="584" t="s">
        <v>1490</v>
      </c>
      <c r="B12" s="205"/>
      <c r="C12" s="205"/>
      <c r="D12" s="205"/>
      <c r="E12" s="205"/>
      <c r="F12" s="205"/>
      <c r="G12" s="205"/>
      <c r="H12" s="205"/>
    </row>
    <row r="13" spans="1:8">
      <c r="A13" s="362" t="s">
        <v>1491</v>
      </c>
      <c r="B13" s="205"/>
      <c r="C13" s="205"/>
      <c r="D13" s="205"/>
      <c r="E13" s="205"/>
      <c r="F13" s="205"/>
      <c r="G13" s="205"/>
      <c r="H13" s="205"/>
    </row>
    <row r="14" spans="1:8">
      <c r="A14" s="362" t="s">
        <v>1492</v>
      </c>
      <c r="B14" s="205"/>
      <c r="C14" s="205"/>
      <c r="D14" s="205"/>
      <c r="E14" s="205"/>
      <c r="F14" s="205"/>
      <c r="G14" s="205"/>
      <c r="H14" s="205"/>
    </row>
    <row r="15" spans="1:8">
      <c r="A15" s="362" t="s">
        <v>668</v>
      </c>
      <c r="B15" s="205"/>
      <c r="C15" s="205"/>
      <c r="D15" s="205"/>
      <c r="E15" s="205"/>
      <c r="F15" s="205"/>
      <c r="G15" s="205"/>
      <c r="H15" s="205"/>
    </row>
    <row r="16" spans="1:8">
      <c r="A16" s="362" t="s">
        <v>669</v>
      </c>
      <c r="B16" s="205"/>
      <c r="C16" s="205"/>
      <c r="D16" s="205"/>
      <c r="E16" s="205"/>
      <c r="F16" s="205"/>
      <c r="G16" s="205"/>
      <c r="H16" s="205"/>
    </row>
    <row r="17" spans="1:8">
      <c r="A17" s="363" t="s">
        <v>670</v>
      </c>
      <c r="B17" s="205"/>
      <c r="C17" s="205"/>
      <c r="D17" s="205"/>
      <c r="E17" s="205"/>
      <c r="F17" s="205"/>
      <c r="G17" s="205"/>
      <c r="H17" s="205"/>
    </row>
    <row r="18" spans="1:8">
      <c r="A18" s="363" t="s">
        <v>671</v>
      </c>
      <c r="B18" s="205"/>
      <c r="C18" s="205"/>
      <c r="D18" s="205"/>
      <c r="E18" s="205"/>
      <c r="F18" s="205"/>
      <c r="G18" s="205"/>
      <c r="H18" s="205"/>
    </row>
    <row r="19" spans="1:8">
      <c r="A19" s="363" t="s">
        <v>672</v>
      </c>
      <c r="B19" s="205"/>
      <c r="C19" s="403"/>
      <c r="D19" s="403"/>
      <c r="E19" s="366"/>
      <c r="F19" s="205"/>
      <c r="G19" s="205"/>
      <c r="H19" s="205"/>
    </row>
    <row r="20" spans="1:8">
      <c r="A20" s="377" t="s">
        <v>673</v>
      </c>
      <c r="B20" s="411"/>
      <c r="C20" s="411"/>
      <c r="D20" s="411"/>
      <c r="E20" s="408"/>
      <c r="F20" s="207"/>
      <c r="G20" s="207"/>
      <c r="H20" s="207"/>
    </row>
    <row r="21" spans="1:8">
      <c r="A21" s="363" t="s">
        <v>674</v>
      </c>
      <c r="B21" s="403"/>
      <c r="C21" s="403"/>
      <c r="D21" s="403"/>
      <c r="E21" s="205"/>
      <c r="F21" s="205"/>
      <c r="G21" s="205"/>
      <c r="H21" s="205"/>
    </row>
    <row r="22" spans="1:8">
      <c r="A22" s="377" t="s">
        <v>619</v>
      </c>
      <c r="B22" s="404"/>
      <c r="C22" s="404"/>
      <c r="D22" s="404"/>
      <c r="E22" s="408"/>
      <c r="F22" s="207"/>
      <c r="G22" s="207"/>
      <c r="H22" s="207"/>
    </row>
    <row r="23" spans="1:8">
      <c r="A23" s="363" t="s">
        <v>675</v>
      </c>
      <c r="B23" s="205"/>
      <c r="C23" s="205"/>
      <c r="D23" s="205"/>
      <c r="E23" s="205"/>
      <c r="F23" s="205"/>
      <c r="G23" s="205"/>
      <c r="H23" s="205"/>
    </row>
    <row r="24" spans="1:8">
      <c r="A24" s="363" t="s">
        <v>676</v>
      </c>
      <c r="B24" s="205"/>
      <c r="C24" s="205"/>
      <c r="D24" s="205"/>
      <c r="E24" s="205"/>
      <c r="F24" s="205"/>
      <c r="G24" s="205"/>
      <c r="H24" s="205"/>
    </row>
    <row r="25" spans="1:8">
      <c r="A25" s="363" t="s">
        <v>677</v>
      </c>
      <c r="B25" s="403"/>
      <c r="C25" s="403"/>
      <c r="D25" s="403"/>
      <c r="E25" s="407"/>
      <c r="F25" s="205"/>
      <c r="G25" s="205"/>
      <c r="H25" s="205"/>
    </row>
    <row r="26" spans="1:8" ht="20.149999999999999" customHeight="1">
      <c r="A26" s="378" t="s">
        <v>678</v>
      </c>
      <c r="B26" s="406"/>
      <c r="C26" s="406"/>
      <c r="D26" s="406"/>
      <c r="E26" s="412"/>
      <c r="F26" s="215"/>
      <c r="G26" s="215"/>
      <c r="H26" s="215"/>
    </row>
    <row r="27" spans="1:8">
      <c r="A27" s="379" t="s">
        <v>529</v>
      </c>
    </row>
    <row r="28" spans="1:8">
      <c r="A28" s="213" t="s">
        <v>679</v>
      </c>
    </row>
    <row r="29" spans="1:8">
      <c r="A29" s="213" t="s">
        <v>680</v>
      </c>
    </row>
    <row r="30" spans="1:8">
      <c r="A30" s="213" t="s">
        <v>628</v>
      </c>
    </row>
    <row r="31" spans="1:8">
      <c r="A31" s="213" t="s">
        <v>681</v>
      </c>
    </row>
    <row r="32" spans="1:8">
      <c r="A32" s="235"/>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6" xr:uid="{00000000-0002-0000-13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F9:H26" xr:uid="{00000000-0002-0000-1300-00000100000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pageSetUpPr fitToPage="1"/>
  </sheetPr>
  <dimension ref="A1:G31"/>
  <sheetViews>
    <sheetView workbookViewId="0">
      <selection activeCell="B18" sqref="B18"/>
    </sheetView>
  </sheetViews>
  <sheetFormatPr baseColWidth="10" defaultColWidth="12" defaultRowHeight="13"/>
  <cols>
    <col min="1" max="1" customWidth="true" style="202" width="37.296875" collapsed="true"/>
    <col min="2" max="2" bestFit="true" customWidth="true" style="202" width="16.69921875" collapsed="true"/>
    <col min="3" max="3" bestFit="true" customWidth="true" style="202" width="11.296875" collapsed="true"/>
    <col min="4" max="4" customWidth="true" style="202" width="9.3984375" collapsed="true"/>
    <col min="5" max="7" customWidth="true" style="202" width="13.69921875" collapsed="true"/>
    <col min="8" max="16384" style="202" width="12.0" collapsed="true"/>
  </cols>
  <sheetData>
    <row r="1" spans="1:7" ht="18.5">
      <c r="A1" s="856" t="s">
        <v>682</v>
      </c>
      <c r="B1" s="856"/>
      <c r="C1" s="856"/>
      <c r="D1" s="856"/>
      <c r="E1" s="856"/>
      <c r="F1" s="856"/>
      <c r="G1" s="856"/>
    </row>
    <row r="2" spans="1:7" ht="8.15" customHeight="1"/>
    <row r="3" spans="1:7" ht="12.75" customHeight="1">
      <c r="A3" s="857" t="s">
        <v>487</v>
      </c>
      <c r="B3" s="857"/>
      <c r="C3" s="857"/>
      <c r="E3" s="214"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s="218" customFormat="1" ht="25.25" customHeight="1">
      <c r="A7" s="851" t="s">
        <v>340</v>
      </c>
      <c r="B7" s="883" t="s">
        <v>1592</v>
      </c>
      <c r="C7" s="883" t="s">
        <v>1593</v>
      </c>
      <c r="D7" s="883" t="s">
        <v>606</v>
      </c>
      <c r="E7" s="931" t="s">
        <v>607</v>
      </c>
      <c r="F7" s="931" t="s">
        <v>608</v>
      </c>
      <c r="G7" s="883" t="s">
        <v>609</v>
      </c>
    </row>
    <row r="8" spans="1:7" s="218" customFormat="1" ht="25.25" customHeight="1">
      <c r="A8" s="924"/>
      <c r="B8" s="874"/>
      <c r="C8" s="874"/>
      <c r="D8" s="874"/>
      <c r="E8" s="877"/>
      <c r="F8" s="877"/>
      <c r="G8" s="874"/>
    </row>
    <row r="9" spans="1:7">
      <c r="A9" s="362" t="s">
        <v>511</v>
      </c>
      <c r="B9" s="205">
        <v>2260528</v>
      </c>
      <c r="C9" s="205">
        <v>609763</v>
      </c>
      <c r="D9" s="366">
        <v>2.7072239542248382</v>
      </c>
      <c r="E9" s="205"/>
      <c r="F9" s="205"/>
      <c r="G9" s="205"/>
    </row>
    <row r="10" spans="1:7">
      <c r="A10" s="362" t="s">
        <v>683</v>
      </c>
      <c r="B10" s="205">
        <v>0</v>
      </c>
      <c r="C10" s="205">
        <v>0</v>
      </c>
      <c r="D10" s="366">
        <v>0</v>
      </c>
      <c r="E10" s="205"/>
      <c r="F10" s="205"/>
      <c r="G10" s="205"/>
    </row>
    <row r="11" spans="1:7">
      <c r="A11" s="362" t="s">
        <v>684</v>
      </c>
      <c r="B11" s="403">
        <v>31021327</v>
      </c>
      <c r="C11" s="205">
        <v>31021327</v>
      </c>
      <c r="D11" s="366">
        <v>0</v>
      </c>
      <c r="E11" s="205">
        <v>31021327</v>
      </c>
      <c r="F11" s="205">
        <v>0</v>
      </c>
      <c r="G11" s="205"/>
    </row>
    <row r="12" spans="1:7">
      <c r="A12" s="362" t="s">
        <v>514</v>
      </c>
      <c r="B12" s="205">
        <v>0</v>
      </c>
      <c r="C12" s="205">
        <v>0</v>
      </c>
      <c r="D12" s="366">
        <v>0</v>
      </c>
      <c r="E12" s="205"/>
      <c r="F12" s="205"/>
      <c r="G12" s="205"/>
    </row>
    <row r="13" spans="1:7">
      <c r="A13" s="362" t="s">
        <v>685</v>
      </c>
      <c r="B13" s="205">
        <v>5090586</v>
      </c>
      <c r="C13" s="205">
        <v>5578895</v>
      </c>
      <c r="D13" s="366">
        <v>-8.7527906511952636E-2</v>
      </c>
      <c r="E13" s="205"/>
      <c r="F13" s="205"/>
      <c r="G13" s="205"/>
    </row>
    <row r="14" spans="1:7" ht="26">
      <c r="A14" s="362" t="s">
        <v>686</v>
      </c>
      <c r="B14" s="205">
        <v>0</v>
      </c>
      <c r="C14" s="205">
        <v>0</v>
      </c>
      <c r="D14" s="366">
        <v>0</v>
      </c>
      <c r="E14" s="205"/>
      <c r="F14" s="205"/>
      <c r="G14" s="205"/>
    </row>
    <row r="15" spans="1:7">
      <c r="A15" s="362" t="s">
        <v>687</v>
      </c>
      <c r="B15" s="205">
        <v>992925</v>
      </c>
      <c r="C15" s="205">
        <v>63824485</v>
      </c>
      <c r="D15" s="366">
        <v>-0.98444288269619407</v>
      </c>
      <c r="E15" s="205"/>
      <c r="F15" s="205">
        <v>992925</v>
      </c>
      <c r="G15" s="205"/>
    </row>
    <row r="16" spans="1:7" ht="26">
      <c r="A16" s="362" t="s">
        <v>688</v>
      </c>
      <c r="B16" s="205">
        <v>0</v>
      </c>
      <c r="C16" s="205">
        <v>0</v>
      </c>
      <c r="D16" s="366"/>
      <c r="E16" s="205"/>
      <c r="F16" s="205">
        <v>0</v>
      </c>
      <c r="G16" s="205"/>
    </row>
    <row r="17" spans="1:7">
      <c r="A17" s="362" t="s">
        <v>689</v>
      </c>
      <c r="B17" s="205">
        <v>0</v>
      </c>
      <c r="C17" s="205">
        <v>0</v>
      </c>
      <c r="D17" s="366"/>
      <c r="E17" s="205"/>
      <c r="F17" s="205"/>
      <c r="G17" s="205"/>
    </row>
    <row r="18" spans="1:7" ht="26">
      <c r="A18" s="362" t="s">
        <v>690</v>
      </c>
      <c r="B18" s="205">
        <v>0</v>
      </c>
      <c r="C18" s="205">
        <v>0</v>
      </c>
      <c r="D18" s="366"/>
      <c r="E18" s="205"/>
      <c r="F18" s="205"/>
      <c r="G18" s="205"/>
    </row>
    <row r="19" spans="1:7">
      <c r="A19" s="377" t="s">
        <v>673</v>
      </c>
      <c r="B19" s="404">
        <v>39365366</v>
      </c>
      <c r="C19" s="207">
        <v>101034470</v>
      </c>
      <c r="D19" s="408">
        <v>-0.61037687434793297</v>
      </c>
      <c r="E19" s="207">
        <v>31021327</v>
      </c>
      <c r="F19" s="207">
        <v>992925</v>
      </c>
      <c r="G19" s="207">
        <v>0</v>
      </c>
    </row>
    <row r="20" spans="1:7">
      <c r="A20" s="363" t="s">
        <v>691</v>
      </c>
      <c r="B20" s="205">
        <v>191029</v>
      </c>
      <c r="C20" s="205">
        <v>0</v>
      </c>
      <c r="D20" s="205">
        <v>0</v>
      </c>
      <c r="E20" s="205"/>
      <c r="F20" s="205"/>
      <c r="G20" s="205"/>
    </row>
    <row r="21" spans="1:7">
      <c r="A21" s="377" t="s">
        <v>619</v>
      </c>
      <c r="B21" s="404">
        <v>39174337</v>
      </c>
      <c r="C21" s="207">
        <v>101034470</v>
      </c>
      <c r="D21" s="408">
        <v>-0.61226760530341773</v>
      </c>
      <c r="E21" s="207">
        <v>0</v>
      </c>
      <c r="F21" s="207">
        <v>992925</v>
      </c>
      <c r="G21" s="207">
        <v>0</v>
      </c>
    </row>
    <row r="22" spans="1:7">
      <c r="A22" s="379" t="s">
        <v>529</v>
      </c>
    </row>
    <row r="23" spans="1:7">
      <c r="A23" s="213" t="s">
        <v>692</v>
      </c>
    </row>
    <row r="24" spans="1:7">
      <c r="A24" s="213" t="s">
        <v>693</v>
      </c>
    </row>
    <row r="25" spans="1:7">
      <c r="A25" s="213" t="s">
        <v>694</v>
      </c>
    </row>
    <row r="26" spans="1:7">
      <c r="A26" s="213" t="s">
        <v>695</v>
      </c>
    </row>
    <row r="27" spans="1:7">
      <c r="A27" s="213" t="s">
        <v>696</v>
      </c>
    </row>
    <row r="28" spans="1:7">
      <c r="A28" s="235"/>
    </row>
    <row r="29" spans="1:7">
      <c r="A29" s="202" t="s">
        <v>1594</v>
      </c>
    </row>
    <row r="30" spans="1:7">
      <c r="A30" s="202" t="s">
        <v>1595</v>
      </c>
    </row>
    <row r="31" spans="1:7">
      <c r="A31" s="202" t="s">
        <v>1596</v>
      </c>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400-00000000000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G36"/>
  <sheetViews>
    <sheetView workbookViewId="0">
      <selection activeCell="A24" sqref="A24"/>
    </sheetView>
  </sheetViews>
  <sheetFormatPr baseColWidth="10" defaultColWidth="12" defaultRowHeight="13"/>
  <cols>
    <col min="1" max="1" customWidth="true" style="202" width="35.796875" collapsed="true"/>
    <col min="2" max="7" customWidth="true" style="202" width="12.3984375" collapsed="true"/>
    <col min="8" max="16384" style="202" width="12.0" collapsed="true"/>
  </cols>
  <sheetData>
    <row r="1" spans="1:7" ht="18.5">
      <c r="A1" s="856" t="s">
        <v>697</v>
      </c>
      <c r="B1" s="856"/>
      <c r="C1" s="856"/>
      <c r="D1" s="856"/>
      <c r="E1" s="856"/>
      <c r="F1" s="856"/>
      <c r="G1" s="856"/>
    </row>
    <row r="2" spans="1:7" ht="8.15" customHeight="1"/>
    <row r="3" spans="1:7" ht="12.75" customHeight="1">
      <c r="A3" s="857" t="s">
        <v>487</v>
      </c>
      <c r="B3" s="857"/>
      <c r="C3" s="857"/>
      <c r="E3" s="214"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s="218" customFormat="1" ht="25.25" customHeight="1">
      <c r="A7" s="851" t="s">
        <v>340</v>
      </c>
      <c r="B7" s="925" t="s">
        <v>698</v>
      </c>
      <c r="C7" s="927"/>
      <c r="D7" s="925" t="s">
        <v>699</v>
      </c>
      <c r="E7" s="927"/>
      <c r="F7" s="939" t="s">
        <v>700</v>
      </c>
      <c r="G7" s="940"/>
    </row>
    <row r="8" spans="1:7" s="218" customFormat="1" ht="25.25" customHeight="1">
      <c r="A8" s="924"/>
      <c r="B8" s="928"/>
      <c r="C8" s="930"/>
      <c r="D8" s="928"/>
      <c r="E8" s="930"/>
      <c r="F8" s="941"/>
      <c r="G8" s="942"/>
    </row>
    <row r="9" spans="1:7" ht="26">
      <c r="A9" s="204" t="s">
        <v>701</v>
      </c>
      <c r="B9" s="935"/>
      <c r="C9" s="936"/>
      <c r="D9" s="935"/>
      <c r="E9" s="936"/>
      <c r="F9" s="937"/>
      <c r="G9" s="936"/>
    </row>
    <row r="10" spans="1:7">
      <c r="A10" s="204" t="s">
        <v>702</v>
      </c>
      <c r="B10" s="935"/>
      <c r="C10" s="936"/>
      <c r="D10" s="935"/>
      <c r="E10" s="936"/>
      <c r="F10" s="937"/>
      <c r="G10" s="936"/>
    </row>
    <row r="11" spans="1:7">
      <c r="A11" s="204"/>
      <c r="B11" s="545" t="s">
        <v>703</v>
      </c>
      <c r="C11" s="546" t="s">
        <v>704</v>
      </c>
      <c r="D11" s="545" t="s">
        <v>703</v>
      </c>
      <c r="E11" s="546" t="s">
        <v>704</v>
      </c>
      <c r="F11" s="545" t="s">
        <v>703</v>
      </c>
      <c r="G11" s="546" t="s">
        <v>704</v>
      </c>
    </row>
    <row r="12" spans="1:7">
      <c r="A12" s="945" t="s">
        <v>705</v>
      </c>
      <c r="B12" s="537" t="s">
        <v>706</v>
      </c>
      <c r="C12" s="539"/>
      <c r="D12" s="537" t="s">
        <v>706</v>
      </c>
      <c r="E12" s="539"/>
      <c r="F12" s="537" t="s">
        <v>706</v>
      </c>
      <c r="G12" s="539"/>
    </row>
    <row r="13" spans="1:7">
      <c r="A13" s="946"/>
      <c r="B13" s="537" t="s">
        <v>707</v>
      </c>
      <c r="C13" s="539"/>
      <c r="D13" s="537" t="s">
        <v>707</v>
      </c>
      <c r="E13" s="539"/>
      <c r="F13" s="537" t="s">
        <v>707</v>
      </c>
      <c r="G13" s="539"/>
    </row>
    <row r="14" spans="1:7">
      <c r="A14" s="946"/>
      <c r="B14" s="537" t="s">
        <v>708</v>
      </c>
      <c r="C14" s="539"/>
      <c r="D14" s="537" t="s">
        <v>708</v>
      </c>
      <c r="E14" s="539"/>
      <c r="F14" s="537" t="s">
        <v>708</v>
      </c>
      <c r="G14" s="539"/>
    </row>
    <row r="15" spans="1:7">
      <c r="A15" s="946"/>
      <c r="B15" s="537" t="s">
        <v>709</v>
      </c>
      <c r="C15" s="539"/>
      <c r="D15" s="537" t="s">
        <v>709</v>
      </c>
      <c r="E15" s="539"/>
      <c r="F15" s="537" t="s">
        <v>709</v>
      </c>
      <c r="G15" s="539"/>
    </row>
    <row r="16" spans="1:7">
      <c r="A16" s="946"/>
      <c r="B16" s="537" t="s">
        <v>710</v>
      </c>
      <c r="C16" s="539"/>
      <c r="D16" s="537" t="s">
        <v>710</v>
      </c>
      <c r="E16" s="539"/>
      <c r="F16" s="537" t="s">
        <v>710</v>
      </c>
      <c r="G16" s="539"/>
    </row>
    <row r="17" spans="1:7">
      <c r="A17" s="946"/>
      <c r="B17" s="537" t="s">
        <v>711</v>
      </c>
      <c r="C17" s="539"/>
      <c r="D17" s="537" t="s">
        <v>711</v>
      </c>
      <c r="E17" s="539"/>
      <c r="F17" s="537" t="s">
        <v>711</v>
      </c>
      <c r="G17" s="539"/>
    </row>
    <row r="18" spans="1:7">
      <c r="A18" s="946"/>
      <c r="B18" s="537" t="s">
        <v>712</v>
      </c>
      <c r="C18" s="539"/>
      <c r="D18" s="537" t="s">
        <v>712</v>
      </c>
      <c r="E18" s="539"/>
      <c r="F18" s="537" t="s">
        <v>712</v>
      </c>
      <c r="G18" s="539"/>
    </row>
    <row r="19" spans="1:7">
      <c r="A19" s="946"/>
      <c r="B19" s="537" t="s">
        <v>713</v>
      </c>
      <c r="C19" s="539"/>
      <c r="D19" s="537" t="s">
        <v>713</v>
      </c>
      <c r="E19" s="539"/>
      <c r="F19" s="537" t="s">
        <v>713</v>
      </c>
      <c r="G19" s="539"/>
    </row>
    <row r="20" spans="1:7">
      <c r="A20" s="946"/>
      <c r="B20" s="537" t="s">
        <v>714</v>
      </c>
      <c r="C20" s="539"/>
      <c r="D20" s="537" t="s">
        <v>714</v>
      </c>
      <c r="E20" s="539"/>
      <c r="F20" s="537" t="s">
        <v>714</v>
      </c>
      <c r="G20" s="539"/>
    </row>
    <row r="21" spans="1:7">
      <c r="A21" s="946"/>
      <c r="B21" s="537" t="s">
        <v>715</v>
      </c>
      <c r="C21" s="539"/>
      <c r="D21" s="537" t="s">
        <v>715</v>
      </c>
      <c r="E21" s="539"/>
      <c r="F21" s="537" t="s">
        <v>715</v>
      </c>
      <c r="G21" s="539"/>
    </row>
    <row r="22" spans="1:7">
      <c r="A22" s="947"/>
      <c r="B22" s="537" t="s">
        <v>716</v>
      </c>
      <c r="C22" s="539"/>
      <c r="D22" s="537" t="s">
        <v>716</v>
      </c>
      <c r="E22" s="539"/>
      <c r="F22" s="537" t="s">
        <v>716</v>
      </c>
      <c r="G22" s="539"/>
    </row>
    <row r="23" spans="1:7">
      <c r="A23" s="204" t="s">
        <v>717</v>
      </c>
      <c r="B23" s="537"/>
      <c r="C23" s="539"/>
      <c r="D23" s="537"/>
      <c r="E23" s="539"/>
      <c r="F23" s="538"/>
      <c r="G23" s="539"/>
    </row>
    <row r="24" spans="1:7">
      <c r="A24" s="204" t="s">
        <v>718</v>
      </c>
      <c r="B24" s="537"/>
      <c r="C24" s="539"/>
      <c r="D24" s="537"/>
      <c r="E24" s="539"/>
      <c r="F24" s="538"/>
      <c r="G24" s="539"/>
    </row>
    <row r="25" spans="1:7">
      <c r="A25" s="204" t="s">
        <v>719</v>
      </c>
      <c r="B25" s="537"/>
      <c r="C25" s="539"/>
      <c r="D25" s="537"/>
      <c r="E25" s="539"/>
      <c r="F25" s="538"/>
      <c r="G25" s="539"/>
    </row>
    <row r="26" spans="1:7">
      <c r="A26" s="204" t="s">
        <v>720</v>
      </c>
      <c r="B26" s="537"/>
      <c r="C26" s="539"/>
      <c r="D26" s="537"/>
      <c r="E26" s="539"/>
      <c r="F26" s="538"/>
      <c r="G26" s="539"/>
    </row>
    <row r="27" spans="1:7">
      <c r="A27" s="204" t="s">
        <v>721</v>
      </c>
      <c r="B27" s="537"/>
      <c r="C27" s="539"/>
      <c r="D27" s="537"/>
      <c r="E27" s="539"/>
      <c r="F27" s="538"/>
      <c r="G27" s="539"/>
    </row>
    <row r="28" spans="1:7">
      <c r="A28" s="215" t="s">
        <v>338</v>
      </c>
      <c r="B28" s="238"/>
      <c r="C28" s="239"/>
      <c r="D28" s="238"/>
      <c r="E28" s="239"/>
      <c r="F28" s="240"/>
      <c r="G28" s="239"/>
    </row>
    <row r="31" spans="1:7">
      <c r="A31" s="212"/>
    </row>
    <row r="32" spans="1:7">
      <c r="A32" s="213"/>
    </row>
    <row r="33" spans="1:1">
      <c r="A33" s="237"/>
    </row>
    <row r="34" spans="1:1">
      <c r="A34" s="213"/>
    </row>
    <row r="35" spans="1:1">
      <c r="A35" s="213"/>
    </row>
    <row r="36" spans="1:1">
      <c r="A36" s="237"/>
    </row>
  </sheetData>
  <sheetProtection sheet="false"/>
  <mergeCells count="18">
    <mergeCell ref="A1:G1"/>
    <mergeCell ref="A3:C3"/>
    <mergeCell ref="F3:G3"/>
    <mergeCell ref="A4:C4"/>
    <mergeCell ref="E4:E5"/>
    <mergeCell ref="F4:G5"/>
    <mergeCell ref="B5:C5"/>
    <mergeCell ref="B10:C10"/>
    <mergeCell ref="D10:E10"/>
    <mergeCell ref="F10:G10"/>
    <mergeCell ref="A12:A22"/>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G22"/>
  <sheetViews>
    <sheetView workbookViewId="0">
      <selection activeCell="F4" sqref="F4:G5"/>
    </sheetView>
  </sheetViews>
  <sheetFormatPr baseColWidth="10" defaultColWidth="11.19921875" defaultRowHeight="14.5"/>
  <cols>
    <col min="1" max="1" customWidth="true" style="460" width="104.0" collapsed="true"/>
    <col min="2" max="16384" style="460" width="11.19921875" collapsed="true"/>
  </cols>
  <sheetData>
    <row r="1" spans="1:7" ht="18.5">
      <c r="A1" s="896" t="s">
        <v>1534</v>
      </c>
      <c r="B1" s="896"/>
      <c r="C1" s="896"/>
      <c r="D1" s="896"/>
      <c r="E1" s="896"/>
      <c r="F1" s="896"/>
      <c r="G1" s="896"/>
    </row>
    <row r="2" spans="1:7">
      <c r="A2" s="461"/>
      <c r="B2" s="461"/>
      <c r="C2" s="461"/>
      <c r="D2" s="461"/>
      <c r="E2" s="461"/>
      <c r="F2" s="461"/>
      <c r="G2" s="461"/>
    </row>
    <row r="3" spans="1:7">
      <c r="A3" s="897" t="s">
        <v>487</v>
      </c>
      <c r="B3" s="897"/>
      <c r="C3" s="897"/>
      <c r="D3" s="461"/>
      <c r="E3" s="467" t="s">
        <v>488</v>
      </c>
      <c r="F3" s="960">
        <f>+'Note 1'!E3</f>
        <v>44926</v>
      </c>
      <c r="G3" s="960"/>
    </row>
    <row r="4" spans="1:7">
      <c r="A4" s="898" t="str">
        <f>+'Note 1'!A4</f>
        <v>IAMGOLD BOTO SA</v>
      </c>
      <c r="B4" s="898"/>
      <c r="C4" s="898"/>
      <c r="D4" s="461"/>
      <c r="E4" s="961" t="s">
        <v>489</v>
      </c>
      <c r="F4" s="900">
        <f>+'Note 1'!E4</f>
        <v>12</v>
      </c>
      <c r="G4" s="900"/>
    </row>
    <row r="5" spans="1:7">
      <c r="A5" s="461" t="s">
        <v>490</v>
      </c>
      <c r="B5" s="902" t="str">
        <f>+'Note 1'!B5</f>
        <v>007768007</v>
      </c>
      <c r="C5" s="902"/>
      <c r="D5" s="461"/>
      <c r="E5" s="961"/>
      <c r="F5" s="901"/>
      <c r="G5" s="901"/>
    </row>
    <row r="6" spans="1:7">
      <c r="A6" s="461"/>
      <c r="B6" s="461"/>
      <c r="C6" s="461"/>
      <c r="D6" s="461"/>
      <c r="E6" s="461"/>
      <c r="F6" s="461"/>
      <c r="G6" s="461"/>
    </row>
    <row r="7" spans="1:7" ht="15" customHeight="1">
      <c r="A7" s="954" t="s">
        <v>340</v>
      </c>
      <c r="B7" s="956" t="s">
        <v>700</v>
      </c>
      <c r="C7" s="957"/>
    </row>
    <row r="8" spans="1:7">
      <c r="A8" s="955"/>
      <c r="B8" s="958"/>
      <c r="C8" s="959"/>
    </row>
    <row r="9" spans="1:7">
      <c r="A9" s="466" t="s">
        <v>1533</v>
      </c>
      <c r="B9" s="950"/>
      <c r="C9" s="950"/>
    </row>
    <row r="10" spans="1:7">
      <c r="A10" s="466" t="s">
        <v>701</v>
      </c>
      <c r="B10" s="948"/>
      <c r="C10" s="949"/>
    </row>
    <row r="11" spans="1:7">
      <c r="A11" s="466" t="s">
        <v>702</v>
      </c>
      <c r="B11" s="950"/>
      <c r="C11" s="950"/>
    </row>
    <row r="12" spans="1:7">
      <c r="A12" s="951" t="s">
        <v>705</v>
      </c>
      <c r="B12" s="548" t="s">
        <v>703</v>
      </c>
      <c r="C12" s="548" t="s">
        <v>704</v>
      </c>
    </row>
    <row r="13" spans="1:7" ht="56.25" customHeight="1">
      <c r="A13" s="952"/>
      <c r="B13" s="468" t="s">
        <v>1532</v>
      </c>
      <c r="C13" s="469"/>
    </row>
    <row r="14" spans="1:7">
      <c r="A14" s="952"/>
      <c r="B14" s="470"/>
      <c r="C14" s="470"/>
    </row>
    <row r="15" spans="1:7">
      <c r="A15" s="952"/>
      <c r="B15" s="470"/>
      <c r="C15" s="470"/>
    </row>
    <row r="16" spans="1:7">
      <c r="A16" s="953"/>
      <c r="B16" s="470"/>
      <c r="C16" s="470"/>
    </row>
    <row r="17" spans="1:3" ht="14.25" customHeight="1">
      <c r="A17" s="466" t="s">
        <v>717</v>
      </c>
      <c r="B17" s="469"/>
      <c r="C17" s="469"/>
    </row>
    <row r="18" spans="1:3" ht="14.25" customHeight="1">
      <c r="A18" s="466" t="s">
        <v>718</v>
      </c>
      <c r="B18" s="469"/>
      <c r="C18" s="469"/>
    </row>
    <row r="19" spans="1:3" ht="14.25" customHeight="1">
      <c r="A19" s="466" t="s">
        <v>719</v>
      </c>
      <c r="B19" s="469"/>
      <c r="C19" s="469"/>
    </row>
    <row r="20" spans="1:3" ht="18" customHeight="1">
      <c r="A20" s="466" t="s">
        <v>720</v>
      </c>
      <c r="B20" s="469"/>
      <c r="C20" s="469"/>
    </row>
    <row r="21" spans="1:3" ht="17.25" customHeight="1">
      <c r="A21" s="466" t="s">
        <v>721</v>
      </c>
      <c r="B21" s="469"/>
      <c r="C21" s="469"/>
    </row>
    <row r="22" spans="1:3">
      <c r="A22" s="471" t="s">
        <v>338</v>
      </c>
      <c r="B22" s="472"/>
      <c r="C22" s="472"/>
    </row>
  </sheetData>
  <sheetProtection sheet="false"/>
  <mergeCells count="13">
    <mergeCell ref="A1:G1"/>
    <mergeCell ref="A3:C3"/>
    <mergeCell ref="F3:G3"/>
    <mergeCell ref="A4:C4"/>
    <mergeCell ref="E4:E5"/>
    <mergeCell ref="F4:G5"/>
    <mergeCell ref="B5:C5"/>
    <mergeCell ref="B10:C10"/>
    <mergeCell ref="B11:C11"/>
    <mergeCell ref="A12:A16"/>
    <mergeCell ref="A7:A8"/>
    <mergeCell ref="B7:C8"/>
    <mergeCell ref="B9:C9"/>
  </mergeCells>
  <pageMargins left="0.7" right="0.7" top="0.75" bottom="0.75" header="0.3" footer="0.3"/>
  <pageSetup paperSize="9" scale="85"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G21"/>
  <sheetViews>
    <sheetView workbookViewId="0">
      <selection activeCell="B6" sqref="B6"/>
    </sheetView>
  </sheetViews>
  <sheetFormatPr baseColWidth="10" defaultColWidth="11.19921875" defaultRowHeight="14.5"/>
  <cols>
    <col min="1" max="1" customWidth="true" style="460" width="80.8984375" collapsed="true"/>
    <col min="2" max="16384" style="460" width="11.19921875" collapsed="true"/>
  </cols>
  <sheetData>
    <row r="1" spans="1:7" ht="18.5">
      <c r="A1" s="896" t="s">
        <v>1534</v>
      </c>
      <c r="B1" s="896"/>
      <c r="C1" s="896"/>
      <c r="D1" s="896"/>
      <c r="E1" s="896"/>
      <c r="F1" s="896"/>
      <c r="G1" s="896"/>
    </row>
    <row r="2" spans="1:7">
      <c r="A2" s="461"/>
      <c r="B2" s="461"/>
      <c r="C2" s="461"/>
      <c r="D2" s="461"/>
      <c r="E2" s="461"/>
      <c r="F2" s="461"/>
      <c r="G2" s="461"/>
    </row>
    <row r="3" spans="1:7">
      <c r="A3" s="897" t="s">
        <v>487</v>
      </c>
      <c r="B3" s="897"/>
      <c r="C3" s="897"/>
      <c r="D3" s="461"/>
      <c r="E3" s="467" t="s">
        <v>488</v>
      </c>
      <c r="F3" s="960">
        <f>+'Note 1'!E3</f>
        <v>44926</v>
      </c>
      <c r="G3" s="960"/>
    </row>
    <row r="4" spans="1:7">
      <c r="A4" s="898" t="str">
        <f>+'Note 1'!A4</f>
        <v>IAMGOLD BOTO SA</v>
      </c>
      <c r="B4" s="898"/>
      <c r="C4" s="898"/>
      <c r="D4" s="461"/>
      <c r="E4" s="961" t="s">
        <v>489</v>
      </c>
      <c r="F4" s="900">
        <f>+'Note 1'!E4</f>
        <v>12</v>
      </c>
      <c r="G4" s="900"/>
    </row>
    <row r="5" spans="1:7">
      <c r="A5" s="461" t="s">
        <v>490</v>
      </c>
      <c r="B5" s="902" t="str">
        <f>+'Note 1'!B5</f>
        <v>007768007</v>
      </c>
      <c r="C5" s="902"/>
      <c r="D5" s="461"/>
      <c r="E5" s="961"/>
      <c r="F5" s="901"/>
      <c r="G5" s="901"/>
    </row>
    <row r="6" spans="1:7">
      <c r="A6" s="461"/>
      <c r="B6" s="461"/>
      <c r="C6" s="461"/>
      <c r="D6" s="461"/>
      <c r="E6" s="461"/>
      <c r="F6" s="461"/>
      <c r="G6" s="461"/>
    </row>
    <row r="7" spans="1:7">
      <c r="A7" s="954" t="s">
        <v>340</v>
      </c>
      <c r="B7" s="956" t="s">
        <v>700</v>
      </c>
      <c r="C7" s="957"/>
    </row>
    <row r="8" spans="1:7">
      <c r="A8" s="955"/>
      <c r="B8" s="958"/>
      <c r="C8" s="959"/>
    </row>
    <row r="9" spans="1:7" ht="16.5" customHeight="1">
      <c r="A9" s="466" t="s">
        <v>1533</v>
      </c>
      <c r="B9" s="950"/>
      <c r="C9" s="950"/>
    </row>
    <row r="10" spans="1:7" ht="16.5" customHeight="1">
      <c r="A10" s="466" t="s">
        <v>701</v>
      </c>
      <c r="B10" s="548"/>
      <c r="C10" s="548"/>
    </row>
    <row r="11" spans="1:7">
      <c r="A11" s="466" t="s">
        <v>702</v>
      </c>
      <c r="B11" s="950"/>
      <c r="C11" s="950"/>
    </row>
    <row r="12" spans="1:7">
      <c r="A12" s="951" t="s">
        <v>705</v>
      </c>
      <c r="B12" s="548" t="s">
        <v>703</v>
      </c>
      <c r="C12" s="548" t="s">
        <v>704</v>
      </c>
    </row>
    <row r="13" spans="1:7" ht="45" customHeight="1">
      <c r="A13" s="952"/>
      <c r="B13" s="468" t="s">
        <v>1535</v>
      </c>
      <c r="C13" s="469"/>
    </row>
    <row r="14" spans="1:7">
      <c r="A14" s="952"/>
      <c r="B14" s="470"/>
      <c r="C14" s="470"/>
    </row>
    <row r="15" spans="1:7">
      <c r="A15" s="953"/>
      <c r="B15" s="470"/>
      <c r="C15" s="470"/>
    </row>
    <row r="16" spans="1:7">
      <c r="A16" s="466" t="s">
        <v>717</v>
      </c>
      <c r="B16" s="469"/>
      <c r="C16" s="469"/>
    </row>
    <row r="17" spans="1:3">
      <c r="A17" s="466" t="s">
        <v>718</v>
      </c>
      <c r="B17" s="469"/>
      <c r="C17" s="469"/>
    </row>
    <row r="18" spans="1:3">
      <c r="A18" s="466" t="s">
        <v>719</v>
      </c>
      <c r="B18" s="469"/>
      <c r="C18" s="469"/>
    </row>
    <row r="19" spans="1:3">
      <c r="A19" s="466" t="s">
        <v>720</v>
      </c>
      <c r="B19" s="469"/>
      <c r="C19" s="469"/>
    </row>
    <row r="20" spans="1:3">
      <c r="A20" s="466" t="s">
        <v>721</v>
      </c>
      <c r="B20" s="469"/>
      <c r="C20" s="469"/>
    </row>
    <row r="21" spans="1:3">
      <c r="A21" s="471" t="s">
        <v>338</v>
      </c>
      <c r="B21" s="472"/>
      <c r="C21" s="472"/>
    </row>
  </sheetData>
  <sheetProtection sheet="false"/>
  <mergeCells count="12">
    <mergeCell ref="A7:A8"/>
    <mergeCell ref="B7:C8"/>
    <mergeCell ref="B9:C9"/>
    <mergeCell ref="B11:C11"/>
    <mergeCell ref="A12:A15"/>
    <mergeCell ref="A1:G1"/>
    <mergeCell ref="A3:C3"/>
    <mergeCell ref="F3:G3"/>
    <mergeCell ref="A4:C4"/>
    <mergeCell ref="E4:E5"/>
    <mergeCell ref="F4:G5"/>
    <mergeCell ref="B5:C5"/>
  </mergeCells>
  <pageMargins left="0.7" right="0.7" top="0.75" bottom="0.75" header="0.3" footer="0.3"/>
  <pageSetup paperSize="9" scale="66"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D25"/>
  <sheetViews>
    <sheetView workbookViewId="0">
      <selection activeCell="D4" sqref="D4:D5"/>
    </sheetView>
  </sheetViews>
  <sheetFormatPr baseColWidth="10" defaultColWidth="12" defaultRowHeight="13"/>
  <cols>
    <col min="1" max="1" customWidth="true" style="202" width="39.3984375" collapsed="true"/>
    <col min="2" max="2" customWidth="true" style="202" width="24.3984375" collapsed="true"/>
    <col min="3" max="3" customWidth="true" style="202" width="26.3984375" collapsed="true"/>
    <col min="4" max="4" customWidth="true" style="202" width="21.3984375" collapsed="true"/>
    <col min="5" max="16384" style="202" width="12.0" collapsed="true"/>
  </cols>
  <sheetData>
    <row r="1" spans="1:4" ht="18.5">
      <c r="A1" s="856" t="s">
        <v>722</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6">
      <c r="A9" s="362" t="s">
        <v>723</v>
      </c>
      <c r="B9" s="545"/>
      <c r="C9" s="580"/>
      <c r="D9" s="580"/>
    </row>
    <row r="10" spans="1:4">
      <c r="A10" s="362" t="s">
        <v>724</v>
      </c>
      <c r="B10" s="545"/>
      <c r="C10" s="580"/>
      <c r="D10" s="580"/>
    </row>
    <row r="11" spans="1:4">
      <c r="A11" s="362" t="s">
        <v>725</v>
      </c>
      <c r="B11" s="545"/>
      <c r="C11" s="580"/>
      <c r="D11" s="580"/>
    </row>
    <row r="12" spans="1:4">
      <c r="A12" s="362" t="s">
        <v>726</v>
      </c>
      <c r="B12" s="545"/>
      <c r="C12" s="580"/>
      <c r="D12" s="580"/>
    </row>
    <row r="13" spans="1:4">
      <c r="A13" s="362" t="s">
        <v>727</v>
      </c>
      <c r="B13" s="545"/>
      <c r="C13" s="580"/>
      <c r="D13" s="580"/>
    </row>
    <row r="14" spans="1:4">
      <c r="A14" s="362" t="s">
        <v>615</v>
      </c>
      <c r="B14" s="545"/>
      <c r="C14" s="580"/>
      <c r="D14" s="580"/>
    </row>
    <row r="15" spans="1:4">
      <c r="A15" s="362" t="s">
        <v>728</v>
      </c>
      <c r="B15" s="545"/>
      <c r="C15" s="580"/>
      <c r="D15" s="580"/>
    </row>
    <row r="16" spans="1:4">
      <c r="A16" s="377" t="s">
        <v>655</v>
      </c>
      <c r="B16" s="349"/>
      <c r="C16" s="243"/>
      <c r="D16" s="243"/>
    </row>
    <row r="17" spans="1:4">
      <c r="A17" s="362" t="s">
        <v>729</v>
      </c>
      <c r="B17" s="545"/>
      <c r="C17" s="580"/>
      <c r="D17" s="580"/>
    </row>
    <row r="18" spans="1:4">
      <c r="A18" s="362"/>
      <c r="B18" s="545"/>
      <c r="C18" s="580"/>
      <c r="D18" s="580"/>
    </row>
    <row r="19" spans="1:4">
      <c r="A19" s="378" t="s">
        <v>114</v>
      </c>
      <c r="B19" s="542"/>
      <c r="C19" s="583"/>
      <c r="D19" s="583"/>
    </row>
    <row r="20" spans="1:4">
      <c r="A20" s="379" t="s">
        <v>529</v>
      </c>
    </row>
    <row r="21" spans="1:4">
      <c r="A21" s="213" t="s">
        <v>730</v>
      </c>
    </row>
    <row r="22" spans="1:4">
      <c r="A22" s="213" t="s">
        <v>731</v>
      </c>
    </row>
    <row r="23" spans="1:4">
      <c r="A23" s="237" t="s">
        <v>732</v>
      </c>
    </row>
    <row r="24" spans="1:4">
      <c r="A24" s="213" t="s">
        <v>733</v>
      </c>
    </row>
    <row r="25" spans="1:4">
      <c r="A25" s="213" t="s">
        <v>681</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D22"/>
  <sheetViews>
    <sheetView workbookViewId="0">
      <selection activeCell="C9" sqref="C9"/>
    </sheetView>
  </sheetViews>
  <sheetFormatPr baseColWidth="10" defaultColWidth="12" defaultRowHeight="13"/>
  <cols>
    <col min="1" max="1" customWidth="true" style="202" width="39.3984375" collapsed="true"/>
    <col min="2" max="2" customWidth="true" style="202" width="20.0" collapsed="true"/>
    <col min="3" max="4" customWidth="true" style="202" width="19.796875" collapsed="true"/>
    <col min="5" max="16384" style="202" width="12.0" collapsed="true"/>
  </cols>
  <sheetData>
    <row r="1" spans="1:4" ht="18.5">
      <c r="A1" s="856" t="s">
        <v>734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25" t="s">
        <v>1593</v>
      </c>
      <c r="D7" s="940" t="s">
        <v>639</v>
      </c>
    </row>
    <row r="8" spans="1:4" s="218" customFormat="1" ht="25.25" customHeight="1">
      <c r="A8" s="924"/>
      <c r="B8" s="928"/>
      <c r="C8" s="928"/>
      <c r="D8" s="942"/>
    </row>
    <row r="9" spans="1:4">
      <c r="A9" s="362" t="s">
        <v>735</v>
      </c>
      <c r="B9" s="545"/>
      <c r="C9" s="545"/>
      <c r="D9" s="546"/>
    </row>
    <row r="10" spans="1:4">
      <c r="A10" s="362" t="s">
        <v>736</v>
      </c>
      <c r="B10" s="545"/>
      <c r="C10" s="545"/>
      <c r="D10" s="546"/>
    </row>
    <row r="11" spans="1:4">
      <c r="A11" s="362" t="s">
        <v>737</v>
      </c>
      <c r="B11" s="545"/>
      <c r="C11" s="545"/>
      <c r="D11" s="546"/>
    </row>
    <row r="12" spans="1:4">
      <c r="A12" s="362" t="s">
        <v>738</v>
      </c>
      <c r="B12" s="545"/>
      <c r="C12" s="545"/>
      <c r="D12" s="546"/>
    </row>
    <row r="13" spans="1:4">
      <c r="A13" s="362" t="s">
        <v>739</v>
      </c>
      <c r="B13" s="545"/>
      <c r="C13" s="545"/>
      <c r="D13" s="546"/>
    </row>
    <row r="14" spans="1:4">
      <c r="A14" s="362" t="s">
        <v>740</v>
      </c>
      <c r="B14" s="545"/>
      <c r="C14" s="545"/>
      <c r="D14" s="546"/>
    </row>
    <row r="15" spans="1:4">
      <c r="A15" s="377" t="s">
        <v>741</v>
      </c>
      <c r="B15" s="349"/>
      <c r="C15" s="349"/>
      <c r="D15" s="236"/>
    </row>
    <row r="16" spans="1:4">
      <c r="A16" s="362" t="s">
        <v>742</v>
      </c>
      <c r="B16" s="545"/>
      <c r="C16" s="545"/>
      <c r="D16" s="546"/>
    </row>
    <row r="17" spans="1:4">
      <c r="A17" s="362"/>
      <c r="B17" s="545"/>
      <c r="C17" s="545"/>
      <c r="D17" s="546"/>
    </row>
    <row r="18" spans="1:4" ht="23" customHeight="1">
      <c r="A18" s="378" t="s">
        <v>114</v>
      </c>
      <c r="B18" s="542"/>
      <c r="C18" s="542"/>
      <c r="D18" s="543"/>
    </row>
    <row r="19" spans="1:4">
      <c r="A19" s="212" t="s">
        <v>529</v>
      </c>
    </row>
    <row r="20" spans="1:4">
      <c r="A20" s="213" t="s">
        <v>743</v>
      </c>
    </row>
    <row r="21" spans="1:4">
      <c r="A21" s="213" t="s">
        <v>681</v>
      </c>
    </row>
    <row r="22" spans="1:4">
      <c r="A22" s="237"/>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pageSetUpPr fitToPage="1"/>
  </sheetPr>
  <dimension ref="A1:D37"/>
  <sheetViews>
    <sheetView workbookViewId="0">
      <selection activeCell="B9" sqref="B9"/>
    </sheetView>
  </sheetViews>
  <sheetFormatPr baseColWidth="10" defaultColWidth="12" defaultRowHeight="13"/>
  <cols>
    <col min="1" max="1" customWidth="true" style="202" width="39.3984375" collapsed="true"/>
    <col min="2" max="2" customWidth="true" style="202" width="21.3984375" collapsed="true"/>
    <col min="3" max="3" customWidth="true" style="202" width="18.796875" collapsed="true"/>
    <col min="4" max="4" customWidth="true" style="202" width="22.3984375" collapsed="true"/>
    <col min="5" max="16384" style="202" width="12.0" collapsed="true"/>
  </cols>
  <sheetData>
    <row r="1" spans="1:4" ht="18.5">
      <c r="A1" s="856" t="s">
        <v>744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25" t="s">
        <v>1593</v>
      </c>
      <c r="D7" s="940" t="s">
        <v>639</v>
      </c>
    </row>
    <row r="8" spans="1:4" s="218" customFormat="1" ht="25.25" customHeight="1">
      <c r="A8" s="924"/>
      <c r="B8" s="928"/>
      <c r="C8" s="928"/>
      <c r="D8" s="942"/>
    </row>
    <row r="9" spans="1:4">
      <c r="A9" s="362" t="s">
        <v>745</v>
      </c>
      <c r="B9" s="409">
        <v>810329958</v>
      </c>
      <c r="C9" s="409">
        <v>1672364151</v>
      </c>
      <c r="D9" s="418">
        <v>-0.51545842601597358</v>
      </c>
    </row>
    <row r="10" spans="1:4">
      <c r="A10" s="362" t="s">
        <v>746</v>
      </c>
      <c r="B10" s="545">
        <v>0</v>
      </c>
      <c r="C10" s="545">
        <v>0</v>
      </c>
      <c r="D10" s="418">
        <v>0</v>
      </c>
    </row>
    <row r="11" spans="1:4">
      <c r="A11" s="362" t="s">
        <v>747</v>
      </c>
      <c r="B11" s="545">
        <v>0</v>
      </c>
      <c r="C11" s="545">
        <v>0</v>
      </c>
      <c r="D11" s="418">
        <v>0</v>
      </c>
    </row>
    <row r="12" spans="1:4">
      <c r="A12" s="362" t="s">
        <v>748</v>
      </c>
      <c r="B12" s="545">
        <v>0</v>
      </c>
      <c r="C12" s="545">
        <v>0</v>
      </c>
      <c r="D12" s="418">
        <v>0</v>
      </c>
    </row>
    <row r="13" spans="1:4">
      <c r="A13" s="362" t="s">
        <v>749</v>
      </c>
      <c r="B13" s="545">
        <v>0</v>
      </c>
      <c r="C13" s="545">
        <v>0</v>
      </c>
      <c r="D13" s="418">
        <v>0</v>
      </c>
    </row>
    <row r="14" spans="1:4">
      <c r="A14" s="362" t="s">
        <v>750</v>
      </c>
      <c r="B14" s="545">
        <v>0</v>
      </c>
      <c r="C14" s="545">
        <v>0</v>
      </c>
      <c r="D14" s="418">
        <v>0</v>
      </c>
    </row>
    <row r="15" spans="1:4">
      <c r="A15" s="362" t="s">
        <v>751</v>
      </c>
      <c r="B15" s="545">
        <v>0</v>
      </c>
      <c r="C15" s="545">
        <v>0</v>
      </c>
      <c r="D15" s="418">
        <v>0</v>
      </c>
    </row>
    <row r="16" spans="1:4">
      <c r="A16" s="362" t="s">
        <v>752</v>
      </c>
      <c r="B16" s="545">
        <v>0</v>
      </c>
      <c r="C16" s="545">
        <v>0</v>
      </c>
      <c r="D16" s="418">
        <v>0</v>
      </c>
    </row>
    <row r="17" spans="1:4">
      <c r="A17" s="362" t="s">
        <v>753</v>
      </c>
      <c r="B17" s="545">
        <v>0</v>
      </c>
      <c r="C17" s="545">
        <v>0</v>
      </c>
      <c r="D17" s="418">
        <v>0</v>
      </c>
    </row>
    <row r="18" spans="1:4">
      <c r="A18" s="362" t="s">
        <v>754</v>
      </c>
      <c r="B18" s="545">
        <v>4349650</v>
      </c>
      <c r="C18" s="545">
        <v>5579720</v>
      </c>
      <c r="D18" s="418">
        <v>-0.22045371452330942</v>
      </c>
    </row>
    <row r="19" spans="1:4">
      <c r="A19" s="362" t="s">
        <v>755</v>
      </c>
      <c r="B19" s="545">
        <v>0</v>
      </c>
      <c r="C19" s="545">
        <v>0</v>
      </c>
      <c r="D19" s="418">
        <v>0</v>
      </c>
    </row>
    <row r="20" spans="1:4">
      <c r="A20" s="362" t="s">
        <v>756</v>
      </c>
      <c r="B20" s="545">
        <v>0</v>
      </c>
      <c r="C20" s="545">
        <v>0</v>
      </c>
      <c r="D20" s="418">
        <v>0</v>
      </c>
    </row>
    <row r="21" spans="1:4">
      <c r="A21" s="377" t="s">
        <v>757</v>
      </c>
      <c r="B21" s="410">
        <v>814679608</v>
      </c>
      <c r="C21" s="410">
        <v>1677943871</v>
      </c>
      <c r="D21" s="582">
        <v>-0.51447743748753794</v>
      </c>
    </row>
    <row r="22" spans="1:4">
      <c r="A22" s="362" t="s">
        <v>758</v>
      </c>
      <c r="B22" s="545">
        <v>0</v>
      </c>
      <c r="C22" s="545">
        <v>0</v>
      </c>
      <c r="D22" s="580">
        <v>0</v>
      </c>
    </row>
    <row r="23" spans="1:4">
      <c r="A23" s="362"/>
      <c r="B23" s="545"/>
      <c r="C23" s="545"/>
      <c r="D23" s="580"/>
    </row>
    <row r="24" spans="1:4" ht="23.5" customHeight="1">
      <c r="A24" s="378" t="s">
        <v>114</v>
      </c>
      <c r="B24" s="413">
        <v>814679608</v>
      </c>
      <c r="C24" s="413">
        <v>1677943871</v>
      </c>
      <c r="D24" s="585">
        <v>-0.51447743748753794</v>
      </c>
    </row>
    <row r="25" spans="1:4">
      <c r="A25" s="379" t="s">
        <v>529</v>
      </c>
    </row>
    <row r="26" spans="1:4">
      <c r="A26" s="213" t="s">
        <v>759</v>
      </c>
    </row>
    <row r="27" spans="1:4">
      <c r="A27" s="213" t="s">
        <v>760</v>
      </c>
    </row>
    <row r="28" spans="1:4">
      <c r="A28" s="213" t="s">
        <v>692</v>
      </c>
    </row>
    <row r="29" spans="1:4">
      <c r="A29" s="213" t="s">
        <v>761</v>
      </c>
    </row>
    <row r="30" spans="1:4">
      <c r="A30" s="213" t="s">
        <v>681</v>
      </c>
    </row>
    <row r="31" spans="1:4">
      <c r="A31" s="237"/>
    </row>
    <row r="32" spans="1:4">
      <c r="A32" s="212" t="s">
        <v>762</v>
      </c>
    </row>
    <row r="33" spans="1:1">
      <c r="A33" s="212" t="s">
        <v>763</v>
      </c>
    </row>
    <row r="35" spans="1:1">
      <c r="A35" s="202" t="s">
        <v>1597</v>
      </c>
    </row>
    <row r="36" spans="1:1">
      <c r="A36" s="202" t="s">
        <v>1598</v>
      </c>
    </row>
    <row r="37" spans="1:1">
      <c r="A37" s="202" t="s">
        <v>1599</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xr:uid="{00000000-0002-0000-1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9"/>
    <pageSetUpPr fitToPage="1"/>
  </sheetPr>
  <dimension ref="A1:G33"/>
  <sheetViews>
    <sheetView workbookViewId="0">
      <selection activeCell="A34" sqref="A34"/>
    </sheetView>
  </sheetViews>
  <sheetFormatPr baseColWidth="10" defaultColWidth="12" defaultRowHeight="13"/>
  <cols>
    <col min="1" max="1" customWidth="true" style="202" width="39.3984375" collapsed="true"/>
    <col min="2" max="2" bestFit="true" customWidth="true" style="202" width="9.3984375" collapsed="true"/>
    <col min="3" max="3" bestFit="true" customWidth="true" style="202" width="11.296875" collapsed="true"/>
    <col min="4" max="4" customWidth="true" style="202" width="9.3984375" collapsed="true"/>
    <col min="5" max="7" customWidth="true" style="202" width="13.69921875" collapsed="true"/>
    <col min="8" max="16384" style="202" width="12.0" collapsed="true"/>
  </cols>
  <sheetData>
    <row r="1" spans="1:7" ht="18.5">
      <c r="A1" s="856" t="s">
        <v>764</v>
      </c>
      <c r="B1" s="856"/>
      <c r="C1" s="856"/>
      <c r="D1" s="856"/>
      <c r="E1" s="856"/>
      <c r="F1" s="856"/>
      <c r="G1" s="856"/>
    </row>
    <row r="2" spans="1:7" ht="8.15" customHeight="1"/>
    <row r="3" spans="1:7" ht="12.75" customHeight="1">
      <c r="A3" s="857" t="s">
        <v>487</v>
      </c>
      <c r="B3" s="857"/>
      <c r="C3" s="857"/>
      <c r="E3" s="214"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s="218" customFormat="1" ht="25.25" customHeight="1">
      <c r="A7" s="851" t="s">
        <v>340</v>
      </c>
      <c r="B7" s="883" t="s">
        <v>765</v>
      </c>
      <c r="C7" s="925" t="s">
        <v>766</v>
      </c>
      <c r="D7" s="927"/>
      <c r="E7" s="931" t="s">
        <v>767</v>
      </c>
      <c r="F7" s="931" t="s">
        <v>768</v>
      </c>
      <c r="G7" s="883" t="s">
        <v>769</v>
      </c>
    </row>
    <row r="8" spans="1:7" s="218" customFormat="1" ht="25.25" customHeight="1">
      <c r="A8" s="924"/>
      <c r="B8" s="874"/>
      <c r="C8" s="928"/>
      <c r="D8" s="930"/>
      <c r="E8" s="877"/>
      <c r="F8" s="877"/>
      <c r="G8" s="874"/>
    </row>
    <row r="9" spans="1:7" ht="25.5" customHeight="1">
      <c r="A9" s="362" t="s">
        <v>770</v>
      </c>
      <c r="B9" s="205"/>
      <c r="C9" s="921"/>
      <c r="D9" s="923"/>
      <c r="E9" s="205"/>
      <c r="F9" s="205"/>
      <c r="G9" s="205"/>
    </row>
    <row r="10" spans="1:7" ht="25.5" customHeight="1">
      <c r="A10" s="362"/>
      <c r="B10" s="205" t="s">
        <v>1602</v>
      </c>
      <c r="C10" s="921">
        <v>68257289</v>
      </c>
      <c r="D10" s="923"/>
      <c r="E10" s="205">
        <v>38999072485</v>
      </c>
      <c r="F10" s="205">
        <v>41868870906.564201</v>
      </c>
      <c r="G10" s="205">
        <v>2869798421.5642014</v>
      </c>
    </row>
    <row r="11" spans="1:7" ht="25.5" customHeight="1">
      <c r="A11" s="362"/>
      <c r="B11" s="205" t="s">
        <v>1602</v>
      </c>
      <c r="C11" s="921">
        <v>35923.64</v>
      </c>
      <c r="D11" s="923"/>
      <c r="E11" s="205">
        <v>21844453</v>
      </c>
      <c r="F11" s="205">
        <v>22035481.743992001</v>
      </c>
      <c r="G11" s="205">
        <v>191028.74399200082</v>
      </c>
    </row>
    <row r="12" spans="1:7" ht="25.5" customHeight="1">
      <c r="A12" s="362" t="s">
        <v>771</v>
      </c>
      <c r="B12" s="205"/>
      <c r="C12" s="921"/>
      <c r="D12" s="923"/>
      <c r="E12" s="205"/>
      <c r="F12" s="205"/>
      <c r="G12" s="205"/>
    </row>
    <row r="13" spans="1:7" ht="25.5" customHeight="1">
      <c r="A13" s="362"/>
      <c r="B13" s="205" t="s">
        <v>1602</v>
      </c>
      <c r="C13" s="921">
        <v>822750.95</v>
      </c>
      <c r="D13" s="923"/>
      <c r="E13" s="205">
        <v>507654812</v>
      </c>
      <c r="F13" s="205">
        <v>504673622.67790997</v>
      </c>
      <c r="G13" s="205">
        <v>2981189.3220900297</v>
      </c>
    </row>
    <row r="14" spans="1:7" ht="25.5" customHeight="1">
      <c r="A14" s="363"/>
      <c r="B14" s="205"/>
      <c r="C14" s="921"/>
      <c r="D14" s="923"/>
      <c r="E14" s="205"/>
      <c r="F14" s="205"/>
      <c r="G14" s="205"/>
    </row>
    <row r="15" spans="1:7">
      <c r="A15" s="379" t="s">
        <v>529</v>
      </c>
    </row>
    <row r="16" spans="1:7">
      <c r="A16" s="213" t="s">
        <v>772</v>
      </c>
    </row>
    <row r="17" spans="1:7">
      <c r="A17" s="213"/>
    </row>
    <row r="18" spans="1:7">
      <c r="A18" s="235"/>
    </row>
    <row r="20" spans="1:7" ht="18.5">
      <c r="A20" s="938" t="s">
        <v>773</v>
      </c>
      <c r="B20" s="938"/>
      <c r="C20" s="938"/>
      <c r="D20" s="938"/>
      <c r="E20" s="938"/>
      <c r="F20" s="938"/>
      <c r="G20" s="938"/>
    </row>
    <row r="22" spans="1:7" s="218" customFormat="1" ht="25.25" customHeight="1">
      <c r="A22" s="851" t="s">
        <v>340</v>
      </c>
      <c r="B22" s="925" t="s">
        <v>774</v>
      </c>
      <c r="C22" s="927"/>
      <c r="D22" s="925" t="s">
        <v>775</v>
      </c>
      <c r="E22" s="927"/>
      <c r="F22" s="939" t="s">
        <v>639</v>
      </c>
      <c r="G22" s="940"/>
    </row>
    <row r="23" spans="1:7" s="218" customFormat="1" ht="25.25" customHeight="1">
      <c r="A23" s="924"/>
      <c r="B23" s="928"/>
      <c r="C23" s="930"/>
      <c r="D23" s="928"/>
      <c r="E23" s="930"/>
      <c r="F23" s="941"/>
      <c r="G23" s="942"/>
    </row>
    <row r="24" spans="1:7" ht="26">
      <c r="A24" s="204" t="s">
        <v>776</v>
      </c>
      <c r="B24" s="935"/>
      <c r="C24" s="936"/>
      <c r="D24" s="935"/>
      <c r="E24" s="936"/>
      <c r="F24" s="937"/>
      <c r="G24" s="936"/>
    </row>
    <row r="25" spans="1:7">
      <c r="A25" s="204" t="s">
        <v>1600</v>
      </c>
      <c r="B25" s="935">
        <v>46112334</v>
      </c>
      <c r="C25" s="936"/>
      <c r="D25" s="935">
        <v>42493272</v>
      </c>
      <c r="E25" s="936"/>
      <c r="F25" s="962">
        <v>0.09</v>
      </c>
      <c r="G25" s="936"/>
    </row>
    <row r="26" spans="1:7">
      <c r="A26" s="204" t="s">
        <v>1601</v>
      </c>
      <c r="B26" s="935">
        <v>0</v>
      </c>
      <c r="C26" s="936"/>
      <c r="D26" s="935">
        <v>95178668</v>
      </c>
      <c r="E26" s="936"/>
      <c r="F26" s="962">
        <v>-1</v>
      </c>
      <c r="G26" s="936"/>
    </row>
    <row r="27" spans="1:7" ht="26">
      <c r="A27" s="204" t="s">
        <v>777</v>
      </c>
      <c r="B27" s="935"/>
      <c r="C27" s="936"/>
      <c r="D27" s="935"/>
      <c r="E27" s="936"/>
      <c r="F27" s="937"/>
      <c r="G27" s="936"/>
    </row>
    <row r="28" spans="1:7">
      <c r="A28" s="204"/>
      <c r="B28" s="935"/>
      <c r="C28" s="936"/>
      <c r="D28" s="935"/>
      <c r="E28" s="936"/>
      <c r="F28" s="937"/>
      <c r="G28" s="936"/>
    </row>
    <row r="29" spans="1:7">
      <c r="A29" s="204"/>
      <c r="B29" s="935"/>
      <c r="C29" s="936"/>
      <c r="D29" s="935"/>
      <c r="E29" s="936"/>
      <c r="F29" s="937"/>
      <c r="G29" s="936"/>
    </row>
    <row r="30" spans="1:7">
      <c r="A30" s="215" t="s">
        <v>114</v>
      </c>
      <c r="B30" s="932"/>
      <c r="C30" s="933"/>
      <c r="D30" s="932"/>
      <c r="E30" s="933"/>
      <c r="F30" s="934"/>
      <c r="G30" s="933"/>
    </row>
    <row r="31" spans="1:7">
      <c r="A31" s="212" t="s">
        <v>529</v>
      </c>
    </row>
    <row r="32" spans="1:7">
      <c r="A32" s="213" t="s">
        <v>772</v>
      </c>
    </row>
    <row r="33" spans="1:1">
      <c r="A33" s="213"/>
    </row>
  </sheetData>
  <sheetProtection sheet="false"/>
  <mergeCells count="45">
    <mergeCell ref="G7:G8"/>
    <mergeCell ref="A1:G1"/>
    <mergeCell ref="A3:C3"/>
    <mergeCell ref="F3:G3"/>
    <mergeCell ref="A4:C4"/>
    <mergeCell ref="E4:E5"/>
    <mergeCell ref="F4:G5"/>
    <mergeCell ref="B5:C5"/>
    <mergeCell ref="A7:A8"/>
    <mergeCell ref="B7:B8"/>
    <mergeCell ref="C7:D8"/>
    <mergeCell ref="E7:E8"/>
    <mergeCell ref="F7:F8"/>
    <mergeCell ref="B24:C24"/>
    <mergeCell ref="D24:E24"/>
    <mergeCell ref="F24:G24"/>
    <mergeCell ref="C9:D9"/>
    <mergeCell ref="C10:D10"/>
    <mergeCell ref="C11:D11"/>
    <mergeCell ref="C12:D12"/>
    <mergeCell ref="C13:D13"/>
    <mergeCell ref="C14:D14"/>
    <mergeCell ref="A20:G20"/>
    <mergeCell ref="A22:A23"/>
    <mergeCell ref="B22:C23"/>
    <mergeCell ref="D22:E23"/>
    <mergeCell ref="F22:G23"/>
    <mergeCell ref="B25:C25"/>
    <mergeCell ref="D25:E25"/>
    <mergeCell ref="F25:G25"/>
    <mergeCell ref="B26:C26"/>
    <mergeCell ref="D26:E26"/>
    <mergeCell ref="F26:G26"/>
    <mergeCell ref="B27:C27"/>
    <mergeCell ref="D27:E27"/>
    <mergeCell ref="F27:G27"/>
    <mergeCell ref="B28:C28"/>
    <mergeCell ref="D28:E28"/>
    <mergeCell ref="F28:G28"/>
    <mergeCell ref="B29:C29"/>
    <mergeCell ref="D29:E29"/>
    <mergeCell ref="F29:G29"/>
    <mergeCell ref="B30:C30"/>
    <mergeCell ref="D30:E30"/>
    <mergeCell ref="F30:G30"/>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G28"/>
  <sheetViews>
    <sheetView tabSelected="1" topLeftCell="A4" workbookViewId="0">
      <selection activeCell="C11" sqref="C11:D11"/>
    </sheetView>
  </sheetViews>
  <sheetFormatPr baseColWidth="10" defaultColWidth="12" defaultRowHeight="13"/>
  <cols>
    <col min="1" max="1" customWidth="true" style="202" width="39.3984375" collapsed="true"/>
    <col min="2" max="2" bestFit="true" customWidth="true" style="202" width="9.3984375" collapsed="true"/>
    <col min="3" max="4" customWidth="true" style="202" width="9.3984375" collapsed="true"/>
    <col min="5" max="5" customWidth="true" style="202" width="11.19921875" collapsed="true"/>
    <col min="6" max="6" customWidth="true" style="202" width="14.796875" collapsed="true"/>
    <col min="7" max="7" customWidth="true" style="202" width="19.296875" collapsed="true"/>
    <col min="8" max="16384" style="202" width="12.0" collapsed="true"/>
  </cols>
  <sheetData>
    <row r="1" spans="1:7" ht="18.5">
      <c r="A1" s="856" t="s">
        <v>778</v>
      </c>
      <c r="B1" s="856"/>
      <c r="C1" s="856"/>
      <c r="D1" s="856"/>
      <c r="E1" s="856"/>
      <c r="F1" s="856"/>
      <c r="G1" s="856"/>
    </row>
    <row r="2" spans="1:7" ht="8.15" customHeight="1"/>
    <row r="3" spans="1:7" ht="12.75" customHeight="1">
      <c r="A3" s="857" t="s">
        <v>487</v>
      </c>
      <c r="B3" s="857"/>
      <c r="C3" s="857"/>
      <c r="E3" s="214"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ht="25.5" customHeight="1">
      <c r="E7" s="965" t="s">
        <v>779</v>
      </c>
      <c r="F7" s="965"/>
      <c r="G7" s="241">
        <v>6765</v>
      </c>
    </row>
    <row r="8" spans="1:7" s="218" customFormat="1" ht="25.25" customHeight="1">
      <c r="A8" s="851" t="s">
        <v>780</v>
      </c>
      <c r="B8" s="966" t="s">
        <v>781</v>
      </c>
      <c r="C8" s="925" t="s">
        <v>782</v>
      </c>
      <c r="D8" s="927"/>
      <c r="E8" s="931" t="s">
        <v>783</v>
      </c>
      <c r="F8" s="931" t="s">
        <v>784</v>
      </c>
      <c r="G8" s="931" t="s">
        <v>785</v>
      </c>
    </row>
    <row r="9" spans="1:7" s="218" customFormat="1" ht="25.25" customHeight="1">
      <c r="A9" s="924"/>
      <c r="B9" s="891"/>
      <c r="C9" s="928"/>
      <c r="D9" s="930"/>
      <c r="E9" s="877"/>
      <c r="F9" s="877"/>
      <c r="G9" s="877"/>
    </row>
    <row r="10" spans="1:7" ht="25.5" customHeight="1">
      <c r="A10" s="204" t="s">
        <v>1603</v>
      </c>
      <c r="B10" s="205" t="s">
        <v>1605</v>
      </c>
      <c r="C10" s="921" t="s">
        <v>724</v>
      </c>
      <c r="D10" s="923"/>
      <c r="E10" s="205">
        <v>900</v>
      </c>
      <c r="F10" s="403">
        <v>9000000</v>
      </c>
      <c r="G10" s="205">
        <v>0</v>
      </c>
    </row>
    <row r="11" spans="1:7" ht="25.5" customHeight="1">
      <c r="A11" s="204" t="s">
        <v>1604</v>
      </c>
      <c r="B11" s="205" t="s">
        <v>1606</v>
      </c>
      <c r="C11" s="921"/>
      <c r="D11" s="923"/>
      <c r="E11" s="205">
        <v>100</v>
      </c>
      <c r="F11" s="205">
        <v>1000000</v>
      </c>
      <c r="G11" s="205"/>
    </row>
    <row r="12" spans="1:7" ht="25.5" customHeight="1">
      <c r="A12" s="204"/>
      <c r="B12" s="205"/>
      <c r="C12" s="921"/>
      <c r="D12" s="923"/>
      <c r="E12" s="205"/>
      <c r="F12" s="205"/>
      <c r="G12" s="205"/>
    </row>
    <row r="13" spans="1:7" ht="25.5" customHeight="1">
      <c r="A13" s="204"/>
      <c r="B13" s="205"/>
      <c r="C13" s="921"/>
      <c r="D13" s="923"/>
      <c r="E13" s="205"/>
      <c r="F13" s="205"/>
      <c r="G13" s="205"/>
    </row>
    <row r="14" spans="1:7" ht="25.5" customHeight="1">
      <c r="A14" s="204"/>
      <c r="B14" s="205"/>
      <c r="C14" s="921"/>
      <c r="D14" s="923"/>
      <c r="E14" s="205"/>
      <c r="F14" s="205"/>
      <c r="G14" s="205"/>
    </row>
    <row r="15" spans="1:7" ht="25.5" customHeight="1">
      <c r="A15" s="204"/>
      <c r="B15" s="205"/>
      <c r="C15" s="921"/>
      <c r="D15" s="923"/>
      <c r="E15" s="205"/>
      <c r="F15" s="205"/>
      <c r="G15" s="205"/>
    </row>
    <row r="16" spans="1:7" ht="25.5" customHeight="1">
      <c r="A16" s="204"/>
      <c r="B16" s="205"/>
      <c r="C16" s="921"/>
      <c r="D16" s="923"/>
      <c r="E16" s="205"/>
      <c r="F16" s="205"/>
      <c r="G16" s="205"/>
    </row>
    <row r="17" spans="1:7" ht="25.5" customHeight="1">
      <c r="A17" s="204"/>
      <c r="B17" s="205"/>
      <c r="C17" s="921"/>
      <c r="D17" s="923"/>
      <c r="E17" s="205"/>
      <c r="F17" s="205"/>
      <c r="G17" s="205"/>
    </row>
    <row r="18" spans="1:7" ht="25.5" customHeight="1">
      <c r="A18" s="362" t="s">
        <v>786</v>
      </c>
      <c r="B18" s="206"/>
      <c r="C18" s="963"/>
      <c r="D18" s="964"/>
      <c r="E18" s="206"/>
      <c r="F18" s="205"/>
      <c r="G18" s="206"/>
    </row>
    <row r="19" spans="1:7" ht="25.5" customHeight="1">
      <c r="A19" s="365"/>
      <c r="B19" s="538"/>
      <c r="C19" s="922"/>
      <c r="D19" s="922"/>
      <c r="E19" s="242" t="s">
        <v>114</v>
      </c>
      <c r="F19" s="525">
        <v>10000000</v>
      </c>
      <c r="G19" s="205"/>
    </row>
    <row r="20" spans="1:7">
      <c r="A20" s="379" t="s">
        <v>529</v>
      </c>
    </row>
    <row r="21" spans="1:7">
      <c r="A21" s="213" t="s">
        <v>787</v>
      </c>
    </row>
    <row r="22" spans="1:7">
      <c r="A22" s="213" t="s">
        <v>788</v>
      </c>
    </row>
    <row r="23" spans="1:7">
      <c r="A23" s="213" t="s">
        <v>789</v>
      </c>
    </row>
    <row r="24" spans="1:7">
      <c r="A24" s="213" t="s">
        <v>790</v>
      </c>
    </row>
    <row r="25" spans="1:7">
      <c r="A25" s="213" t="s">
        <v>791</v>
      </c>
    </row>
    <row r="27" spans="1:7">
      <c r="A27" s="202" t="s">
        <v>1607</v>
      </c>
    </row>
    <row r="28" spans="1:7">
      <c r="A28" s="202" t="s">
        <v>1608</v>
      </c>
    </row>
  </sheetData>
  <sheetProtection sheet="false"/>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G31"/>
  <sheetViews>
    <sheetView workbookViewId="0">
      <selection activeCell="D9" sqref="D9:E9"/>
    </sheetView>
  </sheetViews>
  <sheetFormatPr baseColWidth="10" defaultColWidth="12" defaultRowHeight="13"/>
  <cols>
    <col min="1" max="1" customWidth="true" style="202" width="39.3984375" collapsed="true"/>
    <col min="2" max="2" bestFit="true" customWidth="true" style="202" width="9.3984375" collapsed="true"/>
    <col min="3" max="3" bestFit="true" customWidth="true" style="202" width="11.296875" collapsed="true"/>
    <col min="4" max="4" customWidth="true" style="202" width="9.3984375" collapsed="true"/>
    <col min="5" max="7" customWidth="true" style="202" width="13.69921875" collapsed="true"/>
    <col min="8" max="16384" style="202" width="12.0" collapsed="true"/>
  </cols>
  <sheetData>
    <row r="1" spans="1:7" ht="18.5">
      <c r="A1" s="856" t="s">
        <v>792</v>
      </c>
      <c r="B1" s="856"/>
      <c r="C1" s="856"/>
      <c r="D1" s="856"/>
      <c r="E1" s="856"/>
      <c r="F1" s="856"/>
      <c r="G1" s="856"/>
    </row>
    <row r="2" spans="1:7" ht="8.15" customHeight="1"/>
    <row r="3" spans="1:7" ht="12.75" customHeight="1">
      <c r="A3" s="857" t="s">
        <v>487</v>
      </c>
      <c r="B3" s="857"/>
      <c r="C3" s="857"/>
      <c r="E3" s="217"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s="218" customFormat="1" ht="25.25" customHeight="1">
      <c r="A7" s="851" t="s">
        <v>340</v>
      </c>
      <c r="B7" s="925" t="s">
        <v>1592</v>
      </c>
      <c r="C7" s="927"/>
      <c r="D7" s="925" t="s">
        <v>1593</v>
      </c>
      <c r="E7" s="927"/>
      <c r="F7" s="939" t="s">
        <v>793</v>
      </c>
      <c r="G7" s="940"/>
    </row>
    <row r="8" spans="1:7" s="218" customFormat="1" ht="25.25" customHeight="1">
      <c r="A8" s="924"/>
      <c r="B8" s="928"/>
      <c r="C8" s="930"/>
      <c r="D8" s="928"/>
      <c r="E8" s="930"/>
      <c r="F8" s="941"/>
      <c r="G8" s="942"/>
    </row>
    <row r="9" spans="1:7">
      <c r="A9" s="362" t="s">
        <v>794</v>
      </c>
      <c r="B9" s="935"/>
      <c r="C9" s="936"/>
      <c r="D9" s="935"/>
      <c r="E9" s="936"/>
      <c r="F9" s="937"/>
      <c r="G9" s="936"/>
    </row>
    <row r="10" spans="1:7">
      <c r="A10" s="362" t="s">
        <v>795</v>
      </c>
      <c r="B10" s="935"/>
      <c r="C10" s="936"/>
      <c r="D10" s="935"/>
      <c r="E10" s="936"/>
      <c r="F10" s="937"/>
      <c r="G10" s="936"/>
    </row>
    <row r="11" spans="1:7">
      <c r="A11" s="362" t="s">
        <v>796</v>
      </c>
      <c r="B11" s="935"/>
      <c r="C11" s="936"/>
      <c r="D11" s="935"/>
      <c r="E11" s="936"/>
      <c r="F11" s="937"/>
      <c r="G11" s="936"/>
    </row>
    <row r="12" spans="1:7">
      <c r="A12" s="362" t="s">
        <v>797</v>
      </c>
      <c r="B12" s="935"/>
      <c r="C12" s="936"/>
      <c r="D12" s="935"/>
      <c r="E12" s="936"/>
      <c r="F12" s="937"/>
      <c r="G12" s="936"/>
    </row>
    <row r="13" spans="1:7">
      <c r="A13" s="362" t="s">
        <v>798</v>
      </c>
      <c r="B13" s="935"/>
      <c r="C13" s="936"/>
      <c r="D13" s="935"/>
      <c r="E13" s="936"/>
      <c r="F13" s="937"/>
      <c r="G13" s="936"/>
    </row>
    <row r="14" spans="1:7">
      <c r="A14" s="362"/>
      <c r="B14" s="935"/>
      <c r="C14" s="936"/>
      <c r="D14" s="935"/>
      <c r="E14" s="936"/>
      <c r="F14" s="937"/>
      <c r="G14" s="936"/>
    </row>
    <row r="15" spans="1:7">
      <c r="A15" s="377" t="s">
        <v>799</v>
      </c>
      <c r="B15" s="349"/>
      <c r="C15" s="236"/>
      <c r="D15" s="349"/>
      <c r="E15" s="236"/>
      <c r="F15" s="350"/>
      <c r="G15" s="236"/>
    </row>
    <row r="16" spans="1:7">
      <c r="A16" s="362" t="s">
        <v>800</v>
      </c>
      <c r="B16" s="935"/>
      <c r="C16" s="936"/>
      <c r="D16" s="935"/>
      <c r="E16" s="936"/>
      <c r="F16" s="937"/>
      <c r="G16" s="936"/>
    </row>
    <row r="17" spans="1:7">
      <c r="A17" s="362" t="s">
        <v>801</v>
      </c>
      <c r="B17" s="935"/>
      <c r="C17" s="936"/>
      <c r="D17" s="935"/>
      <c r="E17" s="936"/>
      <c r="F17" s="937"/>
      <c r="G17" s="936"/>
    </row>
    <row r="18" spans="1:7">
      <c r="A18" s="362" t="s">
        <v>802</v>
      </c>
      <c r="B18" s="935"/>
      <c r="C18" s="936"/>
      <c r="D18" s="935"/>
      <c r="E18" s="936"/>
      <c r="F18" s="937"/>
      <c r="G18" s="936"/>
    </row>
    <row r="19" spans="1:7" ht="26">
      <c r="A19" s="362" t="s">
        <v>803</v>
      </c>
      <c r="B19" s="935"/>
      <c r="C19" s="936"/>
      <c r="D19" s="935"/>
      <c r="E19" s="936"/>
      <c r="F19" s="937"/>
      <c r="G19" s="936"/>
    </row>
    <row r="20" spans="1:7">
      <c r="A20" s="362" t="s">
        <v>804</v>
      </c>
      <c r="B20" s="935"/>
      <c r="C20" s="936"/>
      <c r="D20" s="935"/>
      <c r="E20" s="936"/>
      <c r="F20" s="937"/>
      <c r="G20" s="936"/>
    </row>
    <row r="21" spans="1:7">
      <c r="A21" s="362"/>
      <c r="B21" s="935"/>
      <c r="C21" s="936"/>
      <c r="D21" s="935"/>
      <c r="E21" s="936"/>
      <c r="F21" s="937"/>
      <c r="G21" s="936"/>
    </row>
    <row r="22" spans="1:7">
      <c r="A22" s="377" t="s">
        <v>805</v>
      </c>
      <c r="B22" s="349"/>
      <c r="C22" s="236"/>
      <c r="D22" s="349"/>
      <c r="E22" s="236"/>
      <c r="F22" s="350"/>
      <c r="G22" s="236"/>
    </row>
    <row r="23" spans="1:7">
      <c r="A23" s="362"/>
      <c r="B23" s="935"/>
      <c r="C23" s="936"/>
      <c r="D23" s="935"/>
      <c r="E23" s="936"/>
      <c r="F23" s="937"/>
      <c r="G23" s="936"/>
    </row>
    <row r="24" spans="1:7">
      <c r="A24" s="381" t="s">
        <v>252</v>
      </c>
      <c r="B24" s="935"/>
      <c r="C24" s="936"/>
      <c r="D24" s="935"/>
      <c r="E24" s="936"/>
      <c r="F24" s="937"/>
      <c r="G24" s="936"/>
    </row>
    <row r="25" spans="1:7">
      <c r="A25" s="362"/>
      <c r="B25" s="935"/>
      <c r="C25" s="936"/>
      <c r="D25" s="935"/>
      <c r="E25" s="936"/>
      <c r="F25" s="937"/>
      <c r="G25" s="936"/>
    </row>
    <row r="26" spans="1:7">
      <c r="A26" s="378" t="s">
        <v>256</v>
      </c>
      <c r="B26" s="932"/>
      <c r="C26" s="933"/>
      <c r="D26" s="932"/>
      <c r="E26" s="933"/>
      <c r="F26" s="934"/>
      <c r="G26" s="933"/>
    </row>
    <row r="27" spans="1:7">
      <c r="A27" s="379" t="s">
        <v>529</v>
      </c>
    </row>
    <row r="28" spans="1:7">
      <c r="A28" s="213" t="s">
        <v>806</v>
      </c>
    </row>
    <row r="29" spans="1:7">
      <c r="A29" s="213" t="s">
        <v>807</v>
      </c>
    </row>
    <row r="30" spans="1:7">
      <c r="A30" s="213" t="s">
        <v>808</v>
      </c>
    </row>
    <row r="31" spans="1:7">
      <c r="A31" s="213" t="s">
        <v>809</v>
      </c>
    </row>
  </sheetData>
  <sheetProtection sheet="false"/>
  <mergeCells count="59">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B21:C21"/>
    <mergeCell ref="D21:E21"/>
    <mergeCell ref="F21:G21"/>
    <mergeCell ref="B23:C23"/>
    <mergeCell ref="D23:E23"/>
    <mergeCell ref="F23:G23"/>
    <mergeCell ref="B26:C26"/>
    <mergeCell ref="D26:E26"/>
    <mergeCell ref="F26:G26"/>
    <mergeCell ref="B24:C24"/>
    <mergeCell ref="D24:E24"/>
    <mergeCell ref="F24:G24"/>
    <mergeCell ref="B25:C25"/>
    <mergeCell ref="D25:E25"/>
    <mergeCell ref="F25:G2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xr:uid="{00000000-0002-0000-1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H32"/>
  <sheetViews>
    <sheetView workbookViewId="0">
      <selection activeCell="C9" sqref="C9"/>
    </sheetView>
  </sheetViews>
  <sheetFormatPr baseColWidth="10" defaultColWidth="12" defaultRowHeight="13"/>
  <cols>
    <col min="1" max="1" customWidth="true" style="202" width="35.796875" collapsed="true"/>
    <col min="2" max="2" bestFit="true" customWidth="true" style="202" width="6.19921875" collapsed="true"/>
    <col min="3" max="8" customWidth="true" style="202" width="11.296875" collapsed="true"/>
    <col min="9" max="16384" style="202" width="12.0" collapsed="true"/>
  </cols>
  <sheetData>
    <row r="1" spans="1:8" ht="18.5">
      <c r="A1" s="856" t="s">
        <v>810</v>
      </c>
      <c r="B1" s="856"/>
      <c r="C1" s="856"/>
      <c r="D1" s="856"/>
      <c r="E1" s="856"/>
      <c r="F1" s="856"/>
      <c r="G1" s="856"/>
      <c r="H1" s="856"/>
    </row>
    <row r="2" spans="1:8" ht="8.15" customHeight="1"/>
    <row r="3" spans="1:8" ht="12.75" customHeight="1">
      <c r="A3" s="857" t="s">
        <v>487</v>
      </c>
      <c r="B3" s="857"/>
      <c r="C3" s="857"/>
      <c r="E3" s="214" t="s">
        <v>488</v>
      </c>
      <c r="F3" s="878">
        <f>+'Note 1'!E3</f>
        <v>44926</v>
      </c>
      <c r="G3" s="878"/>
    </row>
    <row r="4" spans="1:8" ht="15" customHeight="1">
      <c r="A4" s="864" t="str">
        <f>+'Note 1'!A4</f>
        <v>IAMGOLD BOTO SA</v>
      </c>
      <c r="B4" s="864"/>
      <c r="C4" s="864"/>
      <c r="E4" s="879" t="s">
        <v>489</v>
      </c>
      <c r="F4" s="880">
        <f>+'Note 1'!E4</f>
        <v>12</v>
      </c>
      <c r="G4" s="880"/>
    </row>
    <row r="5" spans="1:8" ht="15" customHeight="1">
      <c r="A5" s="202" t="s">
        <v>490</v>
      </c>
      <c r="B5" s="882" t="str">
        <f>+'Note 1'!B5</f>
        <v>007768007</v>
      </c>
      <c r="C5" s="882"/>
      <c r="E5" s="879"/>
      <c r="F5" s="881"/>
      <c r="G5" s="881"/>
    </row>
    <row r="6" spans="1:8" ht="8.15" customHeight="1"/>
    <row r="7" spans="1:8" s="218" customFormat="1" ht="25.25" customHeight="1">
      <c r="A7" s="851" t="s">
        <v>340</v>
      </c>
      <c r="B7" s="883" t="s">
        <v>341</v>
      </c>
      <c r="C7" s="883" t="s">
        <v>1630</v>
      </c>
      <c r="D7" s="883" t="s">
        <v>1593</v>
      </c>
      <c r="E7" s="931" t="s">
        <v>769</v>
      </c>
      <c r="F7" s="931" t="s">
        <v>606</v>
      </c>
      <c r="G7" s="931" t="s">
        <v>811</v>
      </c>
      <c r="H7" s="931" t="s">
        <v>812</v>
      </c>
    </row>
    <row r="8" spans="1:8" s="218" customFormat="1" ht="25.25" customHeight="1">
      <c r="A8" s="924"/>
      <c r="B8" s="874"/>
      <c r="C8" s="874"/>
      <c r="D8" s="874"/>
      <c r="E8" s="877"/>
      <c r="F8" s="877"/>
      <c r="G8" s="877"/>
      <c r="H8" s="877"/>
    </row>
    <row r="9" spans="1:8">
      <c r="A9" s="362" t="s">
        <v>513</v>
      </c>
      <c r="B9" s="205"/>
      <c r="C9" s="205"/>
      <c r="D9" s="205"/>
      <c r="E9" s="205"/>
      <c r="F9" s="205"/>
      <c r="G9" s="205"/>
      <c r="H9" s="205"/>
    </row>
    <row r="10" spans="1:8">
      <c r="A10" s="362" t="s">
        <v>813</v>
      </c>
      <c r="B10" s="205"/>
      <c r="C10" s="205"/>
      <c r="D10" s="205"/>
      <c r="E10" s="205"/>
      <c r="F10" s="205"/>
      <c r="G10" s="205"/>
      <c r="H10" s="205"/>
    </row>
    <row r="11" spans="1:8">
      <c r="A11" s="362" t="s">
        <v>814</v>
      </c>
      <c r="B11" s="205"/>
      <c r="C11" s="205"/>
      <c r="D11" s="205"/>
      <c r="E11" s="205"/>
      <c r="F11" s="205"/>
      <c r="G11" s="205"/>
      <c r="H11" s="205"/>
    </row>
    <row r="12" spans="1:8" ht="26">
      <c r="A12" s="362" t="s">
        <v>815</v>
      </c>
      <c r="B12" s="205"/>
      <c r="C12" s="205"/>
      <c r="D12" s="205"/>
      <c r="E12" s="205"/>
      <c r="F12" s="205"/>
      <c r="G12" s="205"/>
      <c r="H12" s="205"/>
    </row>
    <row r="13" spans="1:8">
      <c r="A13" s="362" t="s">
        <v>816</v>
      </c>
      <c r="B13" s="205"/>
      <c r="C13" s="205"/>
      <c r="D13" s="205"/>
      <c r="E13" s="205"/>
      <c r="F13" s="205"/>
      <c r="G13" s="205"/>
      <c r="H13" s="205"/>
    </row>
    <row r="14" spans="1:8">
      <c r="A14" s="362" t="s">
        <v>817</v>
      </c>
      <c r="B14" s="205"/>
      <c r="C14" s="205"/>
      <c r="D14" s="205"/>
      <c r="E14" s="205"/>
      <c r="F14" s="205"/>
      <c r="G14" s="205"/>
      <c r="H14" s="205"/>
    </row>
    <row r="15" spans="1:8">
      <c r="A15" s="362" t="s">
        <v>514</v>
      </c>
      <c r="B15" s="205"/>
      <c r="C15" s="205"/>
      <c r="D15" s="205"/>
      <c r="E15" s="205"/>
      <c r="F15" s="205"/>
      <c r="G15" s="205"/>
      <c r="H15" s="205"/>
    </row>
    <row r="16" spans="1:8">
      <c r="A16" s="362" t="s">
        <v>496</v>
      </c>
      <c r="B16" s="205"/>
      <c r="C16" s="205"/>
      <c r="D16" s="205"/>
      <c r="E16" s="205"/>
      <c r="F16" s="205"/>
      <c r="G16" s="205"/>
      <c r="H16" s="205"/>
    </row>
    <row r="17" spans="1:8">
      <c r="A17" s="377" t="s">
        <v>818</v>
      </c>
      <c r="B17" s="243"/>
      <c r="C17" s="243"/>
      <c r="D17" s="243"/>
      <c r="E17" s="243"/>
      <c r="F17" s="243"/>
      <c r="G17" s="243"/>
      <c r="H17" s="243"/>
    </row>
    <row r="18" spans="1:8">
      <c r="A18" s="362" t="s">
        <v>819</v>
      </c>
      <c r="B18" s="205"/>
      <c r="C18" s="205"/>
      <c r="D18" s="205"/>
      <c r="E18" s="205"/>
      <c r="F18" s="205"/>
      <c r="G18" s="205"/>
      <c r="H18" s="205"/>
    </row>
    <row r="19" spans="1:8">
      <c r="A19" s="362" t="s">
        <v>820</v>
      </c>
      <c r="B19" s="205"/>
      <c r="C19" s="205"/>
      <c r="D19" s="205"/>
      <c r="E19" s="205"/>
      <c r="F19" s="205"/>
      <c r="G19" s="205"/>
      <c r="H19" s="205"/>
    </row>
    <row r="20" spans="1:8">
      <c r="A20" s="362" t="s">
        <v>821</v>
      </c>
      <c r="B20" s="205" t="s">
        <v>822</v>
      </c>
      <c r="C20" s="205"/>
      <c r="D20" s="205"/>
      <c r="E20" s="205"/>
      <c r="F20" s="205"/>
      <c r="G20" s="205"/>
      <c r="H20" s="205"/>
    </row>
    <row r="21" spans="1:8" ht="26">
      <c r="A21" s="362" t="s">
        <v>823</v>
      </c>
      <c r="B21" s="205"/>
      <c r="C21" s="205"/>
      <c r="D21" s="205"/>
      <c r="E21" s="205"/>
      <c r="F21" s="205"/>
      <c r="G21" s="205"/>
      <c r="H21" s="205"/>
    </row>
    <row r="22" spans="1:8" ht="26">
      <c r="A22" s="362" t="s">
        <v>824</v>
      </c>
      <c r="B22" s="205"/>
      <c r="C22" s="205"/>
      <c r="D22" s="205"/>
      <c r="E22" s="205"/>
      <c r="F22" s="205"/>
      <c r="G22" s="205"/>
      <c r="H22" s="205"/>
    </row>
    <row r="23" spans="1:8">
      <c r="A23" s="362" t="s">
        <v>825</v>
      </c>
      <c r="B23" s="205"/>
      <c r="C23" s="205"/>
      <c r="D23" s="205"/>
      <c r="E23" s="205"/>
      <c r="F23" s="205"/>
      <c r="G23" s="205"/>
      <c r="H23" s="205"/>
    </row>
    <row r="24" spans="1:8">
      <c r="A24" s="362" t="s">
        <v>826</v>
      </c>
      <c r="B24" s="205"/>
      <c r="C24" s="205"/>
      <c r="D24" s="205"/>
      <c r="E24" s="205"/>
      <c r="F24" s="205"/>
      <c r="G24" s="205"/>
      <c r="H24" s="205"/>
    </row>
    <row r="25" spans="1:8">
      <c r="A25" s="377" t="s">
        <v>827</v>
      </c>
      <c r="B25" s="243"/>
      <c r="C25" s="243"/>
      <c r="D25" s="243"/>
      <c r="E25" s="243"/>
      <c r="F25" s="243"/>
      <c r="G25" s="243"/>
      <c r="H25" s="243"/>
    </row>
    <row r="26" spans="1:8">
      <c r="A26" s="362"/>
      <c r="B26" s="205"/>
      <c r="C26" s="205"/>
      <c r="D26" s="205"/>
      <c r="E26" s="205"/>
      <c r="F26" s="205"/>
      <c r="G26" s="205"/>
      <c r="H26" s="205"/>
    </row>
    <row r="27" spans="1:8" ht="26">
      <c r="A27" s="382" t="s">
        <v>828</v>
      </c>
      <c r="B27" s="244"/>
      <c r="C27" s="244"/>
      <c r="D27" s="244"/>
      <c r="E27" s="244"/>
      <c r="F27" s="244"/>
      <c r="G27" s="244"/>
      <c r="H27" s="244"/>
    </row>
    <row r="28" spans="1:8">
      <c r="A28" s="379" t="s">
        <v>529</v>
      </c>
    </row>
    <row r="29" spans="1:8">
      <c r="A29" s="245" t="s">
        <v>829</v>
      </c>
    </row>
    <row r="30" spans="1:8">
      <c r="A30" s="245" t="s">
        <v>830</v>
      </c>
    </row>
    <row r="31" spans="1:8">
      <c r="A31" s="245" t="s">
        <v>831</v>
      </c>
    </row>
    <row r="32" spans="1:8">
      <c r="A32" s="213"/>
    </row>
  </sheetData>
  <sheetProtection sheet="false"/>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7 G9:H27" xr:uid="{00000000-0002-0000-1E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G24"/>
  <sheetViews>
    <sheetView zoomScaleNormal="100" workbookViewId="0">
      <selection activeCell="C9" sqref="C9"/>
    </sheetView>
  </sheetViews>
  <sheetFormatPr baseColWidth="10" defaultColWidth="12" defaultRowHeight="13"/>
  <cols>
    <col min="1" max="1" customWidth="true" style="202" width="35.796875" collapsed="true"/>
    <col min="2" max="2" bestFit="true" customWidth="true" style="202" width="6.19921875" collapsed="true"/>
    <col min="3" max="7" customWidth="true" style="202" width="11.296875" collapsed="true"/>
    <col min="8" max="16384" style="202" width="12.0" collapsed="true"/>
  </cols>
  <sheetData>
    <row r="1" spans="1:7" ht="21">
      <c r="A1" s="856" t="s">
        <v>832</v>
      </c>
      <c r="B1" s="856"/>
      <c r="C1" s="856"/>
      <c r="D1" s="856"/>
      <c r="E1" s="856"/>
      <c r="F1" s="856"/>
      <c r="G1" s="856"/>
    </row>
    <row r="2" spans="1:7" ht="8.15" customHeight="1"/>
    <row r="3" spans="1:7" ht="12.75" customHeight="1">
      <c r="A3" s="857" t="s">
        <v>487</v>
      </c>
      <c r="B3" s="857"/>
      <c r="C3" s="857"/>
      <c r="E3" s="217" t="s">
        <v>488</v>
      </c>
      <c r="F3" s="878">
        <f>+'Note 1'!E3</f>
        <v>44926</v>
      </c>
      <c r="G3" s="878"/>
    </row>
    <row r="4" spans="1:7" ht="15" customHeight="1">
      <c r="A4" s="864" t="str">
        <f>+'Note 1'!A4</f>
        <v>IAMGOLD BOTO SA</v>
      </c>
      <c r="B4" s="864"/>
      <c r="C4" s="864"/>
      <c r="E4" s="879" t="s">
        <v>489</v>
      </c>
      <c r="F4" s="880">
        <f>+'Note 1'!E4</f>
        <v>12</v>
      </c>
      <c r="G4" s="880"/>
    </row>
    <row r="5" spans="1:7" ht="15" customHeight="1">
      <c r="A5" s="202" t="s">
        <v>490</v>
      </c>
      <c r="B5" s="882" t="str">
        <f>+'Note 1'!B5</f>
        <v>007768007</v>
      </c>
      <c r="C5" s="882"/>
      <c r="E5" s="879"/>
      <c r="F5" s="881"/>
      <c r="G5" s="881"/>
    </row>
    <row r="6" spans="1:7" ht="8.15" customHeight="1"/>
    <row r="7" spans="1:7" s="218" customFormat="1" ht="25.25" customHeight="1">
      <c r="A7" s="851" t="s">
        <v>340</v>
      </c>
      <c r="B7" s="883" t="s">
        <v>341</v>
      </c>
      <c r="C7" s="883" t="s">
        <v>1630</v>
      </c>
      <c r="D7" s="883" t="s">
        <v>1593</v>
      </c>
      <c r="E7" s="931" t="s">
        <v>769</v>
      </c>
      <c r="F7" s="931" t="s">
        <v>606</v>
      </c>
      <c r="G7" s="931" t="s">
        <v>812</v>
      </c>
    </row>
    <row r="8" spans="1:7" s="218" customFormat="1" ht="25.25" customHeight="1">
      <c r="A8" s="924"/>
      <c r="B8" s="874"/>
      <c r="C8" s="874"/>
      <c r="D8" s="874"/>
      <c r="E8" s="877"/>
      <c r="F8" s="877"/>
      <c r="G8" s="877"/>
    </row>
    <row r="9" spans="1:7">
      <c r="A9" s="362" t="s">
        <v>281</v>
      </c>
      <c r="B9" s="205"/>
      <c r="C9" s="205"/>
      <c r="D9" s="205"/>
      <c r="E9" s="205"/>
      <c r="F9" s="205"/>
      <c r="G9" s="205"/>
    </row>
    <row r="10" spans="1:7">
      <c r="A10" s="362" t="s">
        <v>833</v>
      </c>
      <c r="B10" s="205"/>
      <c r="C10" s="205"/>
      <c r="D10" s="205"/>
      <c r="E10" s="205"/>
      <c r="F10" s="205"/>
      <c r="G10" s="205"/>
    </row>
    <row r="11" spans="1:7" ht="26">
      <c r="A11" s="362" t="s">
        <v>834</v>
      </c>
      <c r="B11" s="205"/>
      <c r="C11" s="205"/>
      <c r="D11" s="205"/>
      <c r="E11" s="205"/>
      <c r="F11" s="205"/>
      <c r="G11" s="205"/>
    </row>
    <row r="12" spans="1:7" ht="26">
      <c r="A12" s="362" t="s">
        <v>835</v>
      </c>
      <c r="B12" s="205"/>
      <c r="C12" s="205"/>
      <c r="D12" s="205"/>
      <c r="E12" s="205"/>
      <c r="F12" s="205"/>
      <c r="G12" s="205"/>
    </row>
    <row r="13" spans="1:7">
      <c r="A13" s="362" t="s">
        <v>496</v>
      </c>
      <c r="B13" s="205"/>
      <c r="C13" s="205"/>
      <c r="D13" s="205"/>
      <c r="E13" s="205"/>
      <c r="F13" s="205"/>
      <c r="G13" s="205"/>
    </row>
    <row r="14" spans="1:7" ht="26">
      <c r="A14" s="382" t="s">
        <v>828</v>
      </c>
      <c r="B14" s="244"/>
      <c r="C14" s="244"/>
      <c r="D14" s="244"/>
      <c r="E14" s="244"/>
      <c r="F14" s="244"/>
      <c r="G14" s="244"/>
    </row>
    <row r="15" spans="1:7">
      <c r="A15" s="202" t="s">
        <v>836</v>
      </c>
    </row>
    <row r="16" spans="1:7">
      <c r="A16" s="202" t="s">
        <v>837</v>
      </c>
    </row>
    <row r="17" spans="1:1">
      <c r="A17" s="202" t="s">
        <v>838</v>
      </c>
    </row>
    <row r="18" spans="1:1">
      <c r="A18" s="202" t="s">
        <v>839</v>
      </c>
    </row>
    <row r="19" spans="1:1">
      <c r="A19" s="212" t="s">
        <v>529</v>
      </c>
    </row>
    <row r="20" spans="1:1">
      <c r="A20" s="213" t="s">
        <v>840</v>
      </c>
    </row>
    <row r="21" spans="1:1">
      <c r="A21" s="237" t="s">
        <v>841</v>
      </c>
    </row>
    <row r="22" spans="1:1">
      <c r="A22" s="213" t="s">
        <v>842</v>
      </c>
    </row>
    <row r="23" spans="1:1">
      <c r="A23" s="213" t="s">
        <v>743</v>
      </c>
    </row>
    <row r="24" spans="1:1">
      <c r="A24" s="213"/>
    </row>
  </sheetData>
  <sheetProtection sheet="false"/>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4" xr:uid="{00000000-0002-0000-1F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9"/>
    <pageSetUpPr fitToPage="1"/>
  </sheetPr>
  <dimension ref="A1:H57"/>
  <sheetViews>
    <sheetView workbookViewId="0">
      <selection activeCell="A59" sqref="A59"/>
    </sheetView>
  </sheetViews>
  <sheetFormatPr baseColWidth="10" defaultColWidth="12" defaultRowHeight="13"/>
  <cols>
    <col min="1" max="1" customWidth="true" style="202" width="35.796875" collapsed="true"/>
    <col min="2" max="2" customWidth="true" style="202" width="14.296875" collapsed="true"/>
    <col min="3" max="3" customWidth="true" style="202" width="13.796875" collapsed="true"/>
    <col min="4" max="5" customWidth="true" style="202" width="8.69921875" collapsed="true"/>
    <col min="6" max="8" customWidth="true" style="202" width="11.296875" collapsed="true"/>
    <col min="9" max="16384" style="202" width="12.0" collapsed="true"/>
  </cols>
  <sheetData>
    <row r="1" spans="1:8" ht="18.75" customHeight="1">
      <c r="A1" s="856" t="s">
        <v>843</v>
      </c>
      <c r="B1" s="856"/>
      <c r="C1" s="856"/>
      <c r="D1" s="856"/>
      <c r="E1" s="856"/>
      <c r="F1" s="856"/>
      <c r="G1" s="856"/>
      <c r="H1" s="856"/>
    </row>
    <row r="2" spans="1:8" ht="8.15" customHeight="1"/>
    <row r="3" spans="1:8" ht="12.75" customHeight="1">
      <c r="A3" s="857" t="s">
        <v>487</v>
      </c>
      <c r="B3" s="857"/>
      <c r="C3" s="857"/>
      <c r="E3" s="217" t="s">
        <v>488</v>
      </c>
      <c r="F3" s="878">
        <f>+'Note 1'!E3</f>
        <v>44926</v>
      </c>
      <c r="G3" s="878"/>
    </row>
    <row r="4" spans="1:8" ht="15" customHeight="1">
      <c r="A4" s="864" t="str">
        <f>+'Note 1'!A4</f>
        <v>IAMGOLD BOTO SA</v>
      </c>
      <c r="B4" s="864"/>
      <c r="C4" s="864"/>
      <c r="D4" s="879" t="s">
        <v>489</v>
      </c>
      <c r="E4" s="879"/>
      <c r="F4" s="880">
        <f>+'Note 1'!E4</f>
        <v>12</v>
      </c>
      <c r="G4" s="880"/>
    </row>
    <row r="5" spans="1:8" ht="15" customHeight="1">
      <c r="A5" s="202" t="s">
        <v>490</v>
      </c>
      <c r="B5" s="882" t="str">
        <f>+'Note 1'!B5</f>
        <v>007768007</v>
      </c>
      <c r="C5" s="882"/>
      <c r="D5" s="879"/>
      <c r="E5" s="879"/>
      <c r="F5" s="881"/>
      <c r="G5" s="881"/>
    </row>
    <row r="6" spans="1:8" ht="8.15" customHeight="1"/>
    <row r="7" spans="1:8" s="218" customFormat="1" ht="25.25" customHeight="1">
      <c r="A7" s="851" t="s">
        <v>340</v>
      </c>
      <c r="B7" s="883" t="s">
        <v>1609</v>
      </c>
      <c r="C7" s="883" t="s">
        <v>1593</v>
      </c>
      <c r="D7" s="931" t="s">
        <v>769</v>
      </c>
      <c r="E7" s="931" t="s">
        <v>606</v>
      </c>
      <c r="F7" s="931" t="s">
        <v>844</v>
      </c>
      <c r="G7" s="931" t="s">
        <v>845</v>
      </c>
      <c r="H7" s="931" t="s">
        <v>846</v>
      </c>
    </row>
    <row r="8" spans="1:8" s="218" customFormat="1" ht="25.25" customHeight="1">
      <c r="A8" s="924"/>
      <c r="B8" s="874"/>
      <c r="C8" s="874"/>
      <c r="D8" s="877"/>
      <c r="E8" s="877"/>
      <c r="F8" s="877"/>
      <c r="G8" s="877"/>
      <c r="H8" s="877"/>
    </row>
    <row r="9" spans="1:8">
      <c r="A9" s="362" t="s">
        <v>847</v>
      </c>
      <c r="B9" s="205"/>
      <c r="C9" s="205"/>
      <c r="D9" s="205"/>
      <c r="E9" s="205"/>
      <c r="F9" s="205"/>
      <c r="G9" s="205"/>
      <c r="H9" s="205"/>
    </row>
    <row r="10" spans="1:8" ht="26">
      <c r="A10" s="362" t="s">
        <v>848</v>
      </c>
      <c r="B10" s="205"/>
      <c r="C10" s="205"/>
      <c r="D10" s="205"/>
      <c r="E10" s="205"/>
      <c r="F10" s="205"/>
      <c r="G10" s="205"/>
      <c r="H10" s="205"/>
    </row>
    <row r="11" spans="1:8">
      <c r="A11" s="362" t="s">
        <v>849</v>
      </c>
      <c r="B11" s="205"/>
      <c r="C11" s="205"/>
      <c r="D11" s="205"/>
      <c r="E11" s="205"/>
      <c r="F11" s="205"/>
      <c r="G11" s="205"/>
      <c r="H11" s="205"/>
    </row>
    <row r="12" spans="1:8" ht="26">
      <c r="A12" s="362" t="s">
        <v>850</v>
      </c>
      <c r="B12" s="205"/>
      <c r="C12" s="205"/>
      <c r="D12" s="205"/>
      <c r="E12" s="205"/>
      <c r="F12" s="205"/>
      <c r="G12" s="205"/>
      <c r="H12" s="205"/>
    </row>
    <row r="13" spans="1:8">
      <c r="A13" s="362" t="s">
        <v>851</v>
      </c>
      <c r="B13" s="205"/>
      <c r="C13" s="205"/>
      <c r="D13" s="205"/>
      <c r="E13" s="205"/>
      <c r="F13" s="205"/>
      <c r="G13" s="205"/>
      <c r="H13" s="205"/>
    </row>
    <row r="14" spans="1:8">
      <c r="A14" s="362" t="s">
        <v>615</v>
      </c>
      <c r="B14" s="205"/>
      <c r="C14" s="205"/>
      <c r="D14" s="205"/>
      <c r="E14" s="205"/>
      <c r="F14" s="205"/>
      <c r="G14" s="205"/>
      <c r="H14" s="205"/>
    </row>
    <row r="15" spans="1:8" ht="26">
      <c r="A15" s="362" t="s">
        <v>852</v>
      </c>
      <c r="B15" s="205"/>
      <c r="C15" s="205"/>
      <c r="D15" s="205"/>
      <c r="E15" s="205"/>
      <c r="F15" s="205"/>
      <c r="G15" s="205"/>
      <c r="H15" s="205"/>
    </row>
    <row r="16" spans="1:8">
      <c r="A16" s="362" t="s">
        <v>853</v>
      </c>
      <c r="B16" s="205">
        <v>85897310394</v>
      </c>
      <c r="C16" s="205">
        <v>28095007190</v>
      </c>
      <c r="D16" s="205">
        <v>57802303204</v>
      </c>
      <c r="E16" s="407">
        <v>2.0573870230072009</v>
      </c>
      <c r="F16" s="205"/>
      <c r="G16" s="205"/>
      <c r="H16" s="205"/>
    </row>
    <row r="17" spans="1:8">
      <c r="A17" s="362" t="s">
        <v>854</v>
      </c>
      <c r="B17" s="205"/>
      <c r="C17" s="205"/>
      <c r="D17" s="205"/>
      <c r="E17" s="205"/>
      <c r="F17" s="205"/>
      <c r="G17" s="205"/>
      <c r="H17" s="205"/>
    </row>
    <row r="18" spans="1:8" ht="26">
      <c r="A18" s="362" t="s">
        <v>855</v>
      </c>
      <c r="B18" s="205"/>
      <c r="C18" s="205"/>
      <c r="D18" s="205"/>
      <c r="E18" s="205"/>
      <c r="F18" s="205"/>
      <c r="G18" s="205"/>
      <c r="H18" s="205"/>
    </row>
    <row r="19" spans="1:8" ht="26">
      <c r="A19" s="377" t="s">
        <v>856</v>
      </c>
      <c r="B19" s="243">
        <v>85897310394</v>
      </c>
      <c r="C19" s="243">
        <v>28095007190</v>
      </c>
      <c r="D19" s="243">
        <v>57802303204</v>
      </c>
      <c r="E19" s="243">
        <v>2.0573870230072009</v>
      </c>
      <c r="F19" s="243"/>
      <c r="G19" s="243"/>
      <c r="H19" s="243"/>
    </row>
    <row r="20" spans="1:8">
      <c r="A20" s="362" t="s">
        <v>857</v>
      </c>
      <c r="B20" s="205"/>
      <c r="C20" s="205"/>
      <c r="D20" s="205"/>
      <c r="E20" s="205"/>
      <c r="F20" s="205"/>
      <c r="G20" s="205"/>
      <c r="H20" s="205"/>
    </row>
    <row r="21" spans="1:8">
      <c r="A21" s="362" t="s">
        <v>858</v>
      </c>
      <c r="B21" s="205"/>
      <c r="C21" s="205"/>
      <c r="D21" s="205"/>
      <c r="E21" s="205"/>
      <c r="F21" s="205"/>
      <c r="G21" s="205"/>
      <c r="H21" s="205"/>
    </row>
    <row r="22" spans="1:8">
      <c r="A22" s="362" t="s">
        <v>859</v>
      </c>
      <c r="B22" s="205"/>
      <c r="C22" s="205"/>
      <c r="D22" s="205"/>
      <c r="E22" s="205"/>
      <c r="F22" s="205"/>
      <c r="G22" s="205"/>
      <c r="H22" s="205"/>
    </row>
    <row r="23" spans="1:8">
      <c r="A23" s="362" t="s">
        <v>615</v>
      </c>
      <c r="B23" s="205"/>
      <c r="C23" s="205"/>
      <c r="D23" s="205"/>
      <c r="E23" s="205"/>
      <c r="F23" s="205"/>
      <c r="G23" s="205"/>
      <c r="H23" s="205"/>
    </row>
    <row r="24" spans="1:8">
      <c r="A24" s="362" t="s">
        <v>860</v>
      </c>
      <c r="B24" s="205"/>
      <c r="C24" s="205"/>
      <c r="D24" s="205"/>
      <c r="E24" s="205"/>
      <c r="F24" s="205"/>
      <c r="G24" s="205"/>
      <c r="H24" s="205"/>
    </row>
    <row r="25" spans="1:8" ht="26">
      <c r="A25" s="377" t="s">
        <v>861</v>
      </c>
      <c r="B25" s="243"/>
      <c r="C25" s="243"/>
      <c r="D25" s="243"/>
      <c r="E25" s="243"/>
      <c r="F25" s="243"/>
      <c r="G25" s="243"/>
      <c r="H25" s="243"/>
    </row>
    <row r="26" spans="1:8">
      <c r="A26" s="362" t="s">
        <v>862</v>
      </c>
      <c r="B26" s="205"/>
      <c r="C26" s="205"/>
      <c r="D26" s="205"/>
      <c r="E26" s="205"/>
      <c r="F26" s="246"/>
      <c r="G26" s="246"/>
      <c r="H26" s="246"/>
    </row>
    <row r="27" spans="1:8" ht="26">
      <c r="A27" s="362" t="s">
        <v>863</v>
      </c>
      <c r="B27" s="205"/>
      <c r="C27" s="205"/>
      <c r="D27" s="205"/>
      <c r="E27" s="205"/>
      <c r="F27" s="246"/>
      <c r="G27" s="246"/>
      <c r="H27" s="246"/>
    </row>
    <row r="28" spans="1:8" ht="26">
      <c r="A28" s="362" t="s">
        <v>864</v>
      </c>
      <c r="B28" s="205"/>
      <c r="C28" s="205"/>
      <c r="D28" s="205"/>
      <c r="E28" s="205"/>
      <c r="F28" s="246"/>
      <c r="G28" s="246"/>
      <c r="H28" s="246"/>
    </row>
    <row r="29" spans="1:8">
      <c r="A29" s="362" t="s">
        <v>865</v>
      </c>
      <c r="B29" s="205">
        <v>2869798422</v>
      </c>
      <c r="C29" s="205">
        <v>0</v>
      </c>
      <c r="D29" s="205">
        <v>2869798422</v>
      </c>
      <c r="E29" s="407">
        <v>0</v>
      </c>
      <c r="F29" s="246"/>
      <c r="G29" s="246"/>
      <c r="H29" s="246"/>
    </row>
    <row r="30" spans="1:8">
      <c r="A30" s="362" t="s">
        <v>866</v>
      </c>
      <c r="B30" s="205">
        <v>0</v>
      </c>
      <c r="C30" s="205">
        <v>0</v>
      </c>
      <c r="D30" s="205">
        <v>0</v>
      </c>
      <c r="E30" s="407">
        <v>0</v>
      </c>
      <c r="F30" s="246"/>
      <c r="G30" s="246"/>
      <c r="H30" s="246"/>
    </row>
    <row r="31" spans="1:8" ht="26">
      <c r="A31" s="362" t="s">
        <v>867</v>
      </c>
      <c r="B31" s="403">
        <v>53480774</v>
      </c>
      <c r="C31" s="403">
        <v>42172294</v>
      </c>
      <c r="D31" s="205">
        <v>11308480</v>
      </c>
      <c r="E31" s="407">
        <v>0.26814951067162723</v>
      </c>
      <c r="F31" s="246"/>
      <c r="G31" s="246"/>
      <c r="H31" s="246"/>
    </row>
    <row r="32" spans="1:8">
      <c r="A32" s="362" t="s">
        <v>868</v>
      </c>
      <c r="B32" s="205"/>
      <c r="C32" s="205"/>
      <c r="D32" s="205"/>
      <c r="E32" s="205"/>
      <c r="F32" s="246"/>
      <c r="G32" s="246"/>
      <c r="H32" s="246"/>
    </row>
    <row r="33" spans="1:8">
      <c r="A33" s="362" t="s">
        <v>869</v>
      </c>
      <c r="B33" s="205"/>
      <c r="C33" s="205"/>
      <c r="D33" s="205"/>
      <c r="E33" s="205"/>
      <c r="F33" s="246"/>
      <c r="G33" s="246"/>
      <c r="H33" s="246"/>
    </row>
    <row r="34" spans="1:8">
      <c r="A34" s="362" t="s">
        <v>870</v>
      </c>
      <c r="B34" s="205"/>
      <c r="C34" s="205"/>
      <c r="D34" s="205"/>
      <c r="E34" s="205"/>
      <c r="F34" s="246"/>
      <c r="G34" s="246"/>
      <c r="H34" s="246"/>
    </row>
    <row r="35" spans="1:8">
      <c r="A35" s="362" t="s">
        <v>871</v>
      </c>
      <c r="B35" s="205"/>
      <c r="C35" s="205"/>
      <c r="D35" s="205"/>
      <c r="E35" s="205"/>
      <c r="F35" s="246"/>
      <c r="G35" s="246"/>
      <c r="H35" s="246"/>
    </row>
    <row r="36" spans="1:8" ht="26">
      <c r="A36" s="362" t="s">
        <v>872</v>
      </c>
      <c r="B36" s="205"/>
      <c r="C36" s="205"/>
      <c r="D36" s="205"/>
      <c r="E36" s="205"/>
      <c r="F36" s="246"/>
      <c r="G36" s="246"/>
      <c r="H36" s="246"/>
    </row>
    <row r="37" spans="1:8">
      <c r="A37" s="362" t="s">
        <v>873</v>
      </c>
      <c r="B37" s="205"/>
      <c r="C37" s="205"/>
      <c r="D37" s="205"/>
      <c r="E37" s="205"/>
      <c r="F37" s="246"/>
      <c r="G37" s="246"/>
      <c r="H37" s="246"/>
    </row>
    <row r="38" spans="1:8">
      <c r="A38" s="362" t="s">
        <v>874</v>
      </c>
      <c r="B38" s="205"/>
      <c r="C38" s="205"/>
      <c r="D38" s="205"/>
      <c r="E38" s="205"/>
      <c r="F38" s="246"/>
      <c r="G38" s="246"/>
      <c r="H38" s="246"/>
    </row>
    <row r="39" spans="1:8" ht="26">
      <c r="A39" s="377" t="s">
        <v>875</v>
      </c>
      <c r="B39" s="414">
        <v>2923279196</v>
      </c>
      <c r="C39" s="414">
        <v>42172294</v>
      </c>
      <c r="D39" s="243">
        <v>2881106902</v>
      </c>
      <c r="E39" s="582">
        <v>68.31752861250564</v>
      </c>
      <c r="F39" s="247"/>
      <c r="G39" s="247"/>
      <c r="H39" s="247"/>
    </row>
    <row r="40" spans="1:8">
      <c r="A40" s="379" t="s">
        <v>529</v>
      </c>
    </row>
    <row r="41" spans="1:8">
      <c r="A41" s="245" t="s">
        <v>876</v>
      </c>
    </row>
    <row r="42" spans="1:8">
      <c r="A42" s="245" t="s">
        <v>877</v>
      </c>
    </row>
    <row r="43" spans="1:8">
      <c r="A43" s="245" t="s">
        <v>878</v>
      </c>
    </row>
    <row r="44" spans="1:8">
      <c r="A44" s="245" t="s">
        <v>879</v>
      </c>
    </row>
    <row r="45" spans="1:8">
      <c r="A45" s="213" t="s">
        <v>880</v>
      </c>
    </row>
    <row r="46" spans="1:8">
      <c r="A46" s="213" t="s">
        <v>881</v>
      </c>
    </row>
    <row r="47" spans="1:8">
      <c r="A47" s="237" t="s">
        <v>882</v>
      </c>
    </row>
    <row r="48" spans="1:8">
      <c r="A48" s="213" t="s">
        <v>883</v>
      </c>
    </row>
    <row r="49" spans="1:1">
      <c r="A49" s="237" t="s">
        <v>884</v>
      </c>
    </row>
    <row r="51" spans="1:1">
      <c r="A51" s="202" t="s">
        <v>1610</v>
      </c>
    </row>
    <row r="52" spans="1:1">
      <c r="A52" s="202" t="s">
        <v>1611</v>
      </c>
    </row>
    <row r="53" spans="1:1">
      <c r="A53" s="202" t="s">
        <v>1612</v>
      </c>
    </row>
    <row r="54" spans="1:1">
      <c r="A54" s="202" t="s">
        <v>1613</v>
      </c>
    </row>
    <row r="55" spans="1:1">
      <c r="A55" s="202" t="s">
        <v>1614</v>
      </c>
    </row>
    <row r="56" spans="1:1">
      <c r="A56" s="202" t="s">
        <v>1615</v>
      </c>
    </row>
    <row r="57" spans="1:1">
      <c r="A57" s="202" t="s">
        <v>1616</v>
      </c>
    </row>
  </sheetData>
  <sheetProtection sheet="false"/>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9 F9:H25" xr:uid="{00000000-0002-0000-20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H40"/>
  <sheetViews>
    <sheetView workbookViewId="0">
      <selection activeCell="C35" sqref="C35"/>
    </sheetView>
  </sheetViews>
  <sheetFormatPr baseColWidth="10" defaultColWidth="12" defaultRowHeight="13"/>
  <cols>
    <col min="1" max="1" customWidth="true" style="202" width="39.3984375" collapsed="true"/>
    <col min="2" max="6" customWidth="true" style="202" width="13.69921875" collapsed="true"/>
    <col min="7" max="7" customWidth="true" style="249" width="13.69921875" collapsed="true"/>
    <col min="8" max="8" style="249" width="12.0" collapsed="true"/>
    <col min="9" max="16384" style="202" width="12.0" collapsed="true"/>
  </cols>
  <sheetData>
    <row r="1" spans="1:8" ht="33.75" customHeight="1">
      <c r="A1" s="972" t="s">
        <v>885</v>
      </c>
      <c r="B1" s="972"/>
      <c r="C1" s="972"/>
      <c r="D1" s="972"/>
      <c r="E1" s="972"/>
      <c r="F1" s="972"/>
      <c r="G1" s="248"/>
      <c r="H1" s="248"/>
    </row>
    <row r="2" spans="1:8" ht="8.15" customHeight="1"/>
    <row r="3" spans="1:8" ht="12.75" customHeight="1">
      <c r="A3" s="857" t="s">
        <v>487</v>
      </c>
      <c r="B3" s="857"/>
      <c r="C3" s="857"/>
      <c r="D3" s="202" t="s">
        <v>488</v>
      </c>
      <c r="E3" s="878">
        <f>+'Note 1'!E3</f>
        <v>44926</v>
      </c>
      <c r="F3" s="892"/>
      <c r="G3" s="202"/>
      <c r="H3" s="202"/>
    </row>
    <row r="4" spans="1:8" ht="15" customHeight="1">
      <c r="A4" s="864" t="str">
        <f>+'Note 1'!A4</f>
        <v>IAMGOLD BOTO SA</v>
      </c>
      <c r="B4" s="864"/>
      <c r="C4" s="864"/>
      <c r="D4" s="860" t="s">
        <v>489</v>
      </c>
      <c r="E4" s="893">
        <f>+'Note 1'!E4</f>
        <v>12</v>
      </c>
      <c r="F4" s="893"/>
      <c r="G4" s="202"/>
      <c r="H4" s="202"/>
    </row>
    <row r="5" spans="1:8" ht="15" customHeight="1">
      <c r="A5" s="202" t="s">
        <v>490</v>
      </c>
      <c r="B5" s="882" t="str">
        <f>+'Note 1'!B5</f>
        <v>007768007</v>
      </c>
      <c r="C5" s="882"/>
      <c r="D5" s="860"/>
      <c r="E5" s="894"/>
      <c r="F5" s="894"/>
      <c r="G5" s="202"/>
      <c r="H5" s="202"/>
    </row>
    <row r="6" spans="1:8" ht="8.15" customHeight="1"/>
    <row r="7" spans="1:8" s="218" customFormat="1" ht="25.25" customHeight="1">
      <c r="A7" s="250" t="s">
        <v>886</v>
      </c>
      <c r="B7" s="230"/>
      <c r="C7" s="230"/>
      <c r="D7" s="230"/>
      <c r="E7" s="251"/>
      <c r="F7" s="252"/>
      <c r="G7" s="253"/>
      <c r="H7" s="249"/>
    </row>
    <row r="8" spans="1:8" s="218" customFormat="1">
      <c r="A8" s="254" t="s">
        <v>340</v>
      </c>
      <c r="B8" s="887" t="s">
        <v>1592</v>
      </c>
      <c r="C8" s="889"/>
      <c r="D8" s="887" t="s">
        <v>1593</v>
      </c>
      <c r="E8" s="889"/>
      <c r="F8" s="252"/>
      <c r="G8" s="253"/>
      <c r="H8" s="249"/>
    </row>
    <row r="9" spans="1:8">
      <c r="A9" s="362" t="s">
        <v>887</v>
      </c>
      <c r="B9" s="935"/>
      <c r="C9" s="936"/>
      <c r="D9" s="935"/>
      <c r="E9" s="936"/>
      <c r="F9" s="255"/>
      <c r="G9" s="256"/>
    </row>
    <row r="10" spans="1:8">
      <c r="A10" s="362" t="s">
        <v>888</v>
      </c>
      <c r="B10" s="935"/>
      <c r="C10" s="936"/>
      <c r="D10" s="935"/>
      <c r="E10" s="936"/>
      <c r="F10" s="255"/>
      <c r="G10" s="256"/>
    </row>
    <row r="11" spans="1:8">
      <c r="A11" s="362" t="s">
        <v>889</v>
      </c>
      <c r="B11" s="935"/>
      <c r="C11" s="936"/>
      <c r="D11" s="935"/>
      <c r="E11" s="936"/>
      <c r="F11" s="255"/>
      <c r="G11" s="256"/>
    </row>
    <row r="12" spans="1:8" ht="39">
      <c r="A12" s="362" t="s">
        <v>890</v>
      </c>
      <c r="B12" s="935"/>
      <c r="C12" s="936"/>
      <c r="D12" s="935"/>
      <c r="E12" s="936"/>
      <c r="F12" s="255"/>
      <c r="G12" s="256"/>
    </row>
    <row r="13" spans="1:8" ht="26">
      <c r="A13" s="362" t="s">
        <v>891</v>
      </c>
      <c r="B13" s="935"/>
      <c r="C13" s="936"/>
      <c r="D13" s="935"/>
      <c r="E13" s="936"/>
      <c r="F13" s="255"/>
      <c r="G13" s="256"/>
    </row>
    <row r="14" spans="1:8" ht="26">
      <c r="A14" s="362" t="s">
        <v>892</v>
      </c>
      <c r="B14" s="935"/>
      <c r="C14" s="936"/>
      <c r="D14" s="935"/>
      <c r="E14" s="936"/>
      <c r="F14" s="255"/>
      <c r="G14" s="256"/>
    </row>
    <row r="15" spans="1:8">
      <c r="A15" s="379" t="s">
        <v>529</v>
      </c>
    </row>
    <row r="16" spans="1:8">
      <c r="A16" s="213" t="s">
        <v>893</v>
      </c>
    </row>
    <row r="17" spans="1:8">
      <c r="A17" s="257" t="s">
        <v>894</v>
      </c>
    </row>
    <row r="18" spans="1:8">
      <c r="A18" s="213"/>
    </row>
    <row r="20" spans="1:8" s="218" customFormat="1" ht="33.75" customHeight="1">
      <c r="A20" s="969" t="s">
        <v>895</v>
      </c>
      <c r="B20" s="970"/>
      <c r="C20" s="970"/>
      <c r="D20" s="970"/>
      <c r="E20" s="971"/>
      <c r="F20" s="252"/>
      <c r="G20" s="253"/>
      <c r="H20" s="249"/>
    </row>
    <row r="21" spans="1:8" s="218" customFormat="1">
      <c r="A21" s="254" t="s">
        <v>340</v>
      </c>
      <c r="B21" s="887" t="s">
        <v>1592</v>
      </c>
      <c r="C21" s="889"/>
      <c r="D21" s="887" t="s">
        <v>1593</v>
      </c>
      <c r="E21" s="889"/>
      <c r="F21" s="252"/>
      <c r="G21" s="253"/>
      <c r="H21" s="249"/>
    </row>
    <row r="22" spans="1:8" ht="26">
      <c r="A22" s="377" t="s">
        <v>896</v>
      </c>
      <c r="B22" s="349"/>
      <c r="C22" s="236"/>
      <c r="D22" s="349"/>
      <c r="E22" s="236"/>
      <c r="F22" s="258"/>
      <c r="G22" s="259"/>
    </row>
    <row r="23" spans="1:8" ht="26">
      <c r="A23" s="362" t="s">
        <v>897</v>
      </c>
      <c r="B23" s="935"/>
      <c r="C23" s="936"/>
      <c r="D23" s="935"/>
      <c r="E23" s="936"/>
      <c r="F23" s="255"/>
      <c r="G23" s="256"/>
    </row>
    <row r="24" spans="1:8">
      <c r="A24" s="362" t="s">
        <v>898</v>
      </c>
      <c r="B24" s="935"/>
      <c r="C24" s="936"/>
      <c r="D24" s="935"/>
      <c r="E24" s="936"/>
      <c r="F24" s="255"/>
      <c r="G24" s="256"/>
    </row>
    <row r="25" spans="1:8">
      <c r="A25" s="362" t="s">
        <v>899</v>
      </c>
      <c r="B25" s="935"/>
      <c r="C25" s="936"/>
      <c r="D25" s="935"/>
      <c r="E25" s="936"/>
      <c r="F25" s="255"/>
      <c r="G25" s="256"/>
    </row>
    <row r="26" spans="1:8">
      <c r="A26" s="362" t="s">
        <v>900</v>
      </c>
      <c r="B26" s="935"/>
      <c r="C26" s="936"/>
      <c r="D26" s="935"/>
      <c r="E26" s="936"/>
      <c r="F26" s="255"/>
      <c r="G26" s="256"/>
    </row>
    <row r="27" spans="1:8">
      <c r="A27" s="362" t="s">
        <v>901</v>
      </c>
      <c r="B27" s="935"/>
      <c r="C27" s="936"/>
      <c r="D27" s="935"/>
      <c r="E27" s="936"/>
      <c r="F27" s="255"/>
      <c r="G27" s="256"/>
    </row>
    <row r="28" spans="1:8" ht="26">
      <c r="A28" s="377" t="s">
        <v>896</v>
      </c>
      <c r="B28" s="349"/>
      <c r="C28" s="236"/>
      <c r="D28" s="349"/>
      <c r="E28" s="236"/>
      <c r="F28" s="258"/>
      <c r="G28" s="259"/>
    </row>
    <row r="29" spans="1:8">
      <c r="A29" s="379" t="s">
        <v>529</v>
      </c>
    </row>
    <row r="30" spans="1:8">
      <c r="A30" s="213" t="s">
        <v>902</v>
      </c>
    </row>
    <row r="33" spans="1:8" s="218" customFormat="1" ht="15.5">
      <c r="A33" s="969" t="s">
        <v>903</v>
      </c>
      <c r="B33" s="970"/>
      <c r="C33" s="970"/>
      <c r="D33" s="970"/>
      <c r="E33" s="970"/>
      <c r="F33" s="971"/>
      <c r="G33" s="260"/>
      <c r="H33" s="253"/>
    </row>
    <row r="34" spans="1:8" s="218" customFormat="1">
      <c r="A34" s="346" t="s">
        <v>340</v>
      </c>
      <c r="B34" s="210"/>
      <c r="C34" s="887" t="s">
        <v>1592</v>
      </c>
      <c r="D34" s="889"/>
      <c r="E34" s="887" t="s">
        <v>1593</v>
      </c>
      <c r="F34" s="889"/>
      <c r="G34" s="260"/>
      <c r="H34" s="253"/>
    </row>
    <row r="35" spans="1:8">
      <c r="A35" s="261"/>
      <c r="B35" s="262"/>
      <c r="C35" s="349" t="s">
        <v>904</v>
      </c>
      <c r="D35" s="236" t="s">
        <v>905</v>
      </c>
      <c r="E35" s="349" t="s">
        <v>904</v>
      </c>
      <c r="F35" s="236" t="s">
        <v>905</v>
      </c>
      <c r="G35" s="258"/>
      <c r="H35" s="259"/>
    </row>
    <row r="36" spans="1:8">
      <c r="A36" s="967" t="s">
        <v>906</v>
      </c>
      <c r="B36" s="968"/>
      <c r="C36" s="205"/>
      <c r="D36" s="205"/>
      <c r="E36" s="205"/>
      <c r="F36" s="205"/>
      <c r="G36" s="255"/>
      <c r="H36" s="256"/>
    </row>
    <row r="37" spans="1:8">
      <c r="A37" s="967" t="s">
        <v>907</v>
      </c>
      <c r="B37" s="968"/>
      <c r="C37" s="205"/>
      <c r="D37" s="205"/>
      <c r="E37" s="205"/>
      <c r="F37" s="205"/>
      <c r="G37" s="255"/>
      <c r="H37" s="256"/>
    </row>
    <row r="38" spans="1:8">
      <c r="A38" s="967" t="s">
        <v>908</v>
      </c>
      <c r="B38" s="968"/>
      <c r="C38" s="205"/>
      <c r="D38" s="205"/>
      <c r="E38" s="205"/>
      <c r="F38" s="205"/>
      <c r="G38" s="255"/>
      <c r="H38" s="256"/>
    </row>
    <row r="39" spans="1:8">
      <c r="A39" s="379" t="s">
        <v>529</v>
      </c>
      <c r="B39" s="380"/>
    </row>
    <row r="40" spans="1:8">
      <c r="A40" s="213" t="s">
        <v>909</v>
      </c>
    </row>
  </sheetData>
  <sheetProtection sheet="false"/>
  <mergeCells count="40">
    <mergeCell ref="A1:F1"/>
    <mergeCell ref="A3:C3"/>
    <mergeCell ref="E3:F3"/>
    <mergeCell ref="A4:C4"/>
    <mergeCell ref="D4:D5"/>
    <mergeCell ref="E4:F5"/>
    <mergeCell ref="B5:C5"/>
    <mergeCell ref="B8:C8"/>
    <mergeCell ref="D8:E8"/>
    <mergeCell ref="B9:C9"/>
    <mergeCell ref="D9:E9"/>
    <mergeCell ref="B10:C10"/>
    <mergeCell ref="D10:E10"/>
    <mergeCell ref="B23:C23"/>
    <mergeCell ref="D23:E23"/>
    <mergeCell ref="B11:C11"/>
    <mergeCell ref="D11:E11"/>
    <mergeCell ref="B12:C12"/>
    <mergeCell ref="D12:E12"/>
    <mergeCell ref="B13:C13"/>
    <mergeCell ref="D13:E13"/>
    <mergeCell ref="B14:C14"/>
    <mergeCell ref="D14:E14"/>
    <mergeCell ref="A20:E20"/>
    <mergeCell ref="B21:C21"/>
    <mergeCell ref="D21:E21"/>
    <mergeCell ref="B24:C24"/>
    <mergeCell ref="D24:E24"/>
    <mergeCell ref="B25:C25"/>
    <mergeCell ref="D25:E25"/>
    <mergeCell ref="B26:C26"/>
    <mergeCell ref="D26:E26"/>
    <mergeCell ref="A37:B37"/>
    <mergeCell ref="A38:B38"/>
    <mergeCell ref="B27:C27"/>
    <mergeCell ref="D27:E27"/>
    <mergeCell ref="A33:F33"/>
    <mergeCell ref="C34:D34"/>
    <mergeCell ref="E34:F34"/>
    <mergeCell ref="A36:B3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4" xr:uid="{00000000-0002-0000-21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2:E28" xr:uid="{00000000-0002-0000-2100-000001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G26"/>
  <sheetViews>
    <sheetView workbookViewId="0">
      <selection activeCell="B10" sqref="B10"/>
    </sheetView>
  </sheetViews>
  <sheetFormatPr baseColWidth="10" defaultColWidth="12" defaultRowHeight="13"/>
  <cols>
    <col min="1" max="1" customWidth="true" style="202" width="39.3984375" collapsed="true"/>
    <col min="2" max="2" customWidth="true" style="202" width="26.19921875" collapsed="true"/>
    <col min="3" max="3" customWidth="true" style="202" width="24.796875" collapsed="true"/>
    <col min="4" max="4" customWidth="true" style="202" width="17.296875" collapsed="true"/>
    <col min="5" max="5" customWidth="true" style="202" width="19.69921875" collapsed="true"/>
    <col min="6" max="6" customWidth="true" style="249" width="13.69921875" collapsed="true"/>
    <col min="7" max="7" style="249" width="12.0" collapsed="true"/>
    <col min="8" max="16384" style="202" width="12.0" collapsed="true"/>
  </cols>
  <sheetData>
    <row r="1" spans="1:7" ht="33.75" customHeight="1">
      <c r="A1" s="972" t="s">
        <v>910</v>
      </c>
      <c r="B1" s="972"/>
      <c r="C1" s="972"/>
      <c r="D1" s="972"/>
      <c r="E1" s="972"/>
      <c r="F1" s="248"/>
      <c r="G1" s="248"/>
    </row>
    <row r="2" spans="1:7" ht="8.15" customHeight="1"/>
    <row r="3" spans="1:7" ht="12.75" customHeight="1">
      <c r="A3" s="857" t="s">
        <v>487</v>
      </c>
      <c r="B3" s="857"/>
      <c r="C3" s="202" t="s">
        <v>911</v>
      </c>
      <c r="D3" s="351">
        <f>+'Note 1'!E3</f>
        <v>44926</v>
      </c>
      <c r="E3" s="449"/>
      <c r="F3" s="202"/>
      <c r="G3" s="202"/>
    </row>
    <row r="4" spans="1:7" ht="15" customHeight="1">
      <c r="A4" s="864" t="str">
        <f>+'Note 1'!A4</f>
        <v>IAMGOLD BOTO SA</v>
      </c>
      <c r="B4" s="864"/>
      <c r="C4" s="860" t="s">
        <v>912</v>
      </c>
      <c r="D4" s="445"/>
      <c r="E4" s="893"/>
      <c r="F4" s="202"/>
      <c r="G4" s="202"/>
    </row>
    <row r="5" spans="1:7" ht="15" customHeight="1">
      <c r="A5" s="202" t="s">
        <v>490</v>
      </c>
      <c r="B5" s="450"/>
      <c r="C5" s="860"/>
      <c r="D5" s="445">
        <f>+'Note 1'!E4</f>
        <v>12</v>
      </c>
      <c r="E5" s="894"/>
      <c r="F5" s="202"/>
      <c r="G5" s="202"/>
    </row>
    <row r="6" spans="1:7" ht="8.15" customHeight="1">
      <c r="B6" s="202" t="str">
        <f>+'Note 1'!B5</f>
        <v>007768007</v>
      </c>
    </row>
    <row r="8" spans="1:7" s="218" customFormat="1" ht="33.75" customHeight="1">
      <c r="A8" s="969" t="s">
        <v>913</v>
      </c>
      <c r="B8" s="970"/>
      <c r="C8" s="971"/>
      <c r="D8" s="586"/>
      <c r="E8" s="587"/>
      <c r="F8" s="253"/>
      <c r="G8" s="249"/>
    </row>
    <row r="9" spans="1:7" s="218" customFormat="1">
      <c r="A9" s="254" t="s">
        <v>340</v>
      </c>
      <c r="B9" s="536" t="s">
        <v>1592</v>
      </c>
      <c r="C9" s="211" t="s">
        <v>1593</v>
      </c>
      <c r="D9" s="588"/>
      <c r="E9" s="587"/>
      <c r="F9" s="253"/>
      <c r="G9" s="249"/>
    </row>
    <row r="10" spans="1:7" ht="26">
      <c r="A10" s="362" t="s">
        <v>914</v>
      </c>
      <c r="B10" s="546"/>
      <c r="C10" s="580"/>
      <c r="D10" s="589"/>
      <c r="E10" s="256"/>
      <c r="F10" s="256"/>
    </row>
    <row r="11" spans="1:7" ht="26">
      <c r="A11" s="362" t="s">
        <v>915</v>
      </c>
      <c r="B11" s="546"/>
      <c r="C11" s="580"/>
      <c r="D11" s="589"/>
      <c r="E11" s="256"/>
      <c r="F11" s="256"/>
    </row>
    <row r="12" spans="1:7" ht="25.25" customHeight="1">
      <c r="A12" s="377" t="s">
        <v>916</v>
      </c>
      <c r="B12" s="236"/>
      <c r="C12" s="243"/>
      <c r="D12" s="589"/>
      <c r="E12" s="259"/>
      <c r="F12" s="259"/>
    </row>
    <row r="13" spans="1:7">
      <c r="A13" s="379" t="s">
        <v>529</v>
      </c>
    </row>
    <row r="14" spans="1:7">
      <c r="A14" s="213" t="s">
        <v>917</v>
      </c>
    </row>
    <row r="17" spans="1:7" s="218" customFormat="1" ht="15.5">
      <c r="A17" s="969" t="s">
        <v>918</v>
      </c>
      <c r="B17" s="970"/>
      <c r="C17" s="970"/>
      <c r="D17" s="970"/>
      <c r="E17" s="971"/>
      <c r="F17" s="260"/>
      <c r="G17" s="253"/>
    </row>
    <row r="18" spans="1:7" s="218" customFormat="1">
      <c r="A18" s="346" t="s">
        <v>340</v>
      </c>
      <c r="B18" s="887" t="s">
        <v>1592</v>
      </c>
      <c r="C18" s="889"/>
      <c r="D18" s="452"/>
      <c r="E18" s="452"/>
      <c r="F18" s="260"/>
      <c r="G18" s="253"/>
    </row>
    <row r="19" spans="1:7" ht="26">
      <c r="A19" s="261"/>
      <c r="B19" s="263" t="s">
        <v>919</v>
      </c>
      <c r="C19" s="263" t="s">
        <v>920</v>
      </c>
      <c r="D19" s="263" t="s">
        <v>919</v>
      </c>
      <c r="E19" s="263" t="s">
        <v>920</v>
      </c>
      <c r="F19" s="258"/>
      <c r="G19" s="259"/>
    </row>
    <row r="20" spans="1:7">
      <c r="A20" s="455" t="s">
        <v>724</v>
      </c>
      <c r="B20" s="205"/>
      <c r="C20" s="205"/>
      <c r="D20" s="205"/>
      <c r="E20" s="205"/>
      <c r="F20" s="255"/>
      <c r="G20" s="256"/>
    </row>
    <row r="21" spans="1:7">
      <c r="A21" s="455" t="s">
        <v>725</v>
      </c>
      <c r="B21" s="205"/>
      <c r="C21" s="205"/>
      <c r="D21" s="205"/>
      <c r="E21" s="205"/>
      <c r="F21" s="255"/>
      <c r="G21" s="256"/>
    </row>
    <row r="22" spans="1:7">
      <c r="A22" s="455" t="s">
        <v>496</v>
      </c>
      <c r="B22" s="205"/>
      <c r="C22" s="205"/>
      <c r="D22" s="205"/>
      <c r="E22" s="205"/>
      <c r="F22" s="255"/>
      <c r="G22" s="256"/>
    </row>
    <row r="23" spans="1:7" ht="25.25" customHeight="1">
      <c r="A23" s="383" t="s">
        <v>114</v>
      </c>
      <c r="B23" s="263"/>
      <c r="C23" s="263"/>
      <c r="D23" s="263"/>
      <c r="E23" s="263"/>
      <c r="F23" s="256"/>
      <c r="G23" s="256"/>
    </row>
    <row r="24" spans="1:7">
      <c r="A24" s="212" t="s">
        <v>529</v>
      </c>
    </row>
    <row r="25" spans="1:7">
      <c r="A25" s="213" t="s">
        <v>921</v>
      </c>
    </row>
    <row r="26" spans="1:7">
      <c r="A26" s="213" t="s">
        <v>922</v>
      </c>
    </row>
  </sheetData>
  <sheetProtection sheet="false"/>
  <mergeCells count="8">
    <mergeCell ref="A8:C8"/>
    <mergeCell ref="A17:E17"/>
    <mergeCell ref="B18:C18"/>
    <mergeCell ref="A1:E1"/>
    <mergeCell ref="A3:B3"/>
    <mergeCell ref="A4:B4"/>
    <mergeCell ref="C4:C5"/>
    <mergeCell ref="E4:E5"/>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F24"/>
  <sheetViews>
    <sheetView workbookViewId="0">
      <selection activeCell="C9" sqref="C9"/>
    </sheetView>
  </sheetViews>
  <sheetFormatPr baseColWidth="10" defaultColWidth="12" defaultRowHeight="13"/>
  <cols>
    <col min="1" max="1" customWidth="true" style="202" width="39.3984375" collapsed="true"/>
    <col min="2" max="2" customWidth="true" style="202" width="13.69921875" collapsed="true"/>
    <col min="3" max="3" customWidth="true" style="202" width="17.19921875" collapsed="true"/>
    <col min="4" max="4" customWidth="true" style="202" width="27.796875" collapsed="true"/>
    <col min="5" max="5" customWidth="true" style="249" width="13.69921875" collapsed="true"/>
    <col min="6" max="6" style="249" width="12.0" collapsed="true"/>
    <col min="7" max="16384" style="202" width="12.0" collapsed="true"/>
  </cols>
  <sheetData>
    <row r="1" spans="1:6" ht="18.75" customHeight="1">
      <c r="A1" s="972" t="s">
        <v>923</v>
      </c>
      <c r="B1" s="972"/>
      <c r="C1" s="972"/>
      <c r="D1" s="972"/>
      <c r="E1" s="248"/>
      <c r="F1" s="248"/>
    </row>
    <row r="2" spans="1:6" ht="8.15" customHeight="1"/>
    <row r="3" spans="1:6" ht="12.75" customHeight="1">
      <c r="A3" s="857" t="s">
        <v>487</v>
      </c>
      <c r="B3" s="857"/>
      <c r="C3" s="217" t="s">
        <v>488</v>
      </c>
      <c r="D3" s="449">
        <f>+'Note 1'!E3</f>
        <v>44926</v>
      </c>
      <c r="E3" s="202"/>
      <c r="F3" s="202"/>
    </row>
    <row r="4" spans="1:6" ht="15" customHeight="1">
      <c r="A4" s="864" t="str">
        <f>+'Note 1'!A4</f>
        <v>IAMGOLD BOTO SA</v>
      </c>
      <c r="B4" s="864"/>
      <c r="C4" s="879" t="s">
        <v>489</v>
      </c>
      <c r="D4" s="893">
        <f>+'Note 1'!E4</f>
        <v>12</v>
      </c>
      <c r="E4" s="202"/>
      <c r="F4" s="202"/>
    </row>
    <row r="5" spans="1:6" ht="15" customHeight="1">
      <c r="A5" s="202" t="s">
        <v>490</v>
      </c>
      <c r="B5" s="450" t="str">
        <f>+'Note 1'!B5</f>
        <v>007768007</v>
      </c>
      <c r="C5" s="879"/>
      <c r="D5" s="894"/>
      <c r="E5" s="202"/>
      <c r="F5" s="202"/>
    </row>
    <row r="6" spans="1:6" ht="8.15" customHeight="1"/>
    <row r="8" spans="1:6" s="218" customFormat="1" ht="25.25" customHeight="1">
      <c r="A8" s="979" t="s">
        <v>340</v>
      </c>
      <c r="B8" s="980"/>
      <c r="C8" s="536" t="s">
        <v>1592</v>
      </c>
      <c r="D8" s="211" t="s">
        <v>1593</v>
      </c>
      <c r="E8" s="253"/>
      <c r="F8" s="249"/>
    </row>
    <row r="9" spans="1:6" ht="25.25" customHeight="1">
      <c r="A9" s="975" t="s">
        <v>924</v>
      </c>
      <c r="B9" s="976"/>
      <c r="C9" s="236"/>
      <c r="D9" s="243"/>
      <c r="E9" s="259"/>
    </row>
    <row r="10" spans="1:6">
      <c r="A10" s="977" t="s">
        <v>925</v>
      </c>
      <c r="B10" s="978"/>
      <c r="C10" s="546"/>
      <c r="D10" s="580"/>
      <c r="E10" s="256"/>
    </row>
    <row r="11" spans="1:6">
      <c r="A11" s="973" t="s">
        <v>926</v>
      </c>
      <c r="B11" s="974"/>
      <c r="C11" s="546"/>
      <c r="D11" s="580"/>
      <c r="E11" s="256"/>
    </row>
    <row r="12" spans="1:6">
      <c r="A12" s="973" t="s">
        <v>926</v>
      </c>
      <c r="B12" s="974"/>
      <c r="C12" s="546"/>
      <c r="D12" s="580"/>
      <c r="E12" s="256"/>
    </row>
    <row r="13" spans="1:6">
      <c r="A13" s="973" t="s">
        <v>926</v>
      </c>
      <c r="B13" s="974"/>
      <c r="C13" s="546"/>
      <c r="D13" s="580"/>
      <c r="E13" s="256"/>
    </row>
    <row r="14" spans="1:6">
      <c r="A14" s="973" t="s">
        <v>926</v>
      </c>
      <c r="B14" s="974"/>
      <c r="C14" s="546"/>
      <c r="D14" s="580"/>
      <c r="E14" s="256"/>
    </row>
    <row r="15" spans="1:6" ht="25.25" customHeight="1">
      <c r="A15" s="975" t="s">
        <v>927</v>
      </c>
      <c r="B15" s="976"/>
      <c r="C15" s="236"/>
      <c r="D15" s="243"/>
      <c r="E15" s="259"/>
    </row>
    <row r="16" spans="1:6">
      <c r="A16" s="977" t="s">
        <v>925</v>
      </c>
      <c r="B16" s="978"/>
      <c r="C16" s="546"/>
      <c r="D16" s="580"/>
      <c r="E16" s="256"/>
    </row>
    <row r="17" spans="1:5">
      <c r="A17" s="973" t="s">
        <v>926</v>
      </c>
      <c r="B17" s="974"/>
      <c r="C17" s="546"/>
      <c r="D17" s="580"/>
      <c r="E17" s="256"/>
    </row>
    <row r="18" spans="1:5">
      <c r="A18" s="973" t="s">
        <v>926</v>
      </c>
      <c r="B18" s="974"/>
      <c r="C18" s="546"/>
      <c r="D18" s="580"/>
      <c r="E18" s="256"/>
    </row>
    <row r="19" spans="1:5">
      <c r="A19" s="973" t="s">
        <v>926</v>
      </c>
      <c r="B19" s="974"/>
      <c r="C19" s="546"/>
      <c r="D19" s="580"/>
      <c r="E19" s="256"/>
    </row>
    <row r="20" spans="1:5">
      <c r="A20" s="973" t="s">
        <v>926</v>
      </c>
      <c r="B20" s="974"/>
      <c r="C20" s="546"/>
      <c r="D20" s="580"/>
      <c r="E20" s="256"/>
    </row>
    <row r="21" spans="1:5">
      <c r="A21" s="212" t="s">
        <v>529</v>
      </c>
    </row>
    <row r="22" spans="1:5">
      <c r="A22" s="213" t="s">
        <v>928</v>
      </c>
    </row>
    <row r="23" spans="1:5">
      <c r="A23" s="257" t="s">
        <v>929</v>
      </c>
    </row>
    <row r="24" spans="1:5">
      <c r="A24" s="213"/>
    </row>
  </sheetData>
  <sheetProtection sheet="false"/>
  <mergeCells count="18">
    <mergeCell ref="A1:D1"/>
    <mergeCell ref="A3:B3"/>
    <mergeCell ref="A4:B4"/>
    <mergeCell ref="C4:C5"/>
    <mergeCell ref="D4:D5"/>
    <mergeCell ref="A8:B8"/>
    <mergeCell ref="A9:B9"/>
    <mergeCell ref="A10:B10"/>
    <mergeCell ref="A11:B11"/>
    <mergeCell ref="A12:B12"/>
    <mergeCell ref="A20:B20"/>
    <mergeCell ref="A18:B18"/>
    <mergeCell ref="A19:B19"/>
    <mergeCell ref="A13:B13"/>
    <mergeCell ref="A14:B14"/>
    <mergeCell ref="A15:B15"/>
    <mergeCell ref="A16:B16"/>
    <mergeCell ref="A17:B17"/>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9"/>
    <pageSetUpPr fitToPage="1"/>
  </sheetPr>
  <dimension ref="A1:H28"/>
  <sheetViews>
    <sheetView workbookViewId="0">
      <selection activeCell="J35" sqref="J35"/>
    </sheetView>
  </sheetViews>
  <sheetFormatPr baseColWidth="10" defaultColWidth="12" defaultRowHeight="13"/>
  <cols>
    <col min="1" max="1" customWidth="true" style="202" width="51.0" collapsed="true"/>
    <col min="2" max="3" customWidth="true" style="202" width="15.296875" collapsed="true"/>
    <col min="4" max="4" customWidth="true" style="202" width="12.8984375" collapsed="true"/>
    <col min="5" max="5" customWidth="true" style="202" width="9.3984375" collapsed="true"/>
    <col min="6" max="8" customWidth="true" style="202" width="12.3984375" collapsed="true"/>
    <col min="9" max="16384" style="202" width="12.0" collapsed="true"/>
  </cols>
  <sheetData>
    <row r="1" spans="1:8" ht="18.5">
      <c r="A1" s="856" t="s">
        <v>930</v>
      </c>
      <c r="B1" s="856"/>
      <c r="C1" s="856"/>
      <c r="D1" s="856"/>
      <c r="E1" s="856"/>
      <c r="F1" s="856"/>
      <c r="G1" s="856"/>
      <c r="H1" s="856"/>
    </row>
    <row r="2" spans="1:8" ht="8.15" customHeight="1"/>
    <row r="3" spans="1:8" ht="12.75" customHeight="1">
      <c r="A3" s="857" t="s">
        <v>487</v>
      </c>
      <c r="B3" s="857"/>
      <c r="C3" s="857"/>
      <c r="D3" s="523"/>
      <c r="F3" s="217"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851" t="s">
        <v>340</v>
      </c>
      <c r="B7" s="883" t="s">
        <v>774</v>
      </c>
      <c r="C7" s="883" t="s">
        <v>775</v>
      </c>
      <c r="D7" s="883" t="s">
        <v>769</v>
      </c>
      <c r="E7" s="883" t="s">
        <v>606</v>
      </c>
      <c r="F7" s="931" t="s">
        <v>844</v>
      </c>
      <c r="G7" s="931" t="s">
        <v>845</v>
      </c>
      <c r="H7" s="883" t="s">
        <v>846</v>
      </c>
    </row>
    <row r="8" spans="1:8" s="218" customFormat="1" ht="25.25" customHeight="1">
      <c r="A8" s="924"/>
      <c r="B8" s="874"/>
      <c r="C8" s="874"/>
      <c r="D8" s="874"/>
      <c r="E8" s="874"/>
      <c r="F8" s="877"/>
      <c r="G8" s="877"/>
      <c r="H8" s="874"/>
    </row>
    <row r="9" spans="1:8">
      <c r="A9" s="362" t="s">
        <v>931</v>
      </c>
      <c r="B9" s="403">
        <v>97327655</v>
      </c>
      <c r="C9" s="403">
        <v>103970309</v>
      </c>
      <c r="D9" s="403">
        <v>-2072929</v>
      </c>
      <c r="E9" s="407">
        <v>-1.9937701637493449E-2</v>
      </c>
      <c r="F9" s="205">
        <v>101897380</v>
      </c>
      <c r="G9" s="205"/>
      <c r="H9" s="205"/>
    </row>
    <row r="10" spans="1:8">
      <c r="A10" s="362" t="s">
        <v>1493</v>
      </c>
      <c r="B10" s="403"/>
      <c r="C10" s="403"/>
      <c r="D10" s="403"/>
      <c r="E10" s="407"/>
      <c r="F10" s="205"/>
      <c r="G10" s="205"/>
      <c r="H10" s="205"/>
    </row>
    <row r="11" spans="1:8">
      <c r="A11" s="590" t="s">
        <v>1494</v>
      </c>
      <c r="B11" s="403"/>
      <c r="C11" s="403"/>
      <c r="D11" s="403"/>
      <c r="E11" s="407"/>
      <c r="F11" s="205"/>
      <c r="G11" s="205"/>
      <c r="H11" s="205"/>
    </row>
    <row r="12" spans="1:8">
      <c r="A12" s="362" t="s">
        <v>1495</v>
      </c>
      <c r="B12" s="403">
        <v>4569725</v>
      </c>
      <c r="C12" s="403">
        <v>1825000</v>
      </c>
      <c r="D12" s="403">
        <v>2744725</v>
      </c>
      <c r="E12" s="407">
        <f>IF(C12&lt;&gt;0,(B12-C12)/C12,0)</f>
        <v>1.5039589041095891</v>
      </c>
      <c r="F12" s="205"/>
      <c r="G12" s="205"/>
      <c r="H12" s="205"/>
    </row>
    <row r="13" spans="1:8">
      <c r="A13" s="362" t="s">
        <v>932</v>
      </c>
      <c r="B13" s="205"/>
      <c r="C13" s="205"/>
      <c r="D13" s="205"/>
      <c r="E13" s="205"/>
      <c r="F13" s="205"/>
      <c r="G13" s="205"/>
      <c r="H13" s="205"/>
    </row>
    <row r="14" spans="1:8">
      <c r="A14" s="362" t="s">
        <v>933</v>
      </c>
      <c r="B14" s="205"/>
      <c r="C14" s="205"/>
      <c r="D14" s="205"/>
      <c r="E14" s="205"/>
      <c r="F14" s="205"/>
      <c r="G14" s="205"/>
      <c r="H14" s="205"/>
    </row>
    <row r="15" spans="1:8">
      <c r="A15" s="362" t="s">
        <v>1496</v>
      </c>
      <c r="B15" s="205"/>
      <c r="C15" s="205"/>
      <c r="D15" s="205"/>
      <c r="E15" s="205"/>
      <c r="F15" s="205"/>
      <c r="G15" s="205"/>
      <c r="H15" s="205"/>
    </row>
    <row r="16" spans="1:8">
      <c r="A16" s="362" t="s">
        <v>934</v>
      </c>
      <c r="B16" s="205">
        <v>232636221</v>
      </c>
      <c r="C16" s="205">
        <v>1217444786</v>
      </c>
      <c r="D16" s="205">
        <v>-984808565</v>
      </c>
      <c r="E16" s="407">
        <v>-0.80891435597310124</v>
      </c>
      <c r="F16" s="205">
        <v>232636221</v>
      </c>
      <c r="G16" s="205"/>
      <c r="H16" s="205"/>
    </row>
    <row r="17" spans="1:8">
      <c r="A17" s="362" t="s">
        <v>935</v>
      </c>
      <c r="B17" s="205"/>
      <c r="C17" s="205"/>
      <c r="D17" s="205"/>
      <c r="E17" s="205"/>
      <c r="F17" s="205"/>
      <c r="G17" s="205"/>
      <c r="H17" s="205"/>
    </row>
    <row r="18" spans="1:8">
      <c r="A18" s="377" t="s">
        <v>936</v>
      </c>
      <c r="B18" s="404">
        <v>334533601</v>
      </c>
      <c r="C18" s="404">
        <v>1321415095</v>
      </c>
      <c r="D18" s="404">
        <v>-986881494</v>
      </c>
      <c r="E18" s="415">
        <v>-0.74683685522753918</v>
      </c>
      <c r="F18" s="207">
        <v>334533601</v>
      </c>
      <c r="G18" s="207"/>
      <c r="H18" s="207"/>
    </row>
    <row r="19" spans="1:8">
      <c r="A19" s="362" t="s">
        <v>937</v>
      </c>
      <c r="B19" s="205"/>
      <c r="C19" s="205"/>
      <c r="D19" s="205"/>
      <c r="E19" s="205"/>
      <c r="F19" s="205"/>
      <c r="G19" s="205"/>
      <c r="H19" s="205"/>
    </row>
    <row r="20" spans="1:8">
      <c r="A20" s="362" t="s">
        <v>938</v>
      </c>
      <c r="B20" s="205"/>
      <c r="C20" s="205"/>
      <c r="D20" s="205"/>
      <c r="E20" s="205"/>
      <c r="F20" s="205"/>
      <c r="G20" s="205"/>
      <c r="H20" s="205"/>
    </row>
    <row r="21" spans="1:8">
      <c r="A21" s="363" t="s">
        <v>939</v>
      </c>
      <c r="B21" s="205"/>
      <c r="C21" s="205"/>
      <c r="D21" s="205"/>
      <c r="E21" s="205"/>
      <c r="F21" s="205"/>
      <c r="G21" s="205"/>
      <c r="H21" s="205"/>
    </row>
    <row r="22" spans="1:8" ht="20.149999999999999" customHeight="1">
      <c r="A22" s="378" t="s">
        <v>940</v>
      </c>
      <c r="B22" s="215"/>
      <c r="C22" s="215"/>
      <c r="D22" s="215"/>
      <c r="E22" s="215"/>
      <c r="F22" s="215"/>
      <c r="G22" s="215"/>
      <c r="H22" s="215"/>
    </row>
    <row r="23" spans="1:8">
      <c r="A23" s="379" t="s">
        <v>529</v>
      </c>
    </row>
    <row r="24" spans="1:8">
      <c r="A24" s="213" t="s">
        <v>679</v>
      </c>
    </row>
    <row r="25" spans="1:8">
      <c r="A25" s="213" t="s">
        <v>941</v>
      </c>
    </row>
    <row r="26" spans="1:8">
      <c r="A26" s="213" t="s">
        <v>942</v>
      </c>
    </row>
    <row r="27" spans="1:8">
      <c r="A27" s="235"/>
    </row>
    <row r="28" spans="1:8">
      <c r="A28" s="202" t="s">
        <v>1617</v>
      </c>
      <c r="D28" s="699"/>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2" xr:uid="{00000000-0002-0000-24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F9:H22" xr:uid="{00000000-0002-0000-24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9"/>
    <pageSetUpPr fitToPage="1"/>
  </sheetPr>
  <dimension ref="A1:H30"/>
  <sheetViews>
    <sheetView workbookViewId="0">
      <selection activeCell="A30" sqref="A30"/>
    </sheetView>
  </sheetViews>
  <sheetFormatPr baseColWidth="10" defaultColWidth="12" defaultRowHeight="13"/>
  <cols>
    <col min="1" max="1" customWidth="true" style="202" width="36.3984375" collapsed="true"/>
    <col min="2" max="2" customWidth="true" style="202" width="13.796875" collapsed="true"/>
    <col min="3" max="4" customWidth="true" style="202" width="14.796875" collapsed="true"/>
    <col min="5" max="5" customWidth="true" style="202" width="9.3984375" collapsed="true"/>
    <col min="6" max="6" customWidth="true" style="202" width="15.796875" collapsed="true"/>
    <col min="7" max="8" customWidth="true" style="202" width="12.3984375" collapsed="true"/>
    <col min="9" max="16384" style="202" width="12.0" collapsed="true"/>
  </cols>
  <sheetData>
    <row r="1" spans="1:8" ht="18.5">
      <c r="A1" s="856" t="s">
        <v>943</v>
      </c>
      <c r="B1" s="856"/>
      <c r="C1" s="856"/>
      <c r="D1" s="856"/>
      <c r="E1" s="856"/>
      <c r="F1" s="856"/>
      <c r="G1" s="856"/>
      <c r="H1" s="856"/>
    </row>
    <row r="2" spans="1:8" ht="8.15" customHeight="1"/>
    <row r="3" spans="1:8" ht="12.75" customHeight="1">
      <c r="A3" s="857" t="s">
        <v>487</v>
      </c>
      <c r="B3" s="857"/>
      <c r="C3" s="857"/>
      <c r="D3" s="523"/>
      <c r="F3" s="217"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851" t="s">
        <v>340</v>
      </c>
      <c r="B7" s="883" t="s">
        <v>1592</v>
      </c>
      <c r="C7" s="883" t="s">
        <v>1593</v>
      </c>
      <c r="D7" s="883" t="s">
        <v>769</v>
      </c>
      <c r="E7" s="883" t="s">
        <v>606</v>
      </c>
      <c r="F7" s="931" t="s">
        <v>844</v>
      </c>
      <c r="G7" s="931" t="s">
        <v>845</v>
      </c>
      <c r="H7" s="883" t="s">
        <v>846</v>
      </c>
    </row>
    <row r="8" spans="1:8" s="218" customFormat="1" ht="25.25" customHeight="1">
      <c r="A8" s="924"/>
      <c r="B8" s="874"/>
      <c r="C8" s="874"/>
      <c r="D8" s="874"/>
      <c r="E8" s="874"/>
      <c r="F8" s="877"/>
      <c r="G8" s="877"/>
      <c r="H8" s="874"/>
    </row>
    <row r="9" spans="1:8">
      <c r="A9" s="362" t="s">
        <v>1497</v>
      </c>
      <c r="B9" s="403"/>
      <c r="C9" s="403"/>
      <c r="D9" s="403"/>
      <c r="E9" s="366"/>
      <c r="F9" s="403"/>
      <c r="G9" s="205"/>
      <c r="H9" s="205"/>
    </row>
    <row r="10" spans="1:8">
      <c r="A10" s="362" t="s">
        <v>1498</v>
      </c>
      <c r="B10" s="403">
        <v>193715</v>
      </c>
      <c r="C10" s="403">
        <v>0</v>
      </c>
      <c r="D10" s="403">
        <v>193715</v>
      </c>
      <c r="E10" s="407">
        <v>0</v>
      </c>
      <c r="F10" s="403">
        <v>0</v>
      </c>
      <c r="G10" s="205"/>
      <c r="H10" s="205"/>
    </row>
    <row r="11" spans="1:8">
      <c r="A11" s="362" t="s">
        <v>944</v>
      </c>
      <c r="B11" s="403">
        <v>142921564</v>
      </c>
      <c r="C11" s="403">
        <v>15222148</v>
      </c>
      <c r="D11" s="403">
        <v>127699416</v>
      </c>
      <c r="E11" s="407">
        <v>8.3890536342177207</v>
      </c>
      <c r="F11" s="403">
        <v>142921564</v>
      </c>
      <c r="G11" s="205"/>
      <c r="H11" s="205"/>
    </row>
    <row r="12" spans="1:8">
      <c r="A12" s="362" t="s">
        <v>945</v>
      </c>
      <c r="B12" s="403">
        <v>331437</v>
      </c>
      <c r="C12" s="403">
        <v>243581</v>
      </c>
      <c r="D12" s="403">
        <v>87856</v>
      </c>
      <c r="E12" s="407">
        <v>0.3606849466912444</v>
      </c>
      <c r="F12" s="403">
        <v>331437</v>
      </c>
      <c r="G12" s="205"/>
      <c r="H12" s="205"/>
    </row>
    <row r="13" spans="1:8">
      <c r="A13" s="362" t="s">
        <v>946</v>
      </c>
      <c r="B13" s="403">
        <v>4141997</v>
      </c>
      <c r="C13" s="403">
        <v>3705698</v>
      </c>
      <c r="D13" s="403">
        <v>436299</v>
      </c>
      <c r="E13" s="407">
        <v>0.11773733315558904</v>
      </c>
      <c r="F13" s="403">
        <v>4141997</v>
      </c>
      <c r="G13" s="205"/>
      <c r="H13" s="205"/>
    </row>
    <row r="14" spans="1:8">
      <c r="A14" s="362" t="s">
        <v>1499</v>
      </c>
      <c r="B14" s="403">
        <v>460000</v>
      </c>
      <c r="C14" s="403">
        <v>372104</v>
      </c>
      <c r="D14" s="403">
        <v>87896</v>
      </c>
      <c r="E14" s="407">
        <v>0.23621353170081483</v>
      </c>
      <c r="F14" s="403">
        <v>460000</v>
      </c>
      <c r="G14" s="205"/>
      <c r="H14" s="205"/>
    </row>
    <row r="15" spans="1:8">
      <c r="A15" s="362" t="s">
        <v>1500</v>
      </c>
      <c r="B15" s="403"/>
      <c r="C15" s="403"/>
      <c r="D15" s="403"/>
      <c r="E15" s="407"/>
      <c r="F15" s="403"/>
      <c r="G15" s="205"/>
      <c r="H15" s="205"/>
    </row>
    <row r="16" spans="1:8">
      <c r="A16" s="362" t="s">
        <v>1501</v>
      </c>
      <c r="B16" s="403"/>
      <c r="C16" s="403"/>
      <c r="D16" s="403"/>
      <c r="E16" s="407"/>
      <c r="F16" s="403"/>
      <c r="G16" s="205"/>
      <c r="H16" s="205"/>
    </row>
    <row r="17" spans="1:8">
      <c r="A17" s="362" t="s">
        <v>947</v>
      </c>
      <c r="B17" s="205"/>
      <c r="C17" s="205"/>
      <c r="D17" s="205"/>
      <c r="E17" s="205"/>
      <c r="F17" s="403"/>
      <c r="G17" s="205"/>
      <c r="H17" s="205"/>
    </row>
    <row r="18" spans="1:8">
      <c r="A18" s="377" t="s">
        <v>936</v>
      </c>
      <c r="B18" s="404">
        <v>148048713</v>
      </c>
      <c r="C18" s="404">
        <v>19543531</v>
      </c>
      <c r="D18" s="404">
        <v>128505182</v>
      </c>
      <c r="E18" s="415">
        <v>6.5753308345354791</v>
      </c>
      <c r="F18" s="404">
        <v>147854998</v>
      </c>
      <c r="G18" s="207"/>
      <c r="H18" s="207"/>
    </row>
    <row r="19" spans="1:8">
      <c r="A19" s="362" t="s">
        <v>948</v>
      </c>
      <c r="B19" s="403"/>
      <c r="C19" s="403"/>
      <c r="D19" s="403"/>
      <c r="E19" s="407"/>
      <c r="F19" s="403"/>
      <c r="G19" s="205"/>
      <c r="H19" s="205"/>
    </row>
    <row r="20" spans="1:8">
      <c r="A20" s="362" t="s">
        <v>949</v>
      </c>
      <c r="B20" s="403"/>
      <c r="C20" s="403"/>
      <c r="D20" s="403"/>
      <c r="E20" s="407"/>
      <c r="F20" s="205"/>
      <c r="G20" s="205"/>
      <c r="H20" s="205"/>
    </row>
    <row r="21" spans="1:8">
      <c r="A21" s="362" t="s">
        <v>950</v>
      </c>
      <c r="B21" s="403"/>
      <c r="C21" s="403"/>
      <c r="D21" s="403"/>
      <c r="E21" s="407"/>
      <c r="F21" s="205"/>
      <c r="G21" s="205"/>
      <c r="H21" s="205"/>
    </row>
    <row r="22" spans="1:8">
      <c r="A22" s="362" t="s">
        <v>951</v>
      </c>
      <c r="B22" s="343">
        <v>102161135</v>
      </c>
      <c r="C22" s="343">
        <v>102857489</v>
      </c>
      <c r="D22" s="343">
        <v>-696354</v>
      </c>
      <c r="E22" s="407">
        <v>-6.7700855501148776E-3</v>
      </c>
      <c r="F22" s="205">
        <v>102161135</v>
      </c>
      <c r="G22" s="205"/>
      <c r="H22" s="205"/>
    </row>
    <row r="23" spans="1:8">
      <c r="A23" s="363" t="s">
        <v>952</v>
      </c>
      <c r="B23" s="205">
        <v>4479831</v>
      </c>
      <c r="C23" s="205">
        <v>0</v>
      </c>
      <c r="D23" s="205">
        <v>4479831</v>
      </c>
      <c r="E23" s="205">
        <v>0</v>
      </c>
      <c r="F23" s="205">
        <v>4479831</v>
      </c>
      <c r="G23" s="205"/>
      <c r="H23" s="205"/>
    </row>
    <row r="24" spans="1:8">
      <c r="A24" s="377" t="s">
        <v>936</v>
      </c>
      <c r="B24" s="404">
        <v>106640966</v>
      </c>
      <c r="C24" s="404">
        <v>102857489</v>
      </c>
      <c r="D24" s="404">
        <v>3783477</v>
      </c>
      <c r="E24" s="415">
        <v>3.6783680379364504E-2</v>
      </c>
      <c r="F24" s="404">
        <v>106640966</v>
      </c>
      <c r="G24" s="207"/>
      <c r="H24" s="207"/>
    </row>
    <row r="25" spans="1:8" ht="20.149999999999999" customHeight="1">
      <c r="A25" s="378" t="s">
        <v>940</v>
      </c>
      <c r="B25" s="405">
        <v>254689679</v>
      </c>
      <c r="C25" s="405">
        <v>122401020</v>
      </c>
      <c r="D25" s="405">
        <v>132288659</v>
      </c>
      <c r="E25" s="412">
        <v>1.0807806912066582</v>
      </c>
      <c r="F25" s="405">
        <v>254495964</v>
      </c>
      <c r="G25" s="215"/>
      <c r="H25" s="215"/>
    </row>
    <row r="26" spans="1:8">
      <c r="A26" s="379" t="s">
        <v>529</v>
      </c>
    </row>
    <row r="27" spans="1:8">
      <c r="A27" s="213" t="s">
        <v>679</v>
      </c>
    </row>
    <row r="28" spans="1:8">
      <c r="A28" s="213" t="s">
        <v>942</v>
      </c>
    </row>
    <row r="29" spans="1:8">
      <c r="A29" s="235"/>
    </row>
    <row r="30" spans="1:8">
      <c r="A30" s="202" t="s">
        <v>1618</v>
      </c>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xr:uid="{00000000-0002-0000-25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xr:uid="{00000000-0002-0000-2500-000001000000}">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9"/>
    <pageSetUpPr fitToPage="1"/>
  </sheetPr>
  <dimension ref="A1:H40"/>
  <sheetViews>
    <sheetView workbookViewId="0">
      <selection activeCell="A42" sqref="A42"/>
    </sheetView>
  </sheetViews>
  <sheetFormatPr baseColWidth="10" defaultColWidth="12" defaultRowHeight="13"/>
  <cols>
    <col min="1" max="1" customWidth="true" style="202" width="36.3984375" collapsed="true"/>
    <col min="2" max="3" customWidth="true" style="202" width="18.69921875" collapsed="true"/>
    <col min="4" max="4" customWidth="true" style="202" width="15.59765625" collapsed="true"/>
    <col min="5" max="5" customWidth="true" style="202" width="9.3984375" collapsed="true"/>
    <col min="6" max="8" customWidth="true" style="202" width="12.3984375" collapsed="true"/>
    <col min="9" max="16384" style="202" width="12.0" collapsed="true"/>
  </cols>
  <sheetData>
    <row r="1" spans="1:8" ht="18.5">
      <c r="A1" s="856" t="s">
        <v>953</v>
      </c>
      <c r="B1" s="856"/>
      <c r="C1" s="856"/>
      <c r="D1" s="856"/>
      <c r="E1" s="856"/>
      <c r="F1" s="856"/>
      <c r="G1" s="856"/>
      <c r="H1" s="856"/>
    </row>
    <row r="2" spans="1:8" ht="8.15" customHeight="1"/>
    <row r="3" spans="1:8" ht="12.75" customHeight="1">
      <c r="A3" s="857" t="s">
        <v>487</v>
      </c>
      <c r="B3" s="857"/>
      <c r="C3" s="857"/>
      <c r="D3" s="523"/>
      <c r="F3" s="217" t="s">
        <v>488</v>
      </c>
      <c r="G3" s="878">
        <f>+'Note 1'!E3</f>
        <v>44926</v>
      </c>
      <c r="H3" s="878"/>
    </row>
    <row r="4" spans="1:8" ht="15" customHeight="1">
      <c r="A4" s="864" t="str">
        <f>+'Note 1'!A4</f>
        <v>IAMGOLD BOTO SA</v>
      </c>
      <c r="B4" s="864"/>
      <c r="C4" s="864"/>
      <c r="D4" s="524"/>
      <c r="F4" s="879" t="s">
        <v>489</v>
      </c>
      <c r="G4" s="880">
        <f>+'Note 1'!E4</f>
        <v>12</v>
      </c>
      <c r="H4" s="880"/>
    </row>
    <row r="5" spans="1:8" ht="15" customHeight="1">
      <c r="A5" s="202" t="s">
        <v>490</v>
      </c>
      <c r="B5" s="882" t="str">
        <f>+'Note 1'!B5</f>
        <v>007768007</v>
      </c>
      <c r="C5" s="882"/>
      <c r="D5" s="524"/>
      <c r="F5" s="879"/>
      <c r="G5" s="881"/>
      <c r="H5" s="881"/>
    </row>
    <row r="6" spans="1:8" ht="8.15" customHeight="1"/>
    <row r="7" spans="1:8" s="218" customFormat="1" ht="25.25" customHeight="1">
      <c r="A7" s="851" t="s">
        <v>340</v>
      </c>
      <c r="B7" s="883" t="s">
        <v>1592</v>
      </c>
      <c r="C7" s="883" t="s">
        <v>1593</v>
      </c>
      <c r="D7" s="883" t="s">
        <v>769</v>
      </c>
      <c r="E7" s="883" t="s">
        <v>606</v>
      </c>
      <c r="F7" s="931" t="s">
        <v>844</v>
      </c>
      <c r="G7" s="931" t="s">
        <v>845</v>
      </c>
      <c r="H7" s="883" t="s">
        <v>846</v>
      </c>
    </row>
    <row r="8" spans="1:8" s="218" customFormat="1" ht="25.25" customHeight="1">
      <c r="A8" s="924"/>
      <c r="B8" s="874"/>
      <c r="C8" s="874"/>
      <c r="D8" s="874"/>
      <c r="E8" s="874"/>
      <c r="F8" s="877"/>
      <c r="G8" s="877"/>
      <c r="H8" s="874"/>
    </row>
    <row r="9" spans="1:8">
      <c r="A9" s="362" t="s">
        <v>683</v>
      </c>
      <c r="B9" s="205"/>
      <c r="C9" s="205"/>
      <c r="D9" s="205"/>
      <c r="E9" s="205"/>
      <c r="F9" s="205"/>
      <c r="G9" s="205"/>
      <c r="H9" s="205"/>
    </row>
    <row r="10" spans="1:8">
      <c r="A10" s="362" t="s">
        <v>954</v>
      </c>
      <c r="B10" s="205"/>
      <c r="C10" s="205"/>
      <c r="D10" s="205"/>
      <c r="E10" s="407"/>
      <c r="F10" s="205"/>
      <c r="G10" s="205"/>
      <c r="H10" s="205"/>
    </row>
    <row r="11" spans="1:8">
      <c r="A11" s="362" t="s">
        <v>955</v>
      </c>
      <c r="B11" s="403"/>
      <c r="C11" s="403"/>
      <c r="D11" s="403"/>
      <c r="E11" s="407"/>
      <c r="F11" s="205"/>
      <c r="G11" s="205"/>
      <c r="H11" s="205"/>
    </row>
    <row r="12" spans="1:8">
      <c r="A12" s="362" t="s">
        <v>956</v>
      </c>
      <c r="B12" s="205"/>
      <c r="C12" s="205"/>
      <c r="D12" s="205"/>
      <c r="E12" s="407"/>
      <c r="F12" s="205"/>
      <c r="G12" s="205"/>
      <c r="H12" s="205"/>
    </row>
    <row r="13" spans="1:8">
      <c r="A13" s="362" t="s">
        <v>957</v>
      </c>
      <c r="B13" s="205">
        <v>648414728</v>
      </c>
      <c r="C13" s="205">
        <v>4731343048</v>
      </c>
      <c r="D13" s="205">
        <v>-4082928320</v>
      </c>
      <c r="E13" s="407">
        <v>-0.86295334719512817</v>
      </c>
      <c r="F13" s="205"/>
      <c r="G13" s="205"/>
      <c r="H13" s="205"/>
    </row>
    <row r="14" spans="1:8">
      <c r="A14" s="362" t="s">
        <v>958</v>
      </c>
      <c r="B14" s="205"/>
      <c r="C14" s="205"/>
      <c r="D14" s="205"/>
      <c r="E14" s="407"/>
      <c r="F14" s="205"/>
      <c r="G14" s="205"/>
      <c r="H14" s="205"/>
    </row>
    <row r="15" spans="1:8">
      <c r="A15" s="377" t="s">
        <v>959</v>
      </c>
      <c r="B15" s="404">
        <v>648414728</v>
      </c>
      <c r="C15" s="404">
        <v>4731343048</v>
      </c>
      <c r="D15" s="404">
        <v>-4082928320</v>
      </c>
      <c r="E15" s="415">
        <v>-0.86295334719512817</v>
      </c>
      <c r="F15" s="207"/>
      <c r="G15" s="207"/>
      <c r="H15" s="207"/>
    </row>
    <row r="16" spans="1:8">
      <c r="A16" s="362" t="s">
        <v>960</v>
      </c>
      <c r="B16" s="205">
        <v>3608653</v>
      </c>
      <c r="C16" s="205">
        <v>124887368</v>
      </c>
      <c r="D16" s="205">
        <v>-121278715</v>
      </c>
      <c r="E16" s="407">
        <v>-0.97110473975238232</v>
      </c>
      <c r="F16" s="205"/>
      <c r="G16" s="205"/>
      <c r="H16" s="205"/>
    </row>
    <row r="17" spans="1:8">
      <c r="A17" s="362" t="s">
        <v>961</v>
      </c>
      <c r="B17" s="205"/>
      <c r="C17" s="205"/>
      <c r="D17" s="205"/>
      <c r="E17" s="205"/>
      <c r="F17" s="205"/>
      <c r="G17" s="205"/>
      <c r="H17" s="205"/>
    </row>
    <row r="18" spans="1:8">
      <c r="A18" s="362" t="s">
        <v>962</v>
      </c>
      <c r="B18" s="205"/>
      <c r="C18" s="205"/>
      <c r="D18" s="205"/>
      <c r="E18" s="205"/>
      <c r="F18" s="205"/>
      <c r="G18" s="205"/>
      <c r="H18" s="205"/>
    </row>
    <row r="19" spans="1:8">
      <c r="A19" s="362" t="s">
        <v>963</v>
      </c>
      <c r="B19" s="205"/>
      <c r="C19" s="205"/>
      <c r="D19" s="205"/>
      <c r="E19" s="205"/>
      <c r="F19" s="205"/>
      <c r="G19" s="205"/>
      <c r="H19" s="205"/>
    </row>
    <row r="20" spans="1:8" ht="26">
      <c r="A20" s="362" t="s">
        <v>964</v>
      </c>
      <c r="B20" s="205"/>
      <c r="C20" s="205"/>
      <c r="D20" s="205"/>
      <c r="E20" s="205"/>
      <c r="F20" s="205"/>
      <c r="G20" s="205"/>
      <c r="H20" s="205"/>
    </row>
    <row r="21" spans="1:8" ht="26">
      <c r="A21" s="362" t="s">
        <v>1502</v>
      </c>
      <c r="B21" s="205"/>
      <c r="C21" s="205"/>
      <c r="D21" s="205"/>
      <c r="E21" s="205"/>
      <c r="F21" s="205"/>
      <c r="G21" s="205"/>
      <c r="H21" s="205"/>
    </row>
    <row r="22" spans="1:8" ht="26">
      <c r="A22" s="362" t="s">
        <v>686</v>
      </c>
      <c r="B22" s="205"/>
      <c r="C22" s="205"/>
      <c r="D22" s="205"/>
      <c r="E22" s="205"/>
      <c r="F22" s="205"/>
      <c r="G22" s="205"/>
      <c r="H22" s="205"/>
    </row>
    <row r="23" spans="1:8">
      <c r="A23" s="362" t="s">
        <v>1503</v>
      </c>
      <c r="B23" s="205"/>
      <c r="C23" s="205"/>
      <c r="D23" s="205"/>
      <c r="E23" s="205"/>
      <c r="F23" s="205"/>
      <c r="G23" s="205"/>
      <c r="H23" s="205"/>
    </row>
    <row r="24" spans="1:8">
      <c r="A24" s="363" t="s">
        <v>965</v>
      </c>
      <c r="B24" s="205">
        <v>0</v>
      </c>
      <c r="C24" s="205">
        <v>356805</v>
      </c>
      <c r="D24" s="205">
        <v>-356805</v>
      </c>
      <c r="E24" s="407">
        <v>-1</v>
      </c>
      <c r="F24" s="205"/>
      <c r="G24" s="205"/>
      <c r="H24" s="205"/>
    </row>
    <row r="25" spans="1:8">
      <c r="A25" s="377" t="s">
        <v>966</v>
      </c>
      <c r="B25" s="207">
        <v>3608653</v>
      </c>
      <c r="C25" s="207">
        <v>125244173</v>
      </c>
      <c r="D25" s="207">
        <v>-121635520</v>
      </c>
      <c r="E25" s="415">
        <v>-0.97118705873845323</v>
      </c>
      <c r="F25" s="207"/>
      <c r="G25" s="207"/>
      <c r="H25" s="207"/>
    </row>
    <row r="26" spans="1:8" ht="26">
      <c r="A26" s="362" t="s">
        <v>688</v>
      </c>
      <c r="B26" s="205"/>
      <c r="C26" s="205"/>
      <c r="D26" s="205"/>
      <c r="E26" s="205"/>
      <c r="F26" s="205"/>
      <c r="G26" s="205"/>
      <c r="H26" s="205"/>
    </row>
    <row r="27" spans="1:8">
      <c r="A27" s="362" t="s">
        <v>689</v>
      </c>
      <c r="B27" s="205"/>
      <c r="C27" s="205"/>
      <c r="D27" s="205"/>
      <c r="E27" s="205"/>
      <c r="F27" s="205"/>
      <c r="G27" s="205"/>
      <c r="H27" s="205"/>
    </row>
    <row r="28" spans="1:8" ht="26">
      <c r="A28" s="362" t="s">
        <v>690</v>
      </c>
      <c r="B28" s="205"/>
      <c r="C28" s="205"/>
      <c r="D28" s="205"/>
      <c r="E28" s="205"/>
      <c r="F28" s="205"/>
      <c r="G28" s="205"/>
      <c r="H28" s="205"/>
    </row>
    <row r="29" spans="1:8">
      <c r="A29" s="377" t="s">
        <v>967</v>
      </c>
      <c r="B29" s="207"/>
      <c r="C29" s="207"/>
      <c r="D29" s="207"/>
      <c r="E29" s="207"/>
      <c r="F29" s="207"/>
      <c r="G29" s="207"/>
      <c r="H29" s="207"/>
    </row>
    <row r="30" spans="1:8">
      <c r="A30" s="363"/>
      <c r="B30" s="205"/>
      <c r="C30" s="205"/>
      <c r="D30" s="205"/>
      <c r="E30" s="205"/>
      <c r="F30" s="205"/>
      <c r="G30" s="205"/>
      <c r="H30" s="205"/>
    </row>
    <row r="31" spans="1:8" ht="20.149999999999999" customHeight="1">
      <c r="A31" s="378" t="s">
        <v>968</v>
      </c>
      <c r="B31" s="406"/>
      <c r="C31" s="406"/>
      <c r="D31" s="406"/>
      <c r="E31" s="412"/>
      <c r="F31" s="215"/>
      <c r="G31" s="215"/>
      <c r="H31" s="215"/>
    </row>
    <row r="32" spans="1:8">
      <c r="A32" s="363"/>
      <c r="B32" s="205"/>
      <c r="C32" s="205"/>
      <c r="D32" s="205"/>
      <c r="E32" s="205"/>
      <c r="F32" s="205"/>
      <c r="G32" s="205"/>
      <c r="H32" s="205"/>
    </row>
    <row r="33" spans="1:8" ht="26">
      <c r="A33" s="362" t="s">
        <v>969</v>
      </c>
      <c r="B33" s="205"/>
      <c r="C33" s="205"/>
      <c r="D33" s="205"/>
      <c r="E33" s="205"/>
      <c r="F33" s="205"/>
      <c r="G33" s="205"/>
      <c r="H33" s="205"/>
    </row>
    <row r="34" spans="1:8">
      <c r="A34" s="212" t="s">
        <v>529</v>
      </c>
    </row>
    <row r="35" spans="1:8">
      <c r="A35" s="213" t="s">
        <v>679</v>
      </c>
    </row>
    <row r="36" spans="1:8">
      <c r="A36" s="213" t="s">
        <v>970</v>
      </c>
    </row>
    <row r="37" spans="1:8">
      <c r="A37" s="213" t="s">
        <v>971</v>
      </c>
    </row>
    <row r="38" spans="1:8">
      <c r="A38" s="213" t="s">
        <v>972</v>
      </c>
    </row>
    <row r="40" spans="1:8">
      <c r="A40" s="202" t="s">
        <v>1619</v>
      </c>
    </row>
  </sheetData>
  <sheetProtection sheet="false"/>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3 F9:H31" xr:uid="{00000000-0002-0000-2600-00000000000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D25"/>
  <sheetViews>
    <sheetView topLeftCell="A3" workbookViewId="0">
      <selection activeCell="A3" sqref="A3:B3"/>
    </sheetView>
  </sheetViews>
  <sheetFormatPr baseColWidth="10" defaultColWidth="12" defaultRowHeight="13"/>
  <cols>
    <col min="1" max="1" customWidth="true" style="202" width="39.3984375" collapsed="true"/>
    <col min="2" max="2" customWidth="true" style="202" width="19.19921875" collapsed="true"/>
    <col min="3" max="3" customWidth="true" style="202" width="23.19921875" collapsed="true"/>
    <col min="4" max="4" customWidth="true" style="202" width="28.796875" collapsed="true"/>
    <col min="5" max="16384" style="202" width="12.0" collapsed="true"/>
  </cols>
  <sheetData>
    <row r="1" spans="1:4" ht="18.5">
      <c r="A1" s="856" t="s">
        <v>973</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774</v>
      </c>
      <c r="C7" s="925" t="s">
        <v>775</v>
      </c>
      <c r="D7" s="940" t="s">
        <v>639</v>
      </c>
    </row>
    <row r="8" spans="1:4" s="218" customFormat="1" ht="25.25" customHeight="1">
      <c r="A8" s="924"/>
      <c r="B8" s="928"/>
      <c r="C8" s="928"/>
      <c r="D8" s="942"/>
    </row>
    <row r="9" spans="1:4" ht="25.25" customHeight="1">
      <c r="A9" s="362" t="s">
        <v>974</v>
      </c>
      <c r="B9" s="545"/>
      <c r="C9" s="545"/>
      <c r="D9" s="546"/>
    </row>
    <row r="10" spans="1:4" ht="25.25" customHeight="1">
      <c r="A10" s="362" t="s">
        <v>975</v>
      </c>
      <c r="B10" s="545"/>
      <c r="C10" s="545"/>
      <c r="D10" s="546"/>
    </row>
    <row r="11" spans="1:4" ht="25.25" customHeight="1">
      <c r="A11" s="377" t="s">
        <v>976</v>
      </c>
      <c r="B11" s="349"/>
      <c r="C11" s="349"/>
      <c r="D11" s="236"/>
    </row>
    <row r="12" spans="1:4" ht="25.25" customHeight="1">
      <c r="A12" s="362" t="s">
        <v>745</v>
      </c>
      <c r="B12" s="545"/>
      <c r="C12" s="545"/>
      <c r="D12" s="546"/>
    </row>
    <row r="13" spans="1:4" ht="25.25" customHeight="1">
      <c r="A13" s="362" t="s">
        <v>977</v>
      </c>
      <c r="B13" s="545"/>
      <c r="C13" s="545"/>
      <c r="D13" s="546"/>
    </row>
    <row r="14" spans="1:4" ht="25.25" customHeight="1">
      <c r="A14" s="362" t="s">
        <v>978</v>
      </c>
      <c r="B14" s="545"/>
      <c r="C14" s="545"/>
      <c r="D14" s="546"/>
    </row>
    <row r="15" spans="1:4" ht="25.25" customHeight="1">
      <c r="A15" s="362" t="s">
        <v>979</v>
      </c>
      <c r="B15" s="545"/>
      <c r="C15" s="545"/>
      <c r="D15" s="546"/>
    </row>
    <row r="16" spans="1:4" ht="25.25" customHeight="1">
      <c r="A16" s="362" t="s">
        <v>980</v>
      </c>
      <c r="B16" s="545"/>
      <c r="C16" s="545"/>
      <c r="D16" s="546"/>
    </row>
    <row r="17" spans="1:4" ht="25.25" customHeight="1">
      <c r="A17" s="377" t="s">
        <v>981</v>
      </c>
      <c r="B17" s="349"/>
      <c r="C17" s="349"/>
      <c r="D17" s="236"/>
    </row>
    <row r="18" spans="1:4" ht="25.25" customHeight="1">
      <c r="A18" s="362"/>
      <c r="B18" s="545"/>
      <c r="C18" s="545"/>
      <c r="D18" s="546"/>
    </row>
    <row r="19" spans="1:4" ht="25.25" customHeight="1">
      <c r="A19" s="378" t="s">
        <v>114</v>
      </c>
      <c r="B19" s="542"/>
      <c r="C19" s="542"/>
      <c r="D19" s="543"/>
    </row>
    <row r="20" spans="1:4">
      <c r="A20" s="379" t="s">
        <v>529</v>
      </c>
    </row>
    <row r="21" spans="1:4">
      <c r="A21" s="213" t="s">
        <v>743</v>
      </c>
    </row>
    <row r="22" spans="1:4">
      <c r="A22" s="213" t="s">
        <v>982</v>
      </c>
    </row>
    <row r="23" spans="1:4">
      <c r="A23" s="237"/>
    </row>
    <row r="24" spans="1:4">
      <c r="A24" s="212" t="s">
        <v>983</v>
      </c>
    </row>
    <row r="25" spans="1:4">
      <c r="A25" s="212"/>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9"/>
    <pageSetUpPr fitToPage="1"/>
  </sheetPr>
  <dimension ref="A1:D46"/>
  <sheetViews>
    <sheetView workbookViewId="0">
      <selection activeCell="A45" sqref="A45:A46"/>
    </sheetView>
  </sheetViews>
  <sheetFormatPr baseColWidth="10" defaultColWidth="12" defaultRowHeight="13"/>
  <cols>
    <col min="1" max="1" customWidth="true" style="202" width="39.3984375" collapsed="true"/>
    <col min="2" max="2" customWidth="true" style="202" width="23.0" collapsed="true"/>
    <col min="3" max="3" customWidth="true" style="202" width="22.3984375" collapsed="true"/>
    <col min="4" max="4" customWidth="true" style="202" width="19.796875" collapsed="true"/>
    <col min="5" max="16384" style="202" width="12.0" collapsed="true"/>
  </cols>
  <sheetData>
    <row r="1" spans="1:4" ht="18.5">
      <c r="A1" s="856" t="s">
        <v>984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5.25" customHeight="1">
      <c r="A9" s="362" t="s">
        <v>1504</v>
      </c>
      <c r="B9" s="409"/>
      <c r="C9" s="580"/>
      <c r="D9" s="580"/>
    </row>
    <row r="10" spans="1:4" ht="25.25" customHeight="1">
      <c r="A10" s="362" t="s">
        <v>1505</v>
      </c>
      <c r="B10" s="545"/>
      <c r="C10" s="580"/>
      <c r="D10" s="580"/>
    </row>
    <row r="11" spans="1:4" ht="25.25" customHeight="1">
      <c r="A11" s="362" t="s">
        <v>985</v>
      </c>
      <c r="B11" s="545"/>
      <c r="C11" s="580"/>
      <c r="D11" s="580"/>
    </row>
    <row r="12" spans="1:4" ht="25.25" customHeight="1">
      <c r="A12" s="362" t="s">
        <v>986</v>
      </c>
      <c r="B12" s="545"/>
      <c r="C12" s="580"/>
      <c r="D12" s="580"/>
    </row>
    <row r="13" spans="1:4" ht="25.25" customHeight="1">
      <c r="A13" s="362" t="s">
        <v>987</v>
      </c>
      <c r="B13" s="545"/>
      <c r="C13" s="580"/>
      <c r="D13" s="580"/>
    </row>
    <row r="14" spans="1:4" ht="25.25" customHeight="1">
      <c r="A14" s="362" t="s">
        <v>1506</v>
      </c>
      <c r="B14" s="545"/>
      <c r="C14" s="580"/>
      <c r="D14" s="580"/>
    </row>
    <row r="15" spans="1:4" ht="25.25" customHeight="1">
      <c r="A15" s="377" t="s">
        <v>988</v>
      </c>
      <c r="B15" s="410"/>
      <c r="C15" s="243"/>
      <c r="D15" s="243"/>
    </row>
    <row r="16" spans="1:4" ht="25.25" customHeight="1">
      <c r="A16" s="362" t="s">
        <v>1504</v>
      </c>
      <c r="B16" s="409"/>
      <c r="C16" s="581"/>
      <c r="D16" s="418"/>
    </row>
    <row r="17" spans="1:4" ht="25.25" customHeight="1">
      <c r="A17" s="362" t="s">
        <v>1505</v>
      </c>
      <c r="B17" s="348"/>
      <c r="C17" s="580"/>
      <c r="D17" s="580"/>
    </row>
    <row r="18" spans="1:4" ht="25.25" customHeight="1">
      <c r="A18" s="362" t="s">
        <v>985</v>
      </c>
      <c r="B18" s="545"/>
      <c r="C18" s="580"/>
      <c r="D18" s="580"/>
    </row>
    <row r="19" spans="1:4" ht="25.25" customHeight="1">
      <c r="A19" s="362" t="s">
        <v>986</v>
      </c>
      <c r="B19" s="545"/>
      <c r="C19" s="580"/>
      <c r="D19" s="580"/>
    </row>
    <row r="20" spans="1:4" ht="25.25" customHeight="1">
      <c r="A20" s="362" t="s">
        <v>987</v>
      </c>
      <c r="B20" s="545"/>
      <c r="C20" s="580"/>
      <c r="D20" s="580"/>
    </row>
    <row r="21" spans="1:4" ht="25.25" customHeight="1">
      <c r="A21" s="362" t="s">
        <v>1506</v>
      </c>
      <c r="B21" s="545"/>
      <c r="C21" s="580"/>
      <c r="D21" s="580"/>
    </row>
    <row r="22" spans="1:4" ht="25.25" customHeight="1">
      <c r="A22" s="377" t="s">
        <v>989</v>
      </c>
      <c r="B22" s="410"/>
      <c r="C22" s="414"/>
      <c r="D22" s="582"/>
    </row>
    <row r="23" spans="1:4" ht="25.25" customHeight="1">
      <c r="A23" s="362" t="s">
        <v>1504</v>
      </c>
      <c r="B23" s="545"/>
      <c r="C23" s="580"/>
      <c r="D23" s="580"/>
    </row>
    <row r="24" spans="1:4" ht="25.25" customHeight="1">
      <c r="A24" s="362" t="s">
        <v>1505</v>
      </c>
      <c r="B24" s="545"/>
      <c r="C24" s="580"/>
      <c r="D24" s="580"/>
    </row>
    <row r="25" spans="1:4" ht="25.25" customHeight="1">
      <c r="A25" s="362" t="s">
        <v>985</v>
      </c>
      <c r="B25" s="545"/>
      <c r="C25" s="580"/>
      <c r="D25" s="580"/>
    </row>
    <row r="26" spans="1:4" ht="25.25" customHeight="1">
      <c r="A26" s="362" t="s">
        <v>986</v>
      </c>
      <c r="B26" s="545"/>
      <c r="C26" s="580"/>
      <c r="D26" s="580"/>
    </row>
    <row r="27" spans="1:4" ht="25.25" customHeight="1">
      <c r="A27" s="362" t="s">
        <v>987</v>
      </c>
      <c r="B27" s="545"/>
      <c r="C27" s="580"/>
      <c r="D27" s="580"/>
    </row>
    <row r="28" spans="1:4" ht="25.25" customHeight="1">
      <c r="A28" s="362" t="s">
        <v>1506</v>
      </c>
      <c r="B28" s="545"/>
      <c r="C28" s="580"/>
      <c r="D28" s="580"/>
    </row>
    <row r="29" spans="1:4" ht="25.25" customHeight="1">
      <c r="A29" s="377" t="s">
        <v>990</v>
      </c>
      <c r="B29" s="349"/>
      <c r="C29" s="243"/>
      <c r="D29" s="243"/>
    </row>
    <row r="30" spans="1:4">
      <c r="A30" s="362"/>
      <c r="B30" s="545"/>
      <c r="C30" s="580"/>
      <c r="D30" s="580"/>
    </row>
    <row r="31" spans="1:4" ht="25.25" customHeight="1">
      <c r="A31" s="381" t="s">
        <v>991</v>
      </c>
      <c r="B31" s="348"/>
      <c r="C31" s="580"/>
      <c r="D31" s="580"/>
    </row>
    <row r="32" spans="1:4">
      <c r="A32" s="362"/>
      <c r="B32" s="545"/>
      <c r="C32" s="580"/>
      <c r="D32" s="580"/>
    </row>
    <row r="33" spans="1:4" ht="25.25" customHeight="1">
      <c r="A33" s="364" t="s">
        <v>992</v>
      </c>
      <c r="B33" s="410"/>
      <c r="C33" s="414"/>
      <c r="D33" s="582"/>
    </row>
    <row r="34" spans="1:4">
      <c r="A34" s="362"/>
      <c r="B34" s="545"/>
      <c r="C34" s="580"/>
      <c r="D34" s="580"/>
    </row>
    <row r="35" spans="1:4" ht="25.25" customHeight="1">
      <c r="A35" s="362" t="s">
        <v>364</v>
      </c>
      <c r="B35" s="545">
        <v>9236283675</v>
      </c>
      <c r="C35" s="580">
        <v>9652980330</v>
      </c>
      <c r="D35" s="418">
        <v>-4.3167668508032692E-2</v>
      </c>
    </row>
    <row r="36" spans="1:4" ht="25.25" customHeight="1">
      <c r="A36" s="362" t="s">
        <v>366</v>
      </c>
      <c r="B36" s="545">
        <v>0</v>
      </c>
      <c r="C36" s="580">
        <v>0</v>
      </c>
      <c r="D36" s="418">
        <v>0</v>
      </c>
    </row>
    <row r="37" spans="1:4" ht="25.25" customHeight="1">
      <c r="A37" s="362" t="s">
        <v>368</v>
      </c>
      <c r="B37" s="545">
        <v>2861563</v>
      </c>
      <c r="C37" s="580">
        <v>4846702</v>
      </c>
      <c r="D37" s="418">
        <v>-0.40958552846863705</v>
      </c>
    </row>
    <row r="38" spans="1:4" ht="25.25" customHeight="1">
      <c r="A38" s="364" t="s">
        <v>993</v>
      </c>
      <c r="B38" s="349">
        <v>9239145238</v>
      </c>
      <c r="C38" s="243">
        <v>9657827032</v>
      </c>
      <c r="D38" s="582">
        <v>-4.3351552332916127E-2</v>
      </c>
    </row>
    <row r="39" spans="1:4">
      <c r="A39" s="362"/>
      <c r="B39" s="545"/>
      <c r="C39" s="580"/>
      <c r="D39" s="418"/>
    </row>
    <row r="40" spans="1:4" ht="25.25" customHeight="1">
      <c r="A40" s="378" t="s">
        <v>114</v>
      </c>
      <c r="B40" s="410">
        <v>9239145238</v>
      </c>
      <c r="C40" s="414">
        <v>9657827032</v>
      </c>
      <c r="D40" s="582">
        <v>-4.3351552332916127E-2</v>
      </c>
    </row>
    <row r="41" spans="1:4">
      <c r="A41" s="379" t="s">
        <v>529</v>
      </c>
    </row>
    <row r="42" spans="1:4">
      <c r="A42" s="213" t="s">
        <v>692</v>
      </c>
    </row>
    <row r="43" spans="1:4">
      <c r="A43" s="213" t="s">
        <v>994</v>
      </c>
    </row>
    <row r="44" spans="1:4">
      <c r="A44" s="237"/>
    </row>
    <row r="45" spans="1:4">
      <c r="A45" s="202" t="s">
        <v>1620</v>
      </c>
    </row>
    <row r="46" spans="1:4">
      <c r="A46" s="202" t="s">
        <v>1621</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40" xr:uid="{00000000-0002-0000-28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9"/>
    <pageSetUpPr fitToPage="1"/>
  </sheetPr>
  <dimension ref="A1:D42"/>
  <sheetViews>
    <sheetView workbookViewId="0">
      <selection activeCell="B9" sqref="B9"/>
    </sheetView>
  </sheetViews>
  <sheetFormatPr baseColWidth="10" defaultColWidth="12" defaultRowHeight="13"/>
  <cols>
    <col min="1" max="1" customWidth="true" style="202" width="39.3984375" collapsed="true"/>
    <col min="2" max="2" customWidth="true" style="202" width="19.3984375" collapsed="true"/>
    <col min="3" max="3" customWidth="true" style="202" width="22.0" collapsed="true"/>
    <col min="4" max="4" customWidth="true" style="202" width="20.796875" collapsed="true"/>
    <col min="5" max="16384" style="202" width="12.0" collapsed="true"/>
  </cols>
  <sheetData>
    <row r="1" spans="1:4" ht="18.5">
      <c r="A1" s="856" t="s">
        <v>995</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981" t="s">
        <v>340</v>
      </c>
      <c r="B7" s="925" t="s">
        <v>1592</v>
      </c>
      <c r="C7" s="943" t="s">
        <v>1593</v>
      </c>
      <c r="D7" s="944" t="s">
        <v>639</v>
      </c>
    </row>
    <row r="8" spans="1:4" s="218" customFormat="1" ht="25.25" customHeight="1">
      <c r="A8" s="982"/>
      <c r="B8" s="928"/>
      <c r="C8" s="943"/>
      <c r="D8" s="944"/>
    </row>
    <row r="9" spans="1:4" ht="20.149999999999999" customHeight="1">
      <c r="A9" s="362" t="s">
        <v>1504</v>
      </c>
      <c r="B9" s="545"/>
      <c r="C9" s="580"/>
      <c r="D9" s="580"/>
    </row>
    <row r="10" spans="1:4" ht="27" customHeight="1">
      <c r="A10" s="362" t="s">
        <v>1505</v>
      </c>
      <c r="B10" s="545"/>
      <c r="C10" s="580"/>
      <c r="D10" s="580"/>
    </row>
    <row r="11" spans="1:4" ht="20.149999999999999" customHeight="1">
      <c r="A11" s="362" t="s">
        <v>985</v>
      </c>
      <c r="B11" s="545"/>
      <c r="C11" s="580"/>
      <c r="D11" s="580"/>
    </row>
    <row r="12" spans="1:4" ht="20.149999999999999" customHeight="1">
      <c r="A12" s="362" t="s">
        <v>986</v>
      </c>
      <c r="B12" s="545"/>
      <c r="C12" s="580"/>
      <c r="D12" s="580"/>
    </row>
    <row r="13" spans="1:4" ht="20.149999999999999" customHeight="1">
      <c r="A13" s="362" t="s">
        <v>1507</v>
      </c>
      <c r="B13" s="545"/>
      <c r="C13" s="580"/>
      <c r="D13" s="580"/>
    </row>
    <row r="14" spans="1:4" ht="20.149999999999999" customHeight="1">
      <c r="A14" s="362" t="s">
        <v>1506</v>
      </c>
      <c r="B14" s="545"/>
      <c r="C14" s="580"/>
      <c r="D14" s="580"/>
    </row>
    <row r="15" spans="1:4" ht="25.25" customHeight="1">
      <c r="A15" s="377" t="s">
        <v>996</v>
      </c>
      <c r="B15" s="349"/>
      <c r="C15" s="243"/>
      <c r="D15" s="243"/>
    </row>
    <row r="16" spans="1:4" ht="20.149999999999999" customHeight="1">
      <c r="A16" s="362" t="s">
        <v>1504</v>
      </c>
      <c r="B16" s="409"/>
      <c r="C16" s="581"/>
      <c r="D16" s="418"/>
    </row>
    <row r="17" spans="1:4" ht="29" customHeight="1">
      <c r="A17" s="362" t="s">
        <v>1505</v>
      </c>
      <c r="B17" s="545"/>
      <c r="C17" s="580"/>
      <c r="D17" s="580"/>
    </row>
    <row r="18" spans="1:4" ht="20.149999999999999" customHeight="1">
      <c r="A18" s="362" t="s">
        <v>985</v>
      </c>
      <c r="B18" s="545"/>
      <c r="C18" s="580"/>
      <c r="D18" s="580"/>
    </row>
    <row r="19" spans="1:4" ht="20.149999999999999" customHeight="1">
      <c r="A19" s="362" t="s">
        <v>986</v>
      </c>
      <c r="B19" s="545"/>
      <c r="C19" s="580"/>
      <c r="D19" s="580"/>
    </row>
    <row r="20" spans="1:4" ht="20.149999999999999" customHeight="1">
      <c r="A20" s="362" t="s">
        <v>1507</v>
      </c>
      <c r="B20" s="545"/>
      <c r="C20" s="580"/>
      <c r="D20" s="580"/>
    </row>
    <row r="21" spans="1:4" ht="20.149999999999999" customHeight="1">
      <c r="A21" s="362" t="s">
        <v>1506</v>
      </c>
      <c r="B21" s="545"/>
      <c r="C21" s="580"/>
      <c r="D21" s="580"/>
    </row>
    <row r="22" spans="1:4" ht="26">
      <c r="A22" s="377" t="s">
        <v>997</v>
      </c>
      <c r="B22" s="410"/>
      <c r="C22" s="414"/>
      <c r="D22" s="582"/>
    </row>
    <row r="23" spans="1:4" ht="20.149999999999999" customHeight="1">
      <c r="A23" s="362" t="s">
        <v>998</v>
      </c>
      <c r="B23" s="409"/>
      <c r="C23" s="581"/>
      <c r="D23" s="418"/>
    </row>
    <row r="24" spans="1:4" ht="20.149999999999999" customHeight="1">
      <c r="A24" s="362" t="s">
        <v>999</v>
      </c>
      <c r="B24" s="409">
        <v>281706176</v>
      </c>
      <c r="C24" s="581">
        <v>580059377</v>
      </c>
      <c r="D24" s="418">
        <v>-0.514349414611739</v>
      </c>
    </row>
    <row r="25" spans="1:4" ht="20.149999999999999" customHeight="1">
      <c r="A25" s="362" t="s">
        <v>1000</v>
      </c>
      <c r="B25" s="409">
        <v>0</v>
      </c>
      <c r="C25" s="581">
        <v>0</v>
      </c>
      <c r="D25" s="418">
        <v>0</v>
      </c>
    </row>
    <row r="26" spans="1:4">
      <c r="A26" s="362" t="s">
        <v>1001</v>
      </c>
      <c r="B26" s="409">
        <v>0</v>
      </c>
      <c r="C26" s="581">
        <v>0</v>
      </c>
      <c r="D26" s="418">
        <v>0</v>
      </c>
    </row>
    <row r="27" spans="1:4" ht="20.149999999999999" customHeight="1">
      <c r="A27" s="362" t="s">
        <v>1002</v>
      </c>
      <c r="B27" s="409">
        <v>563183</v>
      </c>
      <c r="C27" s="581">
        <v>653722</v>
      </c>
      <c r="D27" s="418">
        <v>-0.13849771003576444</v>
      </c>
    </row>
    <row r="28" spans="1:4" ht="20.149999999999999" customHeight="1">
      <c r="A28" s="362" t="s">
        <v>1003</v>
      </c>
      <c r="B28" s="409">
        <v>11361000</v>
      </c>
      <c r="C28" s="581">
        <v>9529600</v>
      </c>
      <c r="D28" s="418">
        <v>0.19218015446608461</v>
      </c>
    </row>
    <row r="29" spans="1:4" ht="20.149999999999999" customHeight="1">
      <c r="A29" s="362" t="s">
        <v>1004</v>
      </c>
      <c r="B29" s="409">
        <v>3754963</v>
      </c>
      <c r="C29" s="581">
        <v>93509266</v>
      </c>
      <c r="D29" s="418">
        <v>-0.9598439474436683</v>
      </c>
    </row>
    <row r="30" spans="1:4" ht="20.149999999999999" customHeight="1">
      <c r="A30" s="362" t="s">
        <v>1005</v>
      </c>
      <c r="B30" s="409">
        <v>4062041</v>
      </c>
      <c r="C30" s="581">
        <v>5209375</v>
      </c>
      <c r="D30" s="418">
        <v>-0.22024407918416317</v>
      </c>
    </row>
    <row r="31" spans="1:4" ht="20.149999999999999" customHeight="1">
      <c r="A31" s="362" t="s">
        <v>1006</v>
      </c>
      <c r="B31" s="409">
        <v>2223200</v>
      </c>
      <c r="C31" s="581">
        <v>11114472</v>
      </c>
      <c r="D31" s="418">
        <v>-0.79997250431689426</v>
      </c>
    </row>
    <row r="32" spans="1:4" ht="20.149999999999999" customHeight="1">
      <c r="A32" s="362" t="s">
        <v>1007</v>
      </c>
      <c r="B32" s="409">
        <v>25517259</v>
      </c>
      <c r="C32" s="581">
        <v>46004951</v>
      </c>
      <c r="D32" s="418">
        <v>-0.44533667691549111</v>
      </c>
    </row>
    <row r="33" spans="1:4" ht="26">
      <c r="A33" s="362" t="s">
        <v>1008</v>
      </c>
      <c r="B33" s="409">
        <v>19964648</v>
      </c>
      <c r="C33" s="581">
        <v>227500</v>
      </c>
      <c r="D33" s="418">
        <v>86.756694505494508</v>
      </c>
    </row>
    <row r="34" spans="1:4" ht="20.149999999999999" customHeight="1">
      <c r="A34" s="362" t="s">
        <v>1009</v>
      </c>
      <c r="B34" s="409"/>
      <c r="C34" s="581"/>
      <c r="D34" s="418"/>
    </row>
    <row r="35" spans="1:4" ht="20.149999999999999" customHeight="1">
      <c r="A35" s="362" t="s">
        <v>1507</v>
      </c>
      <c r="B35" s="409"/>
      <c r="C35" s="581"/>
      <c r="D35" s="580"/>
    </row>
    <row r="36" spans="1:4" ht="20.149999999999999" customHeight="1">
      <c r="A36" s="362" t="s">
        <v>1010</v>
      </c>
      <c r="B36" s="409"/>
      <c r="C36" s="581"/>
      <c r="D36" s="580"/>
    </row>
    <row r="37" spans="1:4" ht="25.25" customHeight="1">
      <c r="A37" s="378" t="s">
        <v>1011</v>
      </c>
      <c r="B37" s="413">
        <v>349152470</v>
      </c>
      <c r="C37" s="591">
        <v>746308263</v>
      </c>
      <c r="D37" s="585">
        <v>-0.53216051957339783</v>
      </c>
    </row>
    <row r="38" spans="1:4">
      <c r="A38" s="379" t="s">
        <v>529</v>
      </c>
      <c r="B38" s="416"/>
    </row>
    <row r="39" spans="1:4">
      <c r="A39" s="213" t="s">
        <v>743</v>
      </c>
    </row>
    <row r="40" spans="1:4">
      <c r="A40" s="237"/>
    </row>
    <row r="41" spans="1:4">
      <c r="A41" s="202" t="s">
        <v>1622</v>
      </c>
    </row>
    <row r="42" spans="1:4">
      <c r="A42" s="21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7" xr:uid="{00000000-0002-0000-29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9"/>
    <pageSetUpPr fitToPage="1"/>
  </sheetPr>
  <dimension ref="A1:D22"/>
  <sheetViews>
    <sheetView workbookViewId="0">
      <selection activeCell="B9" sqref="B9"/>
    </sheetView>
  </sheetViews>
  <sheetFormatPr baseColWidth="10" defaultColWidth="12" defaultRowHeight="13"/>
  <cols>
    <col min="1" max="1" customWidth="true" style="202" width="39.3984375" collapsed="true"/>
    <col min="2" max="2" customWidth="true" style="202" width="21.19921875" collapsed="true"/>
    <col min="3" max="3" customWidth="true" style="202" width="28.69921875" collapsed="true"/>
    <col min="4" max="4" customWidth="true" style="202" width="24.796875" collapsed="true"/>
    <col min="5" max="16384" style="202" width="12.0" collapsed="true"/>
  </cols>
  <sheetData>
    <row r="1" spans="1:4" ht="18.5">
      <c r="A1" s="856" t="s">
        <v>1012</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25" t="s">
        <v>1593</v>
      </c>
      <c r="D7" s="940" t="s">
        <v>639</v>
      </c>
    </row>
    <row r="8" spans="1:4" s="218" customFormat="1" ht="25.25" customHeight="1">
      <c r="A8" s="924"/>
      <c r="B8" s="928"/>
      <c r="C8" s="928"/>
      <c r="D8" s="942"/>
    </row>
    <row r="9" spans="1:4" ht="20.149999999999999" customHeight="1">
      <c r="A9" s="362" t="s">
        <v>1013</v>
      </c>
      <c r="B9" s="545"/>
      <c r="C9" s="580"/>
      <c r="D9" s="580"/>
    </row>
    <row r="10" spans="1:4" ht="20.149999999999999" customHeight="1">
      <c r="A10" s="362" t="s">
        <v>1014</v>
      </c>
      <c r="B10" s="545"/>
      <c r="C10" s="580"/>
      <c r="D10" s="580"/>
    </row>
    <row r="11" spans="1:4" ht="20.149999999999999" customHeight="1">
      <c r="A11" s="362" t="s">
        <v>1015</v>
      </c>
      <c r="B11" s="545"/>
      <c r="C11" s="580"/>
      <c r="D11" s="580"/>
    </row>
    <row r="12" spans="1:4" ht="20.149999999999999" customHeight="1">
      <c r="A12" s="362" t="s">
        <v>1016</v>
      </c>
      <c r="B12" s="545">
        <v>3178728</v>
      </c>
      <c r="C12" s="580">
        <v>2275166</v>
      </c>
      <c r="D12" s="418">
        <v>0.39714113168006204</v>
      </c>
    </row>
    <row r="13" spans="1:4" ht="20.149999999999999" customHeight="1">
      <c r="A13" s="362" t="s">
        <v>1508</v>
      </c>
      <c r="B13" s="409">
        <v>143093125</v>
      </c>
      <c r="C13" s="581">
        <v>183006668</v>
      </c>
      <c r="D13" s="418">
        <v>-0.21809884544753308</v>
      </c>
    </row>
    <row r="14" spans="1:4" ht="20.149999999999999" customHeight="1">
      <c r="A14" s="362" t="s">
        <v>1509</v>
      </c>
      <c r="B14" s="409"/>
      <c r="C14" s="581"/>
      <c r="D14" s="418"/>
    </row>
    <row r="15" spans="1:4" ht="20.149999999999999" customHeight="1">
      <c r="A15" s="362" t="s">
        <v>1510</v>
      </c>
      <c r="B15" s="409"/>
      <c r="C15" s="581"/>
      <c r="D15" s="418"/>
    </row>
    <row r="16" spans="1:4" ht="20.149999999999999" customHeight="1">
      <c r="A16" s="362" t="s">
        <v>1511</v>
      </c>
      <c r="B16" s="545"/>
      <c r="C16" s="580"/>
      <c r="D16" s="580"/>
    </row>
    <row r="17" spans="1:4" ht="25.25" customHeight="1">
      <c r="A17" s="378" t="s">
        <v>1017</v>
      </c>
      <c r="B17" s="413">
        <v>146271853</v>
      </c>
      <c r="C17" s="591">
        <v>185281834</v>
      </c>
      <c r="D17" s="585">
        <v>-0.21054401372128043</v>
      </c>
    </row>
    <row r="18" spans="1:4">
      <c r="A18" s="379" t="s">
        <v>529</v>
      </c>
    </row>
    <row r="19" spans="1:4">
      <c r="A19" s="213" t="s">
        <v>743</v>
      </c>
    </row>
    <row r="20" spans="1:4">
      <c r="A20" s="237"/>
    </row>
    <row r="21" spans="1:4">
      <c r="A21" s="212"/>
    </row>
    <row r="22" spans="1:4">
      <c r="A22" s="21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A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9"/>
    <pageSetUpPr fitToPage="1"/>
  </sheetPr>
  <dimension ref="A1:D30"/>
  <sheetViews>
    <sheetView workbookViewId="0">
      <selection activeCell="D24" sqref="D24"/>
    </sheetView>
  </sheetViews>
  <sheetFormatPr baseColWidth="10" defaultColWidth="12" defaultRowHeight="13"/>
  <cols>
    <col min="1" max="1" customWidth="true" style="202" width="39.3984375" collapsed="true"/>
    <col min="2" max="2" bestFit="true" customWidth="true" style="202" width="15.5" collapsed="true"/>
    <col min="3" max="3" customWidth="true" style="202" width="20.296875" collapsed="true"/>
    <col min="4" max="4" customWidth="true" style="202" width="22.3984375" collapsed="true"/>
    <col min="5" max="16384" style="202" width="12.0" collapsed="true"/>
  </cols>
  <sheetData>
    <row r="1" spans="1:4" ht="18.5">
      <c r="A1" s="856" t="s">
        <v>1018</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0.149999999999999" customHeight="1">
      <c r="A9" s="362" t="s">
        <v>1019</v>
      </c>
      <c r="B9" s="409">
        <v>1239507028</v>
      </c>
      <c r="C9" s="581">
        <v>1719353508</v>
      </c>
      <c r="D9" s="418">
        <v>-0.27908541074730514</v>
      </c>
    </row>
    <row r="10" spans="1:4" ht="20.149999999999999" customHeight="1">
      <c r="A10" s="362" t="s">
        <v>1020</v>
      </c>
      <c r="B10" s="409">
        <v>117862473</v>
      </c>
      <c r="C10" s="581">
        <v>56607263</v>
      </c>
      <c r="D10" s="418">
        <v>1.082108668634977</v>
      </c>
    </row>
    <row r="11" spans="1:4" ht="20.149999999999999" customHeight="1">
      <c r="A11" s="362" t="s">
        <v>1021</v>
      </c>
      <c r="B11" s="409"/>
      <c r="C11" s="581"/>
      <c r="D11" s="418"/>
    </row>
    <row r="12" spans="1:4" ht="20.149999999999999" customHeight="1">
      <c r="A12" s="362" t="s">
        <v>1022</v>
      </c>
      <c r="B12" s="409">
        <v>17216462</v>
      </c>
      <c r="C12" s="581">
        <v>18622609</v>
      </c>
      <c r="D12" s="418">
        <v>-7.5507518844432589E-2</v>
      </c>
    </row>
    <row r="13" spans="1:4" ht="20.149999999999999" customHeight="1">
      <c r="A13" s="362" t="s">
        <v>1023</v>
      </c>
      <c r="B13" s="409">
        <v>44675612</v>
      </c>
      <c r="C13" s="581">
        <v>31128977</v>
      </c>
      <c r="D13" s="418">
        <v>0.43517764814436399</v>
      </c>
    </row>
    <row r="14" spans="1:4" ht="20.149999999999999" customHeight="1">
      <c r="A14" s="362" t="s">
        <v>1024</v>
      </c>
      <c r="B14" s="409">
        <v>0</v>
      </c>
      <c r="C14" s="581">
        <v>77000</v>
      </c>
      <c r="D14" s="418">
        <v>-1</v>
      </c>
    </row>
    <row r="15" spans="1:4">
      <c r="A15" s="362" t="s">
        <v>1025</v>
      </c>
      <c r="B15" s="409">
        <v>44085880</v>
      </c>
      <c r="C15" s="581">
        <v>4730698</v>
      </c>
      <c r="D15" s="418">
        <v>8.3191068210230288</v>
      </c>
    </row>
    <row r="16" spans="1:4" ht="20.149999999999999" customHeight="1">
      <c r="A16" s="362" t="s">
        <v>1026</v>
      </c>
      <c r="B16" s="409">
        <v>33682617</v>
      </c>
      <c r="C16" s="581">
        <v>39388211</v>
      </c>
      <c r="D16" s="418">
        <v>-0.14485537309627999</v>
      </c>
    </row>
    <row r="17" spans="1:4" ht="20.149999999999999" customHeight="1">
      <c r="A17" s="362" t="s">
        <v>1027</v>
      </c>
      <c r="B17" s="409">
        <v>63486915</v>
      </c>
      <c r="C17" s="581">
        <v>33511781</v>
      </c>
      <c r="D17" s="418">
        <v>0.89446556123054155</v>
      </c>
    </row>
    <row r="18" spans="1:4" ht="26">
      <c r="A18" s="362" t="s">
        <v>1028</v>
      </c>
      <c r="B18" s="409">
        <v>1884669473</v>
      </c>
      <c r="C18" s="581">
        <v>4770139718</v>
      </c>
      <c r="D18" s="418">
        <v>-0.60490266859726394</v>
      </c>
    </row>
    <row r="19" spans="1:4" ht="20.149999999999999" customHeight="1">
      <c r="A19" s="362" t="s">
        <v>1029</v>
      </c>
      <c r="B19" s="409">
        <v>5445406</v>
      </c>
      <c r="C19" s="581">
        <v>44251671</v>
      </c>
      <c r="D19" s="418">
        <v>-0.87694462430582565</v>
      </c>
    </row>
    <row r="20" spans="1:4" ht="26">
      <c r="A20" s="362" t="s">
        <v>1030</v>
      </c>
      <c r="B20" s="409">
        <v>58743392</v>
      </c>
      <c r="C20" s="581">
        <v>60444910</v>
      </c>
      <c r="D20" s="418">
        <v>-2.8149897154284786E-2</v>
      </c>
    </row>
    <row r="21" spans="1:4" ht="20.149999999999999" customHeight="1">
      <c r="A21" s="362" t="s">
        <v>1031</v>
      </c>
      <c r="B21" s="409">
        <v>2347605</v>
      </c>
      <c r="C21" s="581">
        <v>152765</v>
      </c>
      <c r="D21" s="418">
        <v>14.3674270939024</v>
      </c>
    </row>
    <row r="22" spans="1:4" ht="30" customHeight="1">
      <c r="A22" s="362" t="s">
        <v>1512</v>
      </c>
      <c r="B22" s="409"/>
      <c r="C22" s="581"/>
      <c r="D22" s="418"/>
    </row>
    <row r="23" spans="1:4" ht="30.5" customHeight="1">
      <c r="A23" s="362" t="s">
        <v>1513</v>
      </c>
      <c r="B23" s="409"/>
      <c r="C23" s="581"/>
      <c r="D23" s="418"/>
    </row>
    <row r="24" spans="1:4" ht="20.149999999999999" customHeight="1">
      <c r="A24" s="362" t="s">
        <v>1032</v>
      </c>
      <c r="B24" s="409">
        <v>25053758</v>
      </c>
      <c r="C24" s="581">
        <v>50621450</v>
      </c>
      <c r="D24" s="418">
        <v>-0.50507624732203449</v>
      </c>
    </row>
    <row r="25" spans="1:4" ht="25.25" customHeight="1">
      <c r="A25" s="378" t="s">
        <v>1033</v>
      </c>
      <c r="B25" s="413">
        <v>3536776621</v>
      </c>
      <c r="C25" s="591">
        <v>6829030561</v>
      </c>
      <c r="D25" s="585">
        <v>-0.4820123781255985</v>
      </c>
    </row>
    <row r="26" spans="1:4">
      <c r="A26" s="379" t="s">
        <v>529</v>
      </c>
    </row>
    <row r="27" spans="1:4">
      <c r="A27" s="213" t="s">
        <v>743</v>
      </c>
    </row>
    <row r="28" spans="1:4">
      <c r="A28" s="237"/>
    </row>
    <row r="29" spans="1:4">
      <c r="A29" s="202" t="s">
        <v>1623</v>
      </c>
    </row>
    <row r="30" spans="1:4">
      <c r="A30" s="21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B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9"/>
    <pageSetUpPr fitToPage="1"/>
  </sheetPr>
  <dimension ref="A1:D21"/>
  <sheetViews>
    <sheetView workbookViewId="0">
      <selection activeCell="B15" sqref="B15:D15"/>
    </sheetView>
  </sheetViews>
  <sheetFormatPr baseColWidth="10" defaultColWidth="12" defaultRowHeight="13"/>
  <cols>
    <col min="1" max="1" customWidth="true" style="202" width="39.3984375" collapsed="true"/>
    <col min="2" max="2" customWidth="true" style="202" width="19.69921875" collapsed="true"/>
    <col min="3" max="3" customWidth="true" style="202" width="20.3984375" collapsed="true"/>
    <col min="4" max="4" customWidth="true" style="202" width="23.19921875" collapsed="true"/>
    <col min="5" max="16384" style="202" width="12.0" collapsed="true"/>
  </cols>
  <sheetData>
    <row r="1" spans="1:4" ht="18.5">
      <c r="A1" s="856" t="s">
        <v>1034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0.149999999999999" customHeight="1">
      <c r="A9" s="362" t="s">
        <v>1035</v>
      </c>
      <c r="B9" s="545">
        <v>7774927</v>
      </c>
      <c r="C9" s="580">
        <v>5929820</v>
      </c>
      <c r="D9" s="418">
        <v>0.31115733698493375</v>
      </c>
    </row>
    <row r="10" spans="1:4" ht="20.149999999999999" customHeight="1">
      <c r="A10" s="362" t="s">
        <v>1036</v>
      </c>
      <c r="B10" s="545">
        <v>0</v>
      </c>
      <c r="C10" s="580">
        <v>0</v>
      </c>
      <c r="D10" s="418">
        <v>0</v>
      </c>
    </row>
    <row r="11" spans="1:4" ht="20.149999999999999" customHeight="1">
      <c r="A11" s="362" t="s">
        <v>1037</v>
      </c>
      <c r="B11" s="545">
        <v>0</v>
      </c>
      <c r="C11" s="580">
        <v>0</v>
      </c>
      <c r="D11" s="418">
        <v>0</v>
      </c>
    </row>
    <row r="12" spans="1:4" ht="20.149999999999999" customHeight="1">
      <c r="A12" s="362" t="s">
        <v>1038</v>
      </c>
      <c r="B12" s="545">
        <v>0</v>
      </c>
      <c r="C12" s="580">
        <v>0</v>
      </c>
      <c r="D12" s="418">
        <v>0</v>
      </c>
    </row>
    <row r="13" spans="1:4" ht="20.149999999999999" customHeight="1">
      <c r="A13" s="362" t="s">
        <v>1039</v>
      </c>
      <c r="B13" s="409">
        <v>5432749</v>
      </c>
      <c r="C13" s="581">
        <v>3732011</v>
      </c>
      <c r="D13" s="418">
        <v>0.45571623449127024</v>
      </c>
    </row>
    <row r="14" spans="1:4" ht="20.149999999999999" customHeight="1">
      <c r="A14" s="362"/>
      <c r="B14" s="545"/>
      <c r="C14" s="580"/>
      <c r="D14" s="580"/>
    </row>
    <row r="15" spans="1:4" ht="25.25" customHeight="1">
      <c r="A15" s="378" t="s">
        <v>1040</v>
      </c>
      <c r="B15" s="413">
        <v>13207676</v>
      </c>
      <c r="C15" s="591">
        <v>9661831</v>
      </c>
      <c r="D15" s="585">
        <v>0.36699513787811028</v>
      </c>
    </row>
    <row r="16" spans="1:4">
      <c r="A16" s="379" t="s">
        <v>529</v>
      </c>
    </row>
    <row r="17" spans="1:1">
      <c r="A17" s="213" t="s">
        <v>743</v>
      </c>
    </row>
    <row r="18" spans="1:1">
      <c r="A18" s="213" t="s">
        <v>1041</v>
      </c>
    </row>
    <row r="19" spans="1:1">
      <c r="A19" s="237"/>
    </row>
    <row r="20" spans="1:1">
      <c r="A20" s="212"/>
    </row>
    <row r="21" spans="1:1">
      <c r="A21" s="21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C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9"/>
    <pageSetUpPr fitToPage="1"/>
  </sheetPr>
  <dimension ref="A1:D25"/>
  <sheetViews>
    <sheetView workbookViewId="0">
      <selection activeCell="B16" sqref="B16"/>
    </sheetView>
  </sheetViews>
  <sheetFormatPr baseColWidth="10" defaultColWidth="12" defaultRowHeight="13"/>
  <cols>
    <col min="1" max="1" customWidth="true" style="202" width="39.3984375" collapsed="true"/>
    <col min="2" max="2" customWidth="true" style="202" width="16.796875" collapsed="true"/>
    <col min="3" max="3" customWidth="true" style="202" width="17.296875" collapsed="true"/>
    <col min="4" max="4" customWidth="true" style="202" width="18.796875" collapsed="true"/>
    <col min="5" max="16384" style="202" width="12.0" collapsed="true"/>
  </cols>
  <sheetData>
    <row r="1" spans="1:4" ht="18.5">
      <c r="A1" s="856" t="s">
        <v>1042</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0.149999999999999" customHeight="1">
      <c r="A9" s="362" t="s">
        <v>1043</v>
      </c>
      <c r="B9" s="545"/>
      <c r="C9" s="580"/>
      <c r="D9" s="580"/>
    </row>
    <row r="10" spans="1:4" ht="20.149999999999999" customHeight="1">
      <c r="A10" s="362" t="s">
        <v>1044</v>
      </c>
      <c r="B10" s="545"/>
      <c r="C10" s="580"/>
      <c r="D10" s="580"/>
    </row>
    <row r="11" spans="1:4" ht="26">
      <c r="A11" s="362" t="s">
        <v>1045</v>
      </c>
      <c r="B11" s="545"/>
      <c r="C11" s="580"/>
      <c r="D11" s="580"/>
    </row>
    <row r="12" spans="1:4" ht="26">
      <c r="A12" s="362" t="s">
        <v>1046</v>
      </c>
      <c r="B12" s="545"/>
      <c r="C12" s="580"/>
      <c r="D12" s="580"/>
    </row>
    <row r="13" spans="1:4" ht="26">
      <c r="A13" s="362" t="s">
        <v>1047</v>
      </c>
      <c r="B13" s="545">
        <v>8000000</v>
      </c>
      <c r="C13" s="580">
        <v>10938400</v>
      </c>
      <c r="D13" s="418">
        <v>-0.26863160974182698</v>
      </c>
    </row>
    <row r="14" spans="1:4" ht="20.149999999999999" customHeight="1">
      <c r="A14" s="362" t="s">
        <v>1048</v>
      </c>
      <c r="B14" s="545">
        <v>649943094</v>
      </c>
      <c r="C14" s="580">
        <v>349202654</v>
      </c>
      <c r="D14" s="418">
        <v>0.86122037319911093</v>
      </c>
    </row>
    <row r="15" spans="1:4" ht="20.149999999999999" customHeight="1">
      <c r="A15" s="362" t="s">
        <v>1049</v>
      </c>
      <c r="B15" s="545">
        <v>128810823</v>
      </c>
      <c r="C15" s="580">
        <v>117373662</v>
      </c>
      <c r="D15" s="418">
        <v>9.7442312058049277E-2</v>
      </c>
    </row>
    <row r="16" spans="1:4" ht="39">
      <c r="A16" s="362" t="s">
        <v>1050</v>
      </c>
      <c r="B16" s="545">
        <v>191029</v>
      </c>
      <c r="C16" s="580">
        <v>0</v>
      </c>
      <c r="D16" s="418"/>
    </row>
    <row r="17" spans="1:4" ht="20.149999999999999" customHeight="1">
      <c r="A17" s="362"/>
      <c r="B17" s="545"/>
      <c r="C17" s="580"/>
      <c r="D17" s="580"/>
    </row>
    <row r="18" spans="1:4" ht="25.25" customHeight="1">
      <c r="A18" s="378" t="s">
        <v>1051</v>
      </c>
      <c r="B18" s="542">
        <v>786944946</v>
      </c>
      <c r="C18" s="583">
        <v>477514716</v>
      </c>
      <c r="D18" s="585">
        <v>0.64800145342536419</v>
      </c>
    </row>
    <row r="19" spans="1:4">
      <c r="A19" s="379" t="s">
        <v>529</v>
      </c>
    </row>
    <row r="20" spans="1:4">
      <c r="A20" s="213" t="s">
        <v>743</v>
      </c>
    </row>
    <row r="21" spans="1:4">
      <c r="A21" s="213" t="s">
        <v>1052</v>
      </c>
    </row>
    <row r="22" spans="1:4">
      <c r="A22" s="213" t="s">
        <v>1053</v>
      </c>
    </row>
    <row r="23" spans="1:4">
      <c r="A23" s="212"/>
    </row>
    <row r="24" spans="1:4">
      <c r="A24" s="202" t="s">
        <v>1624</v>
      </c>
    </row>
    <row r="25" spans="1:4">
      <c r="A25" s="202" t="s">
        <v>1625</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8" xr:uid="{00000000-0002-0000-2D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9"/>
    <pageSetUpPr fitToPage="1"/>
  </sheetPr>
  <dimension ref="A1:D21"/>
  <sheetViews>
    <sheetView workbookViewId="0">
      <selection activeCell="A4" sqref="A4:B4"/>
    </sheetView>
  </sheetViews>
  <sheetFormatPr baseColWidth="10" defaultColWidth="12" defaultRowHeight="13"/>
  <cols>
    <col min="1" max="1" customWidth="true" style="202" width="39.3984375" collapsed="true"/>
    <col min="2" max="2" customWidth="true" style="202" width="18.19921875" collapsed="true"/>
    <col min="3" max="3" customWidth="true" style="202" width="19.19921875" collapsed="true"/>
    <col min="4" max="4" customWidth="true" style="202" width="21.19921875" collapsed="true"/>
    <col min="5" max="16384" style="202" width="12.0" collapsed="true"/>
  </cols>
  <sheetData>
    <row r="1" spans="1:4" ht="18.5">
      <c r="A1" s="856" t="s">
        <v>1054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851" t="s">
        <v>340</v>
      </c>
      <c r="B7" s="925" t="s">
        <v>1592</v>
      </c>
      <c r="C7" s="943" t="s">
        <v>1593</v>
      </c>
      <c r="D7" s="944" t="s">
        <v>639</v>
      </c>
    </row>
    <row r="8" spans="1:4" s="218" customFormat="1" ht="25.25" customHeight="1">
      <c r="A8" s="924"/>
      <c r="B8" s="928"/>
      <c r="C8" s="943"/>
      <c r="D8" s="944"/>
    </row>
    <row r="9" spans="1:4" ht="26">
      <c r="A9" s="362" t="s">
        <v>1055</v>
      </c>
      <c r="B9" s="409">
        <v>843360997</v>
      </c>
      <c r="C9" s="581">
        <v>1071252601</v>
      </c>
      <c r="D9" s="418">
        <v>-0.2127337695957669</v>
      </c>
    </row>
    <row r="10" spans="1:4">
      <c r="A10" s="362" t="s">
        <v>1056</v>
      </c>
      <c r="B10" s="409">
        <v>63308888</v>
      </c>
      <c r="C10" s="581">
        <v>99479801</v>
      </c>
      <c r="D10" s="418">
        <v>-0.36360057656327638</v>
      </c>
    </row>
    <row r="11" spans="1:4" ht="20.149999999999999" customHeight="1">
      <c r="A11" s="362" t="s">
        <v>1057</v>
      </c>
      <c r="B11" s="409">
        <v>25648223</v>
      </c>
      <c r="C11" s="581">
        <v>22587379</v>
      </c>
      <c r="D11" s="418">
        <v>0.13551125165961045</v>
      </c>
    </row>
    <row r="12" spans="1:4" ht="26">
      <c r="A12" s="362" t="s">
        <v>1058</v>
      </c>
      <c r="B12" s="545">
        <v>0</v>
      </c>
      <c r="C12" s="580">
        <v>0</v>
      </c>
      <c r="D12" s="418">
        <v>0</v>
      </c>
    </row>
    <row r="13" spans="1:4" ht="26">
      <c r="A13" s="362" t="s">
        <v>1059</v>
      </c>
      <c r="B13" s="545">
        <v>52563290</v>
      </c>
      <c r="C13" s="580">
        <v>14497587</v>
      </c>
      <c r="D13" s="418">
        <v>2.6256578422326418</v>
      </c>
    </row>
    <row r="14" spans="1:4" ht="20.149999999999999" customHeight="1">
      <c r="A14" s="362" t="s">
        <v>1060</v>
      </c>
      <c r="B14" s="545">
        <v>153779443</v>
      </c>
      <c r="C14" s="580">
        <v>235011824</v>
      </c>
      <c r="D14" s="418">
        <v>-0.34565231492352488</v>
      </c>
    </row>
    <row r="15" spans="1:4" ht="20.149999999999999" customHeight="1">
      <c r="A15" s="362"/>
      <c r="B15" s="545"/>
      <c r="C15" s="580"/>
      <c r="D15" s="580"/>
    </row>
    <row r="16" spans="1:4" ht="25.25" customHeight="1">
      <c r="A16" s="378" t="s">
        <v>1061</v>
      </c>
      <c r="B16" s="417">
        <v>1138660841</v>
      </c>
      <c r="C16" s="592">
        <v>1442829192</v>
      </c>
      <c r="D16" s="585">
        <v>-0.21081383207832963</v>
      </c>
    </row>
    <row r="17" spans="1:1">
      <c r="A17" s="379" t="s">
        <v>529</v>
      </c>
    </row>
    <row r="18" spans="1:1">
      <c r="A18" s="213" t="s">
        <v>743</v>
      </c>
    </row>
    <row r="19" spans="1:1">
      <c r="A19" s="213" t="s">
        <v>1062</v>
      </c>
    </row>
    <row r="20" spans="1:1">
      <c r="A20" s="212"/>
    </row>
    <row r="21" spans="1:1">
      <c r="A21" s="202" t="s">
        <v>1626</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E00-000000000000}">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9"/>
    <pageSetUpPr fitToPage="1"/>
  </sheetPr>
  <dimension ref="A1:R32"/>
  <sheetViews>
    <sheetView workbookViewId="0">
      <selection activeCell="B4" sqref="B4:H4"/>
    </sheetView>
  </sheetViews>
  <sheetFormatPr baseColWidth="10" defaultColWidth="12" defaultRowHeight="13"/>
  <cols>
    <col min="1" max="1" bestFit="true" customWidth="true" style="202" width="5.3984375" collapsed="true"/>
    <col min="2" max="2" customWidth="true" style="202" width="41.19921875" collapsed="true"/>
    <col min="3" max="3" bestFit="true" customWidth="true" style="202" width="12.5" collapsed="true"/>
    <col min="4" max="8" customWidth="true" style="202" width="7.796875" collapsed="true"/>
    <col min="9" max="9" bestFit="true" customWidth="true" style="202" width="12.5" collapsed="true"/>
    <col min="10" max="10" customWidth="true" style="202" width="16.796875" collapsed="true"/>
    <col min="11" max="15" customWidth="true" style="202" width="7.796875" collapsed="true"/>
    <col min="16" max="16" customWidth="true" style="202" width="22.3984375" collapsed="true"/>
    <col min="17" max="16384" style="202" width="12.0" collapsed="true"/>
  </cols>
  <sheetData>
    <row r="1" spans="1:18" ht="18.5">
      <c r="B1" s="856" t="s">
        <v>1063</v>
      </c>
      <c r="C1" s="856"/>
      <c r="D1" s="856"/>
      <c r="E1" s="856"/>
      <c r="F1" s="856"/>
      <c r="G1" s="856"/>
      <c r="H1" s="856"/>
      <c r="I1" s="856"/>
      <c r="J1" s="856"/>
      <c r="K1" s="856"/>
      <c r="L1" s="856"/>
      <c r="M1" s="856"/>
      <c r="N1" s="856"/>
      <c r="O1" s="856"/>
      <c r="P1" s="856"/>
    </row>
    <row r="2" spans="1:18" ht="8.15" customHeight="1"/>
    <row r="3" spans="1:18" ht="12.75" customHeight="1">
      <c r="B3" s="202" t="s">
        <v>487</v>
      </c>
      <c r="C3" s="456"/>
      <c r="D3" s="456"/>
      <c r="E3" s="456"/>
      <c r="F3" s="456"/>
      <c r="K3" s="202" t="s">
        <v>488</v>
      </c>
      <c r="N3" s="985">
        <f>+'Note 1'!E3</f>
        <v>44926</v>
      </c>
      <c r="O3" s="986"/>
      <c r="P3" s="986"/>
    </row>
    <row r="4" spans="1:18" ht="12.75" customHeight="1">
      <c r="B4" s="985" t="str">
        <f>+'Note 1'!A4</f>
        <v>IAMGOLD BOTO SA</v>
      </c>
      <c r="C4" s="986"/>
      <c r="D4" s="986"/>
      <c r="E4" s="986"/>
      <c r="F4" s="986"/>
      <c r="G4" s="986"/>
      <c r="H4" s="986"/>
    </row>
    <row r="5" spans="1:18" ht="12.75" customHeight="1">
      <c r="B5" s="202" t="s">
        <v>490</v>
      </c>
      <c r="C5" s="986" t="str">
        <f>+'Note 1'!B5</f>
        <v>007768007</v>
      </c>
      <c r="D5" s="986"/>
      <c r="E5" s="986"/>
      <c r="K5" s="202" t="s">
        <v>489</v>
      </c>
      <c r="M5" s="986">
        <f>+'Note 1'!E4</f>
        <v>12</v>
      </c>
      <c r="N5" s="986"/>
    </row>
    <row r="6" spans="1:18" ht="8.15" customHeight="1"/>
    <row r="7" spans="1:18" s="264" customFormat="1">
      <c r="B7" s="987" t="s">
        <v>1064</v>
      </c>
      <c r="C7" s="990" t="s">
        <v>1065</v>
      </c>
      <c r="D7" s="991"/>
      <c r="E7" s="991"/>
      <c r="F7" s="991"/>
      <c r="G7" s="991"/>
      <c r="H7" s="991"/>
      <c r="I7" s="992"/>
      <c r="J7" s="991" t="s">
        <v>1066</v>
      </c>
      <c r="K7" s="991"/>
      <c r="L7" s="991"/>
      <c r="M7" s="991"/>
      <c r="N7" s="991"/>
      <c r="O7" s="991"/>
      <c r="P7" s="993"/>
    </row>
    <row r="8" spans="1:18" s="264" customFormat="1" ht="18.75" customHeight="1">
      <c r="B8" s="988"/>
      <c r="C8" s="994" t="s">
        <v>1067</v>
      </c>
      <c r="D8" s="995"/>
      <c r="E8" s="996" t="s">
        <v>1068</v>
      </c>
      <c r="F8" s="997"/>
      <c r="G8" s="994" t="s">
        <v>1069</v>
      </c>
      <c r="H8" s="995"/>
      <c r="I8" s="265" t="s">
        <v>114</v>
      </c>
      <c r="J8" s="998" t="s">
        <v>1067</v>
      </c>
      <c r="K8" s="995"/>
      <c r="L8" s="999" t="s">
        <v>1068</v>
      </c>
      <c r="M8" s="1000"/>
      <c r="N8" s="1001" t="s">
        <v>1069</v>
      </c>
      <c r="O8" s="1002"/>
      <c r="P8" s="593" t="s">
        <v>114</v>
      </c>
    </row>
    <row r="9" spans="1:18" s="264" customFormat="1">
      <c r="B9" s="989"/>
      <c r="C9" s="549" t="s">
        <v>1070</v>
      </c>
      <c r="D9" s="549" t="s">
        <v>480</v>
      </c>
      <c r="E9" s="549" t="s">
        <v>1070</v>
      </c>
      <c r="F9" s="549" t="s">
        <v>480</v>
      </c>
      <c r="G9" s="549" t="s">
        <v>1070</v>
      </c>
      <c r="H9" s="549" t="s">
        <v>480</v>
      </c>
      <c r="I9" s="266"/>
      <c r="J9" s="267" t="s">
        <v>1070</v>
      </c>
      <c r="K9" s="549" t="s">
        <v>480</v>
      </c>
      <c r="L9" s="268" t="s">
        <v>1070</v>
      </c>
      <c r="M9" s="268" t="s">
        <v>480</v>
      </c>
      <c r="N9" s="268" t="s">
        <v>1070</v>
      </c>
      <c r="O9" s="268" t="s">
        <v>480</v>
      </c>
      <c r="P9" s="269"/>
      <c r="R9" s="270"/>
    </row>
    <row r="10" spans="1:18" s="264" customFormat="1">
      <c r="A10" s="384" t="s">
        <v>1071</v>
      </c>
      <c r="B10" s="385" t="s">
        <v>1072</v>
      </c>
      <c r="C10" s="271">
        <v>1</v>
      </c>
      <c r="D10" s="271">
        <v>1</v>
      </c>
      <c r="E10" s="271">
        <v>1</v>
      </c>
      <c r="F10" s="271"/>
      <c r="G10" s="271">
        <v>3</v>
      </c>
      <c r="H10" s="271"/>
      <c r="I10" s="272">
        <f>SUM(C10:H10)</f>
        <v>6</v>
      </c>
      <c r="J10" s="273">
        <v>66462582</v>
      </c>
      <c r="K10" s="271">
        <v>61751210</v>
      </c>
      <c r="L10" s="274">
        <v>81432206</v>
      </c>
      <c r="M10" s="274"/>
      <c r="N10" s="274">
        <v>126815305</v>
      </c>
      <c r="O10" s="274"/>
      <c r="P10" s="274">
        <f>SUM(J10:O10)</f>
        <v>336461303</v>
      </c>
      <c r="R10" s="270"/>
    </row>
    <row r="11" spans="1:18" s="264" customFormat="1">
      <c r="A11" s="384" t="s">
        <v>1073</v>
      </c>
      <c r="B11" s="385" t="s">
        <v>1074</v>
      </c>
      <c r="C11" s="271">
        <v>9</v>
      </c>
      <c r="D11" s="271">
        <v>2</v>
      </c>
      <c r="E11" s="271">
        <v>2</v>
      </c>
      <c r="F11" s="271"/>
      <c r="G11" s="271">
        <v>1</v>
      </c>
      <c r="H11" s="271"/>
      <c r="I11" s="272">
        <f>SUM(C11:H11)</f>
        <v>14</v>
      </c>
      <c r="J11" s="273">
        <v>280918342</v>
      </c>
      <c r="K11" s="271">
        <v>74679674</v>
      </c>
      <c r="L11" s="274">
        <v>69336102</v>
      </c>
      <c r="M11" s="274"/>
      <c r="N11" s="275">
        <v>21943979</v>
      </c>
      <c r="O11" s="274"/>
      <c r="P11" s="274">
        <f>SUM(J11:O11)</f>
        <v>446878097</v>
      </c>
      <c r="R11" s="270"/>
    </row>
    <row r="12" spans="1:18" s="264" customFormat="1" ht="26">
      <c r="A12" s="384" t="s">
        <v>1075</v>
      </c>
      <c r="B12" s="385" t="s">
        <v>1076</v>
      </c>
      <c r="C12" s="271">
        <v>3</v>
      </c>
      <c r="D12" s="271"/>
      <c r="E12" s="271"/>
      <c r="F12" s="271"/>
      <c r="G12" s="271"/>
      <c r="H12" s="271"/>
      <c r="I12" s="272">
        <f>SUM(C12:H12)</f>
        <v>3</v>
      </c>
      <c r="J12" s="273">
        <v>7646464</v>
      </c>
      <c r="K12" s="271"/>
      <c r="L12" s="274"/>
      <c r="M12" s="274"/>
      <c r="N12" s="274"/>
      <c r="O12" s="274"/>
      <c r="P12" s="274">
        <f t="shared" ref="P12:P13" si="0">SUM(J12:O12)</f>
        <v>7646464</v>
      </c>
      <c r="R12" s="270"/>
    </row>
    <row r="13" spans="1:18" s="264" customFormat="1" ht="26">
      <c r="A13" s="384" t="s">
        <v>1077</v>
      </c>
      <c r="B13" s="385" t="s">
        <v>1078</v>
      </c>
      <c r="C13" s="271">
        <v>30</v>
      </c>
      <c r="D13" s="271">
        <v>3</v>
      </c>
      <c r="E13" s="271"/>
      <c r="F13" s="271"/>
      <c r="G13" s="271"/>
      <c r="H13" s="271"/>
      <c r="I13" s="272">
        <f>SUM(C13:H13)</f>
        <v>33</v>
      </c>
      <c r="J13" s="273">
        <v>96151410</v>
      </c>
      <c r="K13" s="271">
        <v>8044321</v>
      </c>
      <c r="L13" s="274"/>
      <c r="M13" s="274"/>
      <c r="N13" s="274"/>
      <c r="O13" s="274"/>
      <c r="P13" s="274">
        <f t="shared" si="0"/>
        <v>104195731</v>
      </c>
      <c r="R13" s="270"/>
    </row>
    <row r="14" spans="1:18" s="264" customFormat="1">
      <c r="A14" s="384" t="s">
        <v>1079</v>
      </c>
      <c r="B14" s="386" t="s">
        <v>1080</v>
      </c>
      <c r="C14" s="271">
        <f t="shared" ref="C14:H14" si="1">SUM(C10:C13)</f>
        <v>43</v>
      </c>
      <c r="D14" s="271">
        <f t="shared" si="1"/>
        <v>6</v>
      </c>
      <c r="E14" s="271">
        <f t="shared" si="1"/>
        <v>3</v>
      </c>
      <c r="F14" s="271">
        <f t="shared" si="1"/>
        <v>0</v>
      </c>
      <c r="G14" s="271">
        <f t="shared" si="1"/>
        <v>4</v>
      </c>
      <c r="H14" s="271">
        <f t="shared" si="1"/>
        <v>0</v>
      </c>
      <c r="I14" s="276">
        <f>SUM(C14:H14)</f>
        <v>56</v>
      </c>
      <c r="J14" s="273">
        <f t="shared" ref="J14:P14" si="2">SUM(J10:J13)</f>
        <v>451178798</v>
      </c>
      <c r="K14" s="271">
        <f t="shared" si="2"/>
        <v>144475205</v>
      </c>
      <c r="L14" s="271">
        <f t="shared" si="2"/>
        <v>150768308</v>
      </c>
      <c r="M14" s="271">
        <f t="shared" si="2"/>
        <v>0</v>
      </c>
      <c r="N14" s="271">
        <f t="shared" si="2"/>
        <v>148759284</v>
      </c>
      <c r="O14" s="271">
        <f t="shared" si="2"/>
        <v>0</v>
      </c>
      <c r="P14" s="271">
        <f t="shared" si="2"/>
        <v>895181595</v>
      </c>
      <c r="R14" s="270"/>
    </row>
    <row r="15" spans="1:18" s="264" customFormat="1">
      <c r="A15" s="384"/>
      <c r="B15" s="386"/>
      <c r="C15" s="271"/>
      <c r="D15" s="271"/>
      <c r="E15" s="271"/>
      <c r="F15" s="271"/>
      <c r="G15" s="271"/>
      <c r="H15" s="271"/>
      <c r="I15" s="276"/>
      <c r="J15" s="273"/>
      <c r="K15" s="271"/>
      <c r="L15" s="274"/>
      <c r="M15" s="274"/>
      <c r="N15" s="274"/>
      <c r="O15" s="274"/>
      <c r="P15" s="274"/>
      <c r="R15" s="270"/>
    </row>
    <row r="16" spans="1:18" s="264" customFormat="1">
      <c r="A16" s="384" t="s">
        <v>1081</v>
      </c>
      <c r="B16" s="386" t="s">
        <v>1082</v>
      </c>
      <c r="C16" s="271">
        <v>34</v>
      </c>
      <c r="D16" s="271">
        <v>5</v>
      </c>
      <c r="E16" s="271">
        <v>3</v>
      </c>
      <c r="F16" s="271">
        <v>0</v>
      </c>
      <c r="G16" s="271">
        <v>4</v>
      </c>
      <c r="H16" s="271">
        <v>0</v>
      </c>
      <c r="I16" s="276">
        <f>I14-I17</f>
        <v>46</v>
      </c>
      <c r="J16" s="273"/>
      <c r="K16" s="271"/>
      <c r="L16" s="271"/>
      <c r="M16" s="271"/>
      <c r="N16" s="271"/>
      <c r="O16" s="271"/>
      <c r="P16" s="271"/>
      <c r="R16" s="270"/>
    </row>
    <row r="17" spans="1:18" s="264" customFormat="1">
      <c r="A17" s="384" t="s">
        <v>1083</v>
      </c>
      <c r="B17" s="386" t="s">
        <v>1084</v>
      </c>
      <c r="C17" s="271">
        <v>9</v>
      </c>
      <c r="D17" s="271">
        <v>1</v>
      </c>
      <c r="E17" s="271">
        <v>0</v>
      </c>
      <c r="F17" s="271">
        <v>0</v>
      </c>
      <c r="G17" s="271">
        <v>0</v>
      </c>
      <c r="H17" s="271">
        <v>0</v>
      </c>
      <c r="I17" s="276">
        <f>SUM(C17:H17)</f>
        <v>10</v>
      </c>
      <c r="J17" s="273"/>
      <c r="K17" s="271"/>
      <c r="L17" s="274"/>
      <c r="M17" s="274"/>
      <c r="N17" s="274"/>
      <c r="O17" s="274"/>
      <c r="P17" s="277">
        <f>SUM(J17:O17)</f>
        <v>0</v>
      </c>
    </row>
    <row r="18" spans="1:18" s="264" customFormat="1">
      <c r="A18" s="387"/>
      <c r="B18" s="388"/>
      <c r="L18" s="278"/>
      <c r="M18" s="278"/>
      <c r="N18" s="278"/>
      <c r="O18" s="278"/>
      <c r="P18" s="278"/>
    </row>
    <row r="19" spans="1:18" s="264" customFormat="1">
      <c r="A19" s="387"/>
      <c r="B19" s="389"/>
      <c r="L19" s="278"/>
      <c r="M19" s="278"/>
      <c r="N19" s="278"/>
      <c r="O19" s="278"/>
      <c r="P19" s="278"/>
      <c r="R19" s="270"/>
    </row>
    <row r="20" spans="1:18" s="264" customFormat="1" ht="19.5" customHeight="1">
      <c r="A20" s="387"/>
      <c r="B20" s="389" t="s">
        <v>1085</v>
      </c>
      <c r="I20" s="270"/>
      <c r="J20" s="983" t="s">
        <v>1086</v>
      </c>
      <c r="K20" s="984"/>
      <c r="L20" s="278"/>
      <c r="M20" s="278"/>
      <c r="N20" s="278"/>
      <c r="O20" s="278"/>
      <c r="P20" s="278"/>
      <c r="Q20" s="270"/>
      <c r="R20" s="270"/>
    </row>
    <row r="21" spans="1:18" s="264" customFormat="1">
      <c r="A21" s="384" t="s">
        <v>1087</v>
      </c>
      <c r="B21" s="385" t="s">
        <v>1072</v>
      </c>
      <c r="C21" s="271"/>
      <c r="D21" s="271"/>
      <c r="E21" s="271"/>
      <c r="F21" s="271"/>
      <c r="G21" s="271"/>
      <c r="H21" s="271"/>
      <c r="I21" s="276"/>
      <c r="J21" s="594"/>
      <c r="K21" s="595"/>
      <c r="L21" s="278"/>
      <c r="M21" s="278"/>
      <c r="N21" s="278"/>
      <c r="O21" s="278"/>
      <c r="P21" s="278"/>
      <c r="Q21" s="270"/>
      <c r="R21" s="270"/>
    </row>
    <row r="22" spans="1:18" s="264" customFormat="1">
      <c r="A22" s="596" t="s">
        <v>1088</v>
      </c>
      <c r="B22" s="597" t="s">
        <v>1074</v>
      </c>
      <c r="C22" s="595"/>
      <c r="D22" s="595"/>
      <c r="E22" s="595"/>
      <c r="F22" s="595"/>
      <c r="G22" s="595"/>
      <c r="H22" s="595"/>
      <c r="I22" s="598">
        <f>SUM(C22:H22)</f>
        <v>0</v>
      </c>
      <c r="J22" s="594"/>
      <c r="K22" s="595"/>
      <c r="L22" s="278"/>
      <c r="M22" s="278"/>
      <c r="N22" s="278"/>
      <c r="O22" s="278"/>
      <c r="P22" s="278"/>
      <c r="R22" s="270"/>
    </row>
    <row r="23" spans="1:18" s="264" customFormat="1" ht="26">
      <c r="A23" s="596" t="s">
        <v>1089</v>
      </c>
      <c r="B23" s="597" t="s">
        <v>1076</v>
      </c>
      <c r="C23" s="595">
        <v>7</v>
      </c>
      <c r="D23" s="595"/>
      <c r="E23" s="595"/>
      <c r="F23" s="595"/>
      <c r="G23" s="595"/>
      <c r="H23" s="595"/>
      <c r="I23" s="598">
        <f>SUM(C23:H23)</f>
        <v>7</v>
      </c>
      <c r="J23" s="594">
        <v>52563290</v>
      </c>
      <c r="K23" s="595"/>
      <c r="L23" s="278"/>
      <c r="M23" s="278"/>
      <c r="N23" s="278"/>
      <c r="O23" s="278"/>
      <c r="P23" s="278"/>
      <c r="Q23" s="264">
        <f>Q20+Q21+R21</f>
        <v>0</v>
      </c>
    </row>
    <row r="24" spans="1:18" s="264" customFormat="1" ht="26">
      <c r="A24" s="596" t="s">
        <v>1090</v>
      </c>
      <c r="B24" s="597" t="s">
        <v>1078</v>
      </c>
      <c r="C24" s="595"/>
      <c r="D24" s="595"/>
      <c r="E24" s="595"/>
      <c r="F24" s="595"/>
      <c r="G24" s="595"/>
      <c r="H24" s="595"/>
      <c r="I24" s="598">
        <f>SUM(C24:H24)</f>
        <v>0</v>
      </c>
      <c r="J24" s="594"/>
      <c r="K24" s="595"/>
      <c r="L24" s="278"/>
      <c r="M24" s="278"/>
      <c r="N24" s="278"/>
      <c r="O24" s="278"/>
      <c r="P24" s="278"/>
    </row>
    <row r="25" spans="1:18" s="264" customFormat="1">
      <c r="A25" s="596" t="s">
        <v>1091</v>
      </c>
      <c r="B25" s="599" t="s">
        <v>1092</v>
      </c>
      <c r="C25" s="595">
        <f t="shared" ref="C25:H25" si="3">SUM(C21:C24)</f>
        <v>7</v>
      </c>
      <c r="D25" s="595">
        <f t="shared" si="3"/>
        <v>0</v>
      </c>
      <c r="E25" s="595">
        <f t="shared" si="3"/>
        <v>0</v>
      </c>
      <c r="F25" s="595">
        <f t="shared" si="3"/>
        <v>0</v>
      </c>
      <c r="G25" s="595">
        <f t="shared" si="3"/>
        <v>0</v>
      </c>
      <c r="H25" s="595">
        <f t="shared" si="3"/>
        <v>0</v>
      </c>
      <c r="I25" s="598">
        <f>SUM(C25:H25)</f>
        <v>7</v>
      </c>
      <c r="J25" s="594">
        <f>SUM(J21:J24)</f>
        <v>52563290</v>
      </c>
      <c r="K25" s="595">
        <f>SUM(K21:K24)</f>
        <v>0</v>
      </c>
      <c r="L25" s="278"/>
      <c r="M25" s="278"/>
      <c r="N25" s="278"/>
      <c r="O25" s="278"/>
      <c r="P25" s="278"/>
    </row>
    <row r="26" spans="1:18" s="264" customFormat="1">
      <c r="A26" s="596"/>
      <c r="B26" s="599"/>
      <c r="C26" s="595"/>
      <c r="D26" s="595"/>
      <c r="E26" s="595"/>
      <c r="F26" s="595"/>
      <c r="G26" s="595"/>
      <c r="H26" s="595"/>
      <c r="I26" s="598"/>
      <c r="J26" s="594"/>
      <c r="K26" s="595"/>
      <c r="L26" s="278"/>
      <c r="M26" s="278"/>
      <c r="N26" s="278"/>
      <c r="O26" s="278"/>
      <c r="P26" s="278"/>
    </row>
    <row r="27" spans="1:18" s="264" customFormat="1">
      <c r="A27" s="596" t="s">
        <v>1093</v>
      </c>
      <c r="B27" s="599" t="s">
        <v>1082</v>
      </c>
      <c r="C27" s="595">
        <v>7</v>
      </c>
      <c r="D27" s="595"/>
      <c r="E27" s="595"/>
      <c r="F27" s="595"/>
      <c r="G27" s="595"/>
      <c r="H27" s="595"/>
      <c r="I27" s="598">
        <f>SUM(C27:H27)</f>
        <v>7</v>
      </c>
      <c r="J27" s="594"/>
      <c r="K27" s="595"/>
      <c r="L27" s="278"/>
      <c r="M27" s="278"/>
      <c r="N27" s="278"/>
      <c r="O27" s="278"/>
      <c r="P27" s="278"/>
    </row>
    <row r="28" spans="1:18" s="278" customFormat="1">
      <c r="A28" s="600" t="s">
        <v>1094</v>
      </c>
      <c r="B28" s="599" t="s">
        <v>1084</v>
      </c>
      <c r="C28" s="595"/>
      <c r="D28" s="595"/>
      <c r="E28" s="595"/>
      <c r="F28" s="595"/>
      <c r="G28" s="595"/>
      <c r="H28" s="595"/>
      <c r="I28" s="598">
        <f>SUM(C28:H28)</f>
        <v>0</v>
      </c>
      <c r="J28" s="594"/>
      <c r="K28" s="595"/>
    </row>
    <row r="29" spans="1:18" s="278" customFormat="1">
      <c r="A29" s="600"/>
      <c r="B29" s="599"/>
      <c r="C29" s="595"/>
      <c r="D29" s="595"/>
      <c r="E29" s="595"/>
      <c r="F29" s="595"/>
      <c r="G29" s="595"/>
      <c r="H29" s="595"/>
      <c r="I29" s="598"/>
      <c r="J29" s="279"/>
      <c r="K29" s="280"/>
    </row>
    <row r="30" spans="1:18" s="278" customFormat="1">
      <c r="A30" s="600" t="s">
        <v>1095</v>
      </c>
      <c r="B30" s="601" t="s">
        <v>1096</v>
      </c>
      <c r="C30" s="602">
        <f t="shared" ref="C30:I30" si="4">+C14+C25</f>
        <v>50</v>
      </c>
      <c r="D30" s="602">
        <f t="shared" si="4"/>
        <v>6</v>
      </c>
      <c r="E30" s="602">
        <f t="shared" si="4"/>
        <v>3</v>
      </c>
      <c r="F30" s="602">
        <f t="shared" si="4"/>
        <v>0</v>
      </c>
      <c r="G30" s="602">
        <f t="shared" si="4"/>
        <v>4</v>
      </c>
      <c r="H30" s="602">
        <f t="shared" si="4"/>
        <v>0</v>
      </c>
      <c r="I30" s="603">
        <f t="shared" si="4"/>
        <v>63</v>
      </c>
      <c r="J30" s="279"/>
      <c r="K30" s="280"/>
    </row>
    <row r="31" spans="1:18">
      <c r="A31" s="380"/>
      <c r="B31" s="379" t="s">
        <v>529</v>
      </c>
    </row>
    <row r="32" spans="1:18">
      <c r="B32" s="213" t="s">
        <v>1097</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0 C10:P14" xr:uid="{00000000-0002-0000-2F00-000000000000}">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9"/>
    <pageSetUpPr fitToPage="1"/>
  </sheetPr>
  <dimension ref="A1:I29"/>
  <sheetViews>
    <sheetView workbookViewId="0">
      <selection activeCell="A29" sqref="A29"/>
    </sheetView>
  </sheetViews>
  <sheetFormatPr baseColWidth="10" defaultColWidth="12" defaultRowHeight="13"/>
  <cols>
    <col min="1" max="1" customWidth="true" style="284" width="45.296875" collapsed="true"/>
    <col min="2" max="9" customWidth="true" style="284" width="16.0" collapsed="true"/>
    <col min="10" max="16384" style="284" width="12.0" collapsed="true"/>
  </cols>
  <sheetData>
    <row r="1" spans="1:9" s="202" customFormat="1" ht="18.5">
      <c r="A1" s="856" t="s">
        <v>1098</v>
      </c>
      <c r="B1" s="856"/>
      <c r="C1" s="856"/>
      <c r="D1" s="856"/>
      <c r="E1" s="856"/>
      <c r="F1" s="856"/>
      <c r="G1" s="856"/>
      <c r="H1" s="856"/>
      <c r="I1" s="856"/>
    </row>
    <row r="2" spans="1:9" s="202" customFormat="1" ht="8.15" customHeight="1"/>
    <row r="3" spans="1:9" s="202" customFormat="1" ht="12.75" customHeight="1">
      <c r="A3" s="857" t="s">
        <v>487</v>
      </c>
      <c r="B3" s="857"/>
      <c r="C3" s="857"/>
      <c r="G3" s="202" t="s">
        <v>488</v>
      </c>
      <c r="H3" s="878">
        <f>+'Note 1'!E3</f>
        <v>44926</v>
      </c>
      <c r="I3" s="892"/>
    </row>
    <row r="4" spans="1:9" s="202" customFormat="1" ht="15" customHeight="1">
      <c r="A4" s="864" t="str">
        <f>+'Note 1'!A4</f>
        <v>IAMGOLD BOTO SA</v>
      </c>
      <c r="B4" s="864"/>
      <c r="C4" s="864"/>
      <c r="G4" s="860" t="s">
        <v>489</v>
      </c>
      <c r="H4" s="893">
        <f>+'Note 1'!E4</f>
        <v>12</v>
      </c>
      <c r="I4" s="893"/>
    </row>
    <row r="5" spans="1:9" s="202" customFormat="1" ht="15" customHeight="1">
      <c r="A5" s="202" t="s">
        <v>490</v>
      </c>
      <c r="B5" s="882" t="str">
        <f>+'Note 1'!B5</f>
        <v>007768007</v>
      </c>
      <c r="C5" s="882"/>
      <c r="G5" s="860"/>
      <c r="H5" s="894"/>
      <c r="I5" s="894"/>
    </row>
    <row r="7" spans="1:9" s="270" customFormat="1">
      <c r="A7" s="604" t="s">
        <v>541</v>
      </c>
      <c r="B7" s="605" t="s">
        <v>128</v>
      </c>
      <c r="C7" s="1004" t="s">
        <v>445</v>
      </c>
      <c r="D7" s="1005"/>
      <c r="E7" s="1006"/>
      <c r="F7" s="1004" t="s">
        <v>458</v>
      </c>
      <c r="G7" s="1005"/>
      <c r="H7" s="1006"/>
      <c r="I7" s="606" t="s">
        <v>1099</v>
      </c>
    </row>
    <row r="8" spans="1:9" s="264" customFormat="1">
      <c r="A8" s="281"/>
      <c r="B8" s="1007" t="s">
        <v>1100</v>
      </c>
      <c r="C8" s="1004" t="s">
        <v>1101</v>
      </c>
      <c r="D8" s="1005"/>
      <c r="E8" s="1006"/>
      <c r="F8" s="1004" t="s">
        <v>1102</v>
      </c>
      <c r="G8" s="1005"/>
      <c r="H8" s="1006"/>
      <c r="I8" s="1003" t="s">
        <v>1103</v>
      </c>
    </row>
    <row r="9" spans="1:9" s="264" customFormat="1" ht="26">
      <c r="A9" s="282" t="s">
        <v>1104</v>
      </c>
      <c r="B9" s="1007"/>
      <c r="C9" s="607" t="s">
        <v>1105</v>
      </c>
      <c r="D9" s="608" t="s">
        <v>1106</v>
      </c>
      <c r="E9" s="609" t="s">
        <v>1107</v>
      </c>
      <c r="F9" s="607" t="s">
        <v>1105</v>
      </c>
      <c r="G9" s="608" t="s">
        <v>1106</v>
      </c>
      <c r="H9" s="609" t="s">
        <v>1107</v>
      </c>
      <c r="I9" s="1003"/>
    </row>
    <row r="10" spans="1:9" s="283" customFormat="1">
      <c r="A10" s="610" t="s">
        <v>1108</v>
      </c>
      <c r="B10" s="611"/>
      <c r="C10" s="612"/>
      <c r="D10" s="613"/>
      <c r="E10" s="611"/>
      <c r="F10" s="612"/>
      <c r="G10" s="613"/>
      <c r="H10" s="611"/>
      <c r="I10" s="614"/>
    </row>
    <row r="11" spans="1:9" s="283" customFormat="1">
      <c r="A11" s="610" t="s">
        <v>1109</v>
      </c>
      <c r="B11" s="611">
        <v>42172294</v>
      </c>
      <c r="C11" s="612"/>
      <c r="D11" s="613">
        <v>2881106902</v>
      </c>
      <c r="E11" s="611"/>
      <c r="F11" s="612"/>
      <c r="G11" s="613">
        <v>0</v>
      </c>
      <c r="H11" s="611"/>
      <c r="I11" s="614">
        <v>2923279196</v>
      </c>
    </row>
    <row r="12" spans="1:9" s="283" customFormat="1">
      <c r="A12" s="610" t="s">
        <v>1110</v>
      </c>
      <c r="B12" s="611"/>
      <c r="C12" s="612"/>
      <c r="D12" s="613"/>
      <c r="E12" s="611"/>
      <c r="F12" s="612"/>
      <c r="G12" s="613"/>
      <c r="H12" s="611"/>
      <c r="I12" s="614"/>
    </row>
    <row r="13" spans="1:9" s="283" customFormat="1">
      <c r="A13" s="615" t="s">
        <v>1111</v>
      </c>
      <c r="B13" s="616">
        <f>SUM(B10:B12)</f>
        <v>42172294</v>
      </c>
      <c r="C13" s="617">
        <f t="shared" ref="C13:I13" si="0">SUM(C10:C12)</f>
        <v>0</v>
      </c>
      <c r="D13" s="618">
        <f t="shared" si="0"/>
        <v>2881106902</v>
      </c>
      <c r="E13" s="616">
        <f t="shared" si="0"/>
        <v>0</v>
      </c>
      <c r="F13" s="617">
        <f t="shared" si="0"/>
        <v>0</v>
      </c>
      <c r="G13" s="618">
        <f t="shared" si="0"/>
        <v>0</v>
      </c>
      <c r="H13" s="616">
        <f t="shared" si="0"/>
        <v>0</v>
      </c>
      <c r="I13" s="619">
        <f t="shared" si="0"/>
        <v>2923279196</v>
      </c>
    </row>
    <row r="14" spans="1:9" s="283" customFormat="1">
      <c r="A14" s="610" t="s">
        <v>1112</v>
      </c>
      <c r="B14" s="611"/>
      <c r="C14" s="612"/>
      <c r="D14" s="613"/>
      <c r="E14" s="611"/>
      <c r="F14" s="612"/>
      <c r="G14" s="613"/>
      <c r="H14" s="611"/>
      <c r="I14" s="614"/>
    </row>
    <row r="15" spans="1:9" s="283" customFormat="1">
      <c r="A15" s="610" t="s">
        <v>1113</v>
      </c>
      <c r="B15" s="611"/>
      <c r="C15" s="612"/>
      <c r="D15" s="613"/>
      <c r="E15" s="611"/>
      <c r="F15" s="612"/>
      <c r="G15" s="613"/>
      <c r="H15" s="611"/>
      <c r="I15" s="614"/>
    </row>
    <row r="16" spans="1:9" s="283" customFormat="1">
      <c r="A16" s="610" t="s">
        <v>1114</v>
      </c>
      <c r="B16" s="611"/>
      <c r="C16" s="612"/>
      <c r="D16" s="613"/>
      <c r="E16" s="611"/>
      <c r="F16" s="612"/>
      <c r="G16" s="613"/>
      <c r="H16" s="611"/>
      <c r="I16" s="614"/>
    </row>
    <row r="17" spans="1:9" s="283" customFormat="1">
      <c r="A17" s="610" t="s">
        <v>1115</v>
      </c>
      <c r="B17" s="611"/>
      <c r="C17" s="612"/>
      <c r="D17" s="613"/>
      <c r="E17" s="611"/>
      <c r="F17" s="612"/>
      <c r="G17" s="613"/>
      <c r="H17" s="611"/>
      <c r="I17" s="614"/>
    </row>
    <row r="18" spans="1:9" s="283" customFormat="1">
      <c r="A18" s="610" t="s">
        <v>1116</v>
      </c>
      <c r="B18" s="611"/>
      <c r="C18" s="612"/>
      <c r="D18" s="613"/>
      <c r="E18" s="611"/>
      <c r="F18" s="612"/>
      <c r="G18" s="613"/>
      <c r="H18" s="611"/>
      <c r="I18" s="614"/>
    </row>
    <row r="19" spans="1:9" s="283" customFormat="1">
      <c r="A19" s="610" t="s">
        <v>1117</v>
      </c>
      <c r="B19" s="611"/>
      <c r="C19" s="612"/>
      <c r="D19" s="613"/>
      <c r="E19" s="611"/>
      <c r="F19" s="612"/>
      <c r="G19" s="613"/>
      <c r="H19" s="611"/>
      <c r="I19" s="614"/>
    </row>
    <row r="20" spans="1:9" s="283" customFormat="1">
      <c r="A20" s="610" t="s">
        <v>1118</v>
      </c>
      <c r="B20" s="611"/>
      <c r="C20" s="612"/>
      <c r="D20" s="613"/>
      <c r="E20" s="611"/>
      <c r="F20" s="612"/>
      <c r="G20" s="613"/>
      <c r="H20" s="611"/>
      <c r="I20" s="614"/>
    </row>
    <row r="21" spans="1:9" s="283" customFormat="1" ht="26">
      <c r="A21" s="610" t="s">
        <v>1119</v>
      </c>
      <c r="B21" s="611">
        <v>0</v>
      </c>
      <c r="C21" s="612">
        <v>191029</v>
      </c>
      <c r="D21" s="613"/>
      <c r="E21" s="611"/>
      <c r="F21" s="612">
        <v>0</v>
      </c>
      <c r="G21" s="613">
        <v>0</v>
      </c>
      <c r="H21" s="611"/>
      <c r="I21" s="614">
        <v>191029</v>
      </c>
    </row>
    <row r="22" spans="1:9" s="283" customFormat="1" ht="26">
      <c r="A22" s="610" t="s">
        <v>1120</v>
      </c>
      <c r="B22" s="611"/>
      <c r="C22" s="612"/>
      <c r="D22" s="613"/>
      <c r="E22" s="611"/>
      <c r="F22" s="612"/>
      <c r="G22" s="613"/>
      <c r="H22" s="611"/>
      <c r="I22" s="614"/>
    </row>
    <row r="23" spans="1:9" s="283" customFormat="1" ht="26">
      <c r="A23" s="615" t="s">
        <v>1121</v>
      </c>
      <c r="B23" s="616">
        <f>SUM(B14:B22)</f>
        <v>0</v>
      </c>
      <c r="C23" s="617">
        <f t="shared" ref="C23:I23" si="1">SUM(C14:C22)</f>
        <v>191029</v>
      </c>
      <c r="D23" s="618">
        <f t="shared" si="1"/>
        <v>0</v>
      </c>
      <c r="E23" s="616">
        <f t="shared" si="1"/>
        <v>0</v>
      </c>
      <c r="F23" s="617">
        <f t="shared" si="1"/>
        <v>0</v>
      </c>
      <c r="G23" s="618">
        <f t="shared" si="1"/>
        <v>0</v>
      </c>
      <c r="H23" s="616">
        <f t="shared" si="1"/>
        <v>0</v>
      </c>
      <c r="I23" s="619">
        <f t="shared" si="1"/>
        <v>191029</v>
      </c>
    </row>
    <row r="24" spans="1:9" s="283" customFormat="1">
      <c r="A24" s="620"/>
      <c r="B24" s="611"/>
      <c r="C24" s="612"/>
      <c r="D24" s="613"/>
      <c r="E24" s="611"/>
      <c r="F24" s="612"/>
      <c r="G24" s="613"/>
      <c r="H24" s="611"/>
      <c r="I24" s="614"/>
    </row>
    <row r="25" spans="1:9" s="264" customFormat="1">
      <c r="A25" s="621" t="s">
        <v>1122</v>
      </c>
      <c r="B25" s="622">
        <f>+B13+B23</f>
        <v>42172294</v>
      </c>
      <c r="C25" s="623">
        <f t="shared" ref="C25:I25" si="2">+C13+C23</f>
        <v>191029</v>
      </c>
      <c r="D25" s="624">
        <f t="shared" si="2"/>
        <v>2881106902</v>
      </c>
      <c r="E25" s="622">
        <f t="shared" si="2"/>
        <v>0</v>
      </c>
      <c r="F25" s="623">
        <f t="shared" si="2"/>
        <v>0</v>
      </c>
      <c r="G25" s="624">
        <f t="shared" si="2"/>
        <v>0</v>
      </c>
      <c r="H25" s="622">
        <f t="shared" si="2"/>
        <v>0</v>
      </c>
      <c r="I25" s="625">
        <f t="shared" si="2"/>
        <v>2923470225</v>
      </c>
    </row>
    <row r="26" spans="1:9">
      <c r="A26" s="379" t="s">
        <v>529</v>
      </c>
    </row>
    <row r="27" spans="1:9">
      <c r="A27" s="213" t="s">
        <v>1123</v>
      </c>
    </row>
    <row r="29" spans="1:9">
      <c r="A29" s="284" t="s">
        <v>1627</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3 B25:I25" xr:uid="{00000000-0002-0000-3000-00000000000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9"/>
    <pageSetUpPr fitToPage="1"/>
  </sheetPr>
  <dimension ref="A1:D36"/>
  <sheetViews>
    <sheetView workbookViewId="0">
      <selection activeCell="C7" sqref="C7:C8"/>
    </sheetView>
  </sheetViews>
  <sheetFormatPr baseColWidth="10" defaultColWidth="12" defaultRowHeight="13"/>
  <cols>
    <col min="1" max="1" customWidth="true" style="202" width="45.796875" collapsed="true"/>
    <col min="2" max="2" customWidth="true" style="202" width="17.69921875" collapsed="true"/>
    <col min="3" max="3" customWidth="true" style="202" width="20.796875" collapsed="true"/>
    <col min="4" max="4" customWidth="true" style="202" width="20.69921875" collapsed="true"/>
    <col min="5" max="16384" style="202" width="12.0" collapsed="true"/>
  </cols>
  <sheetData>
    <row r="1" spans="1:4" ht="18.5">
      <c r="A1" s="856" t="s">
        <v>1124</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80">
        <f>+'Note 1'!E4</f>
        <v>12</v>
      </c>
    </row>
    <row r="5" spans="1:4" ht="15" customHeight="1">
      <c r="A5" s="202" t="s">
        <v>490</v>
      </c>
      <c r="B5" s="450" t="str">
        <f>+'Note 1'!B5</f>
        <v>007768007</v>
      </c>
      <c r="D5" s="881"/>
    </row>
    <row r="6" spans="1:4" ht="8.15" customHeight="1"/>
    <row r="7" spans="1:4" s="218" customFormat="1" ht="25.25" customHeight="1">
      <c r="A7" s="1008" t="s">
        <v>340</v>
      </c>
      <c r="B7" s="1009" t="s">
        <v>604</v>
      </c>
      <c r="C7" s="1011" t="s">
        <v>605</v>
      </c>
      <c r="D7" s="1012" t="s">
        <v>639</v>
      </c>
    </row>
    <row r="8" spans="1:4" s="218" customFormat="1" ht="25.25" customHeight="1">
      <c r="A8" s="982"/>
      <c r="B8" s="1010"/>
      <c r="C8" s="1011"/>
      <c r="D8" s="1012"/>
    </row>
    <row r="9" spans="1:4" ht="20.149999999999999" customHeight="1">
      <c r="A9" s="626" t="s">
        <v>1125</v>
      </c>
      <c r="B9" s="627"/>
      <c r="C9" s="628"/>
      <c r="D9" s="628"/>
    </row>
    <row r="10" spans="1:4">
      <c r="A10" s="626" t="s">
        <v>1126</v>
      </c>
      <c r="B10" s="627"/>
      <c r="C10" s="628"/>
      <c r="D10" s="628"/>
    </row>
    <row r="11" spans="1:4">
      <c r="A11" s="626" t="s">
        <v>1127</v>
      </c>
      <c r="B11" s="627"/>
      <c r="C11" s="628"/>
      <c r="D11" s="628"/>
    </row>
    <row r="12" spans="1:4">
      <c r="A12" s="626" t="s">
        <v>1128</v>
      </c>
      <c r="B12" s="627"/>
      <c r="C12" s="628"/>
      <c r="D12" s="628"/>
    </row>
    <row r="13" spans="1:4">
      <c r="A13" s="626" t="s">
        <v>1129</v>
      </c>
      <c r="B13" s="627"/>
      <c r="C13" s="628"/>
      <c r="D13" s="628"/>
    </row>
    <row r="14" spans="1:4" ht="20.149999999999999" customHeight="1">
      <c r="A14" s="626" t="s">
        <v>1514</v>
      </c>
      <c r="B14" s="627">
        <v>300108253</v>
      </c>
      <c r="C14" s="628">
        <v>7546694</v>
      </c>
      <c r="D14" s="662">
        <v>38.766850623597563</v>
      </c>
    </row>
    <row r="15" spans="1:4" ht="20.149999999999999" customHeight="1">
      <c r="A15" s="626" t="s">
        <v>1130</v>
      </c>
      <c r="B15" s="627"/>
      <c r="C15" s="628"/>
      <c r="D15" s="628"/>
    </row>
    <row r="16" spans="1:4" ht="26">
      <c r="A16" s="626" t="s">
        <v>1131</v>
      </c>
      <c r="B16" s="627"/>
      <c r="C16" s="628"/>
      <c r="D16" s="628"/>
    </row>
    <row r="17" spans="1:4" ht="20.149999999999999" customHeight="1">
      <c r="A17" s="626" t="s">
        <v>1132</v>
      </c>
      <c r="B17" s="627"/>
      <c r="C17" s="628"/>
      <c r="D17" s="628"/>
    </row>
    <row r="18" spans="1:4" ht="26">
      <c r="A18" s="626" t="s">
        <v>1133</v>
      </c>
      <c r="B18" s="627"/>
      <c r="C18" s="628"/>
      <c r="D18" s="628"/>
    </row>
    <row r="19" spans="1:4" ht="25.25" customHeight="1">
      <c r="A19" s="629" t="s">
        <v>1134</v>
      </c>
      <c r="B19" s="630">
        <v>300108253</v>
      </c>
      <c r="C19" s="631">
        <v>7546694</v>
      </c>
      <c r="D19" s="631">
        <v>38.766850623597563</v>
      </c>
    </row>
    <row r="20" spans="1:4" ht="20.149999999999999" customHeight="1">
      <c r="A20" s="626" t="s">
        <v>1135</v>
      </c>
      <c r="B20" s="627">
        <v>9061673</v>
      </c>
      <c r="C20" s="628">
        <v>27765387</v>
      </c>
      <c r="D20" s="662">
        <v>-0.67363419065615759</v>
      </c>
    </row>
    <row r="21" spans="1:4" ht="20.149999999999999" customHeight="1">
      <c r="A21" s="626" t="s">
        <v>1136</v>
      </c>
      <c r="B21" s="627"/>
      <c r="C21" s="628"/>
      <c r="D21" s="628"/>
    </row>
    <row r="22" spans="1:4" ht="20.149999999999999" customHeight="1">
      <c r="A22" s="626" t="s">
        <v>1137</v>
      </c>
      <c r="B22" s="627"/>
      <c r="C22" s="628"/>
      <c r="D22" s="628"/>
    </row>
    <row r="23" spans="1:4" ht="20.149999999999999" customHeight="1">
      <c r="A23" s="626" t="s">
        <v>1138</v>
      </c>
      <c r="B23" s="627"/>
      <c r="C23" s="628"/>
      <c r="D23" s="628"/>
    </row>
    <row r="24" spans="1:4" ht="20.149999999999999" customHeight="1">
      <c r="A24" s="626" t="s">
        <v>1515</v>
      </c>
      <c r="B24" s="627"/>
      <c r="C24" s="628"/>
      <c r="D24" s="628"/>
    </row>
    <row r="25" spans="1:4" ht="20.149999999999999" customHeight="1">
      <c r="A25" s="626" t="s">
        <v>1139</v>
      </c>
      <c r="B25" s="627">
        <v>581384</v>
      </c>
      <c r="C25" s="628">
        <v>2715539</v>
      </c>
      <c r="D25" s="662">
        <v>-0.78590475040130159</v>
      </c>
    </row>
    <row r="26" spans="1:4" ht="20.149999999999999" customHeight="1">
      <c r="A26" s="626" t="s">
        <v>1140</v>
      </c>
      <c r="B26" s="627"/>
      <c r="C26" s="628"/>
      <c r="D26" s="628"/>
    </row>
    <row r="27" spans="1:4" ht="20.149999999999999" customHeight="1">
      <c r="A27" s="626" t="s">
        <v>1141</v>
      </c>
      <c r="B27" s="627"/>
      <c r="C27" s="628"/>
      <c r="D27" s="628"/>
    </row>
    <row r="28" spans="1:4" ht="26">
      <c r="A28" s="626" t="s">
        <v>1142</v>
      </c>
      <c r="B28" s="627"/>
      <c r="C28" s="628"/>
      <c r="D28" s="628"/>
    </row>
    <row r="29" spans="1:4" ht="25.25" customHeight="1">
      <c r="A29" s="629" t="s">
        <v>1143</v>
      </c>
      <c r="B29" s="630">
        <v>9643057</v>
      </c>
      <c r="C29" s="631">
        <v>30480926</v>
      </c>
      <c r="D29" s="700">
        <v>-0.68363635015550384</v>
      </c>
    </row>
    <row r="30" spans="1:4" ht="20.149999999999999" customHeight="1">
      <c r="A30" s="626"/>
      <c r="B30" s="627"/>
      <c r="C30" s="628"/>
      <c r="D30" s="628"/>
    </row>
    <row r="31" spans="1:4" ht="25.25" customHeight="1">
      <c r="A31" s="632" t="s">
        <v>114</v>
      </c>
      <c r="B31" s="633">
        <v>-290465196</v>
      </c>
      <c r="C31" s="634">
        <v>22934232</v>
      </c>
      <c r="D31" s="701">
        <v>-13.665137249854279</v>
      </c>
    </row>
    <row r="32" spans="1:4">
      <c r="A32" s="379" t="s">
        <v>529</v>
      </c>
    </row>
    <row r="33" spans="1:1">
      <c r="A33" s="213" t="s">
        <v>743</v>
      </c>
    </row>
    <row r="34" spans="1:1">
      <c r="A34" s="213" t="s">
        <v>1144</v>
      </c>
    </row>
    <row r="35" spans="1:1">
      <c r="A35" s="212"/>
    </row>
    <row r="36" spans="1:1">
      <c r="A36" s="202" t="s">
        <v>1628</v>
      </c>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1" xr:uid="{00000000-0002-0000-31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D38"/>
  <sheetViews>
    <sheetView workbookViewId="0">
      <selection activeCell="C7" sqref="C7:C8"/>
    </sheetView>
  </sheetViews>
  <sheetFormatPr baseColWidth="10" defaultColWidth="12" defaultRowHeight="13"/>
  <cols>
    <col min="1" max="1" customWidth="true" style="202" width="45.796875" collapsed="true"/>
    <col min="2" max="2" customWidth="true" style="202" width="18.796875" collapsed="true"/>
    <col min="3" max="3" customWidth="true" style="202" width="22.3984375" collapsed="true"/>
    <col min="4" max="4" customWidth="true" style="202" width="20.69921875" collapsed="true"/>
    <col min="5" max="16384" style="202" width="12.0" collapsed="true"/>
  </cols>
  <sheetData>
    <row r="1" spans="1:4" ht="18.5">
      <c r="A1" s="856" t="s">
        <v>1145</v>
      </c>
      <c r="B1" s="856"/>
      <c r="C1" s="856"/>
      <c r="D1" s="856"/>
    </row>
    <row r="2" spans="1:4" ht="8.15" customHeight="1"/>
    <row r="3" spans="1:4" ht="12.75" customHeight="1">
      <c r="A3" s="857" t="s">
        <v>487</v>
      </c>
      <c r="B3" s="857"/>
      <c r="C3" s="202" t="s">
        <v>488</v>
      </c>
      <c r="D3" s="449">
        <f>+'Note 1'!E3</f>
        <v>44926</v>
      </c>
    </row>
    <row r="4" spans="1:4" ht="15" customHeight="1">
      <c r="A4" s="864" t="str">
        <f>+'Note 1'!A4</f>
        <v>IAMGOLD BOTO SA</v>
      </c>
      <c r="B4" s="864"/>
      <c r="C4" s="202" t="s">
        <v>489</v>
      </c>
      <c r="D4" s="860">
        <f>+'Note 1'!E4</f>
        <v>12</v>
      </c>
    </row>
    <row r="5" spans="1:4" ht="15" customHeight="1">
      <c r="A5" s="202" t="s">
        <v>490</v>
      </c>
      <c r="B5" s="450" t="str">
        <f>+'Note 1'!B5</f>
        <v>007768007</v>
      </c>
      <c r="D5" s="860"/>
    </row>
    <row r="6" spans="1:4" ht="8.15" customHeight="1"/>
    <row r="7" spans="1:4" s="218" customFormat="1" ht="25.25" customHeight="1">
      <c r="A7" s="1008" t="s">
        <v>340</v>
      </c>
      <c r="B7" s="1009" t="s">
        <v>604</v>
      </c>
      <c r="C7" s="1011" t="s">
        <v>605</v>
      </c>
      <c r="D7" s="1012" t="s">
        <v>639</v>
      </c>
    </row>
    <row r="8" spans="1:4" s="218" customFormat="1" ht="25.25" customHeight="1">
      <c r="A8" s="982"/>
      <c r="B8" s="1010"/>
      <c r="C8" s="1011"/>
      <c r="D8" s="1012"/>
    </row>
    <row r="9" spans="1:4" ht="20.149999999999999" customHeight="1">
      <c r="A9" s="626" t="s">
        <v>1146</v>
      </c>
      <c r="B9" s="627"/>
      <c r="C9" s="628"/>
      <c r="D9" s="628"/>
    </row>
    <row r="10" spans="1:4">
      <c r="A10" s="626" t="s">
        <v>1147</v>
      </c>
      <c r="B10" s="627"/>
      <c r="C10" s="628"/>
      <c r="D10" s="628"/>
    </row>
    <row r="11" spans="1:4">
      <c r="A11" s="626" t="s">
        <v>1147</v>
      </c>
      <c r="B11" s="627"/>
      <c r="C11" s="628"/>
      <c r="D11" s="628"/>
    </row>
    <row r="12" spans="1:4">
      <c r="A12" s="626" t="s">
        <v>1516</v>
      </c>
      <c r="B12" s="627"/>
      <c r="C12" s="628"/>
      <c r="D12" s="628"/>
    </row>
    <row r="13" spans="1:4">
      <c r="A13" s="626" t="s">
        <v>1517</v>
      </c>
      <c r="B13" s="627"/>
      <c r="C13" s="628"/>
      <c r="D13" s="628"/>
    </row>
    <row r="14" spans="1:4">
      <c r="A14" s="626" t="s">
        <v>1148</v>
      </c>
      <c r="B14" s="627"/>
      <c r="C14" s="628"/>
      <c r="D14" s="628"/>
    </row>
    <row r="15" spans="1:4" ht="20.149999999999999" customHeight="1">
      <c r="A15" s="626" t="s">
        <v>1149</v>
      </c>
      <c r="B15" s="627"/>
      <c r="C15" s="628"/>
      <c r="D15" s="628"/>
    </row>
    <row r="16" spans="1:4" ht="20.149999999999999" customHeight="1">
      <c r="A16" s="626" t="s">
        <v>1519</v>
      </c>
      <c r="B16" s="627"/>
      <c r="C16" s="628"/>
      <c r="D16" s="628"/>
    </row>
    <row r="17" spans="1:4" ht="26">
      <c r="A17" s="626" t="s">
        <v>1518</v>
      </c>
      <c r="B17" s="627"/>
      <c r="C17" s="628"/>
      <c r="D17" s="628"/>
    </row>
    <row r="18" spans="1:4" ht="20.149999999999999" customHeight="1">
      <c r="A18" s="626" t="s">
        <v>1150</v>
      </c>
      <c r="B18" s="627"/>
      <c r="C18" s="628"/>
      <c r="D18" s="628"/>
    </row>
    <row r="19" spans="1:4">
      <c r="A19" s="626" t="s">
        <v>1151</v>
      </c>
      <c r="B19" s="627"/>
      <c r="C19" s="628"/>
      <c r="D19" s="628"/>
    </row>
    <row r="20" spans="1:4" ht="25.25" customHeight="1">
      <c r="A20" s="629" t="s">
        <v>1152</v>
      </c>
      <c r="B20" s="630"/>
      <c r="C20" s="631"/>
      <c r="D20" s="631"/>
    </row>
    <row r="21" spans="1:4" ht="20.149999999999999" customHeight="1">
      <c r="A21" s="626" t="s">
        <v>1153</v>
      </c>
      <c r="B21" s="627"/>
      <c r="C21" s="628"/>
      <c r="D21" s="628"/>
    </row>
    <row r="22" spans="1:4" ht="20.149999999999999" customHeight="1">
      <c r="A22" s="626" t="s">
        <v>1147</v>
      </c>
      <c r="B22" s="627"/>
      <c r="C22" s="628"/>
      <c r="D22" s="628"/>
    </row>
    <row r="23" spans="1:4" ht="20.149999999999999" customHeight="1">
      <c r="A23" s="626" t="s">
        <v>1147</v>
      </c>
      <c r="B23" s="627"/>
      <c r="C23" s="628"/>
      <c r="D23" s="628"/>
    </row>
    <row r="24" spans="1:4" ht="20.149999999999999" customHeight="1">
      <c r="A24" s="626" t="s">
        <v>1523</v>
      </c>
      <c r="B24" s="627"/>
      <c r="C24" s="628"/>
      <c r="D24" s="628"/>
    </row>
    <row r="25" spans="1:4" ht="23.25" customHeight="1">
      <c r="A25" s="626" t="s">
        <v>1524</v>
      </c>
      <c r="B25" s="627"/>
      <c r="C25" s="628"/>
      <c r="D25" s="628"/>
    </row>
    <row r="26" spans="1:4" ht="20.149999999999999" customHeight="1">
      <c r="A26" s="635" t="s">
        <v>1148</v>
      </c>
      <c r="B26" s="627"/>
      <c r="C26" s="628"/>
      <c r="D26" s="628"/>
    </row>
    <row r="27" spans="1:4" ht="20.149999999999999" customHeight="1">
      <c r="A27" s="635" t="s">
        <v>1154</v>
      </c>
      <c r="B27" s="627"/>
      <c r="C27" s="628"/>
      <c r="D27" s="628"/>
    </row>
    <row r="28" spans="1:4" ht="20.149999999999999" customHeight="1">
      <c r="A28" s="626" t="s">
        <v>1522</v>
      </c>
      <c r="B28" s="627"/>
      <c r="C28" s="628"/>
      <c r="D28" s="628"/>
    </row>
    <row r="29" spans="1:4" ht="20.149999999999999" customHeight="1">
      <c r="A29" s="635" t="s">
        <v>1155</v>
      </c>
      <c r="B29" s="627"/>
      <c r="C29" s="628"/>
      <c r="D29" s="628"/>
    </row>
    <row r="30" spans="1:4" ht="26">
      <c r="A30" s="635" t="s">
        <v>1156</v>
      </c>
      <c r="B30" s="627"/>
      <c r="C30" s="628"/>
      <c r="D30" s="628"/>
    </row>
    <row r="31" spans="1:4" ht="26">
      <c r="A31" s="626" t="s">
        <v>1520</v>
      </c>
      <c r="B31" s="627"/>
      <c r="C31" s="628"/>
      <c r="D31" s="628"/>
    </row>
    <row r="32" spans="1:4" ht="20.149999999999999" customHeight="1">
      <c r="A32" s="626" t="s">
        <v>1521</v>
      </c>
      <c r="B32" s="627"/>
      <c r="C32" s="628"/>
      <c r="D32" s="628"/>
    </row>
    <row r="33" spans="1:4" ht="25.25" customHeight="1">
      <c r="A33" s="629" t="s">
        <v>1157</v>
      </c>
      <c r="B33" s="630"/>
      <c r="C33" s="631"/>
      <c r="D33" s="631"/>
    </row>
    <row r="34" spans="1:4" ht="20.149999999999999" customHeight="1">
      <c r="A34" s="626"/>
      <c r="B34" s="627"/>
      <c r="C34" s="628"/>
      <c r="D34" s="628"/>
    </row>
    <row r="35" spans="1:4" ht="25.25" customHeight="1">
      <c r="A35" s="632" t="s">
        <v>114</v>
      </c>
      <c r="B35" s="633"/>
      <c r="C35" s="634"/>
      <c r="D35" s="634"/>
    </row>
    <row r="36" spans="1:4">
      <c r="A36" s="379" t="s">
        <v>529</v>
      </c>
    </row>
    <row r="37" spans="1:4">
      <c r="A37" s="213" t="s">
        <v>743</v>
      </c>
    </row>
    <row r="38" spans="1:4">
      <c r="A38" s="21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5" xr:uid="{00000000-0002-0000-3200-000000000000}">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9"/>
    <pageSetUpPr fitToPage="1"/>
  </sheetPr>
  <dimension ref="A1:F40"/>
  <sheetViews>
    <sheetView zoomScaleNormal="100" workbookViewId="0">
      <selection activeCell="F7" sqref="F7:F8"/>
    </sheetView>
  </sheetViews>
  <sheetFormatPr baseColWidth="10" defaultColWidth="12" defaultRowHeight="13"/>
  <cols>
    <col min="1" max="1" customWidth="true" style="285" width="68.69921875" collapsed="true"/>
    <col min="2" max="6" customWidth="true" style="285" width="14.796875" collapsed="true"/>
    <col min="7" max="16384" style="285" width="12.0" collapsed="true"/>
  </cols>
  <sheetData>
    <row r="1" spans="1:6" s="202" customFormat="1" ht="34.5" customHeight="1">
      <c r="A1" s="1015" t="s">
        <v>1158</v>
      </c>
      <c r="B1" s="1015"/>
      <c r="C1" s="1015"/>
      <c r="D1" s="1015"/>
      <c r="E1" s="1015"/>
      <c r="F1" s="1015"/>
    </row>
    <row r="2" spans="1:6" s="202" customFormat="1" ht="8.15" customHeight="1"/>
    <row r="3" spans="1:6" s="202" customFormat="1" ht="12.75" customHeight="1">
      <c r="A3" s="857" t="s">
        <v>487</v>
      </c>
      <c r="B3" s="857"/>
      <c r="C3" s="857"/>
      <c r="D3" s="202" t="s">
        <v>488</v>
      </c>
      <c r="E3" s="878">
        <f>+'Note 1'!E3</f>
        <v>44926</v>
      </c>
      <c r="F3" s="892"/>
    </row>
    <row r="4" spans="1:6" s="202" customFormat="1" ht="15" customHeight="1">
      <c r="A4" s="864" t="str">
        <f>+'Note 1'!A4</f>
        <v>IAMGOLD BOTO SA</v>
      </c>
      <c r="B4" s="864"/>
      <c r="C4" s="864"/>
      <c r="D4" s="860" t="s">
        <v>489</v>
      </c>
      <c r="E4" s="893">
        <f>+'Note 1'!E4</f>
        <v>12</v>
      </c>
      <c r="F4" s="893"/>
    </row>
    <row r="5" spans="1:6" s="202" customFormat="1" ht="15" customHeight="1">
      <c r="A5" s="202" t="s">
        <v>490</v>
      </c>
      <c r="B5" s="882" t="str">
        <f>+'Note 1'!B5</f>
        <v>007768007</v>
      </c>
      <c r="C5" s="882"/>
      <c r="D5" s="860"/>
      <c r="E5" s="894"/>
      <c r="F5" s="894"/>
    </row>
    <row r="6" spans="1:6" ht="5.25" customHeight="1"/>
    <row r="7" spans="1:6" ht="17.149999999999999" customHeight="1">
      <c r="A7" s="1016" t="s">
        <v>1159</v>
      </c>
      <c r="B7" s="1013">
        <v>2022</v>
      </c>
      <c r="C7" s="1013">
        <v>2021</v>
      </c>
      <c r="D7" s="1013">
        <v>2020</v>
      </c>
      <c r="E7" s="1013">
        <v>2019</v>
      </c>
      <c r="F7" s="1013">
        <v>2018</v>
      </c>
    </row>
    <row r="8" spans="1:6" ht="17.149999999999999" customHeight="1">
      <c r="A8" s="1017"/>
      <c r="B8" s="1014"/>
      <c r="C8" s="1014"/>
      <c r="D8" s="1014"/>
      <c r="E8" s="1014"/>
      <c r="F8" s="1014"/>
    </row>
    <row r="9" spans="1:6" ht="14.5">
      <c r="A9" s="636" t="s">
        <v>1160</v>
      </c>
      <c r="B9" s="637"/>
      <c r="C9" s="637"/>
      <c r="D9" s="637"/>
      <c r="E9" s="637"/>
      <c r="F9" s="637"/>
    </row>
    <row r="10" spans="1:6">
      <c r="A10" s="638" t="s">
        <v>1161</v>
      </c>
      <c r="B10" s="639">
        <v>10000000</v>
      </c>
      <c r="C10" s="639">
        <v>10000000</v>
      </c>
      <c r="D10" s="639">
        <v>10000000</v>
      </c>
      <c r="E10" s="639">
        <v>0</v>
      </c>
      <c r="F10" s="639">
        <v>0</v>
      </c>
    </row>
    <row r="11" spans="1:6">
      <c r="A11" s="638" t="s">
        <v>1162</v>
      </c>
      <c r="B11" s="639"/>
      <c r="C11" s="639"/>
      <c r="D11" s="639"/>
      <c r="E11" s="639"/>
      <c r="F11" s="639"/>
    </row>
    <row r="12" spans="1:6">
      <c r="A12" s="638" t="s">
        <v>1163</v>
      </c>
      <c r="B12" s="639"/>
      <c r="C12" s="639"/>
      <c r="D12" s="639"/>
      <c r="E12" s="639"/>
      <c r="F12" s="639"/>
    </row>
    <row r="13" spans="1:6">
      <c r="A13" s="638" t="s">
        <v>1164</v>
      </c>
      <c r="B13" s="639"/>
      <c r="C13" s="639"/>
      <c r="D13" s="639"/>
      <c r="E13" s="639"/>
      <c r="F13" s="639"/>
    </row>
    <row r="14" spans="1:6">
      <c r="A14" s="640" t="s">
        <v>1165</v>
      </c>
      <c r="B14" s="639"/>
      <c r="C14" s="639"/>
      <c r="D14" s="639"/>
      <c r="E14" s="639"/>
      <c r="F14" s="639"/>
    </row>
    <row r="15" spans="1:6">
      <c r="A15" s="640" t="s">
        <v>1166</v>
      </c>
      <c r="B15" s="639"/>
      <c r="C15" s="639"/>
      <c r="D15" s="639"/>
      <c r="E15" s="639"/>
      <c r="F15" s="639"/>
    </row>
    <row r="16" spans="1:6" ht="14.5">
      <c r="A16" s="636" t="s">
        <v>1167</v>
      </c>
      <c r="B16" s="637"/>
      <c r="C16" s="637"/>
      <c r="D16" s="637"/>
      <c r="E16" s="637"/>
      <c r="F16" s="637"/>
    </row>
    <row r="17" spans="1:6">
      <c r="A17" s="638" t="s">
        <v>1168</v>
      </c>
      <c r="B17" s="639"/>
      <c r="C17" s="639"/>
      <c r="D17" s="639"/>
      <c r="E17" s="639"/>
      <c r="F17" s="639"/>
    </row>
    <row r="18" spans="1:6" ht="24">
      <c r="A18" s="638" t="s">
        <v>1169</v>
      </c>
      <c r="B18" s="639"/>
      <c r="C18" s="639"/>
      <c r="D18" s="639"/>
      <c r="E18" s="639"/>
      <c r="F18" s="639"/>
    </row>
    <row r="19" spans="1:6">
      <c r="A19" s="638" t="s">
        <v>1170</v>
      </c>
      <c r="B19" s="639"/>
      <c r="C19" s="639"/>
      <c r="D19" s="639"/>
      <c r="E19" s="639"/>
      <c r="F19" s="639"/>
    </row>
    <row r="20" spans="1:6">
      <c r="A20" s="638" t="s">
        <v>1171</v>
      </c>
      <c r="B20" s="639"/>
      <c r="C20" s="639"/>
      <c r="D20" s="639"/>
      <c r="E20" s="639"/>
      <c r="F20" s="639"/>
    </row>
    <row r="21" spans="1:6" ht="13.5">
      <c r="A21" s="638" t="s">
        <v>1172</v>
      </c>
      <c r="B21" s="639"/>
      <c r="C21" s="639"/>
      <c r="D21" s="639"/>
      <c r="E21" s="639"/>
      <c r="F21" s="639"/>
    </row>
    <row r="22" spans="1:6">
      <c r="A22" s="636" t="s">
        <v>1173</v>
      </c>
      <c r="B22" s="637"/>
      <c r="C22" s="637"/>
      <c r="D22" s="637"/>
      <c r="E22" s="637"/>
      <c r="F22" s="637"/>
    </row>
    <row r="23" spans="1:6" ht="14.5">
      <c r="A23" s="641" t="s">
        <v>1174</v>
      </c>
      <c r="B23" s="639"/>
      <c r="C23" s="639"/>
      <c r="D23" s="639"/>
      <c r="E23" s="639"/>
      <c r="F23" s="639"/>
    </row>
    <row r="24" spans="1:6">
      <c r="A24" s="641" t="s">
        <v>1175</v>
      </c>
      <c r="B24" s="639"/>
      <c r="C24" s="639"/>
      <c r="D24" s="639"/>
      <c r="E24" s="639"/>
      <c r="F24" s="639"/>
    </row>
    <row r="25" spans="1:6">
      <c r="A25" s="636" t="s">
        <v>1176</v>
      </c>
      <c r="B25" s="637"/>
      <c r="C25" s="637"/>
      <c r="D25" s="637"/>
      <c r="E25" s="637"/>
      <c r="F25" s="637"/>
    </row>
    <row r="26" spans="1:6" ht="14.5">
      <c r="A26" s="641" t="s">
        <v>1177</v>
      </c>
      <c r="B26" s="639">
        <v>56</v>
      </c>
      <c r="C26" s="639">
        <v>53</v>
      </c>
      <c r="D26" s="639">
        <v>33</v>
      </c>
      <c r="E26" s="639"/>
      <c r="F26" s="639"/>
    </row>
    <row r="27" spans="1:6">
      <c r="A27" s="641" t="s">
        <v>1178</v>
      </c>
      <c r="B27" s="639"/>
      <c r="C27" s="639"/>
      <c r="D27" s="639"/>
      <c r="E27" s="639"/>
      <c r="F27" s="639"/>
    </row>
    <row r="28" spans="1:6" ht="14.5">
      <c r="A28" s="641" t="s">
        <v>1179</v>
      </c>
      <c r="B28" s="639">
        <v>906669885</v>
      </c>
      <c r="C28" s="639">
        <v>1170732402</v>
      </c>
      <c r="D28" s="639">
        <v>397343606</v>
      </c>
      <c r="E28" s="639"/>
      <c r="F28" s="639"/>
    </row>
    <row r="29" spans="1:6" ht="27.5">
      <c r="A29" s="641" t="s">
        <v>1180</v>
      </c>
      <c r="B29" s="639">
        <v>179427666</v>
      </c>
      <c r="C29" s="639">
        <v>257599203</v>
      </c>
      <c r="D29" s="639">
        <v>20347342</v>
      </c>
      <c r="E29" s="639"/>
      <c r="F29" s="639"/>
    </row>
    <row r="30" spans="1:6" ht="14.5">
      <c r="A30" s="641" t="s">
        <v>1181</v>
      </c>
      <c r="B30" s="639">
        <v>52563290</v>
      </c>
      <c r="C30" s="639">
        <v>14497587</v>
      </c>
      <c r="D30" s="639">
        <v>0</v>
      </c>
      <c r="E30" s="639"/>
      <c r="F30" s="639"/>
    </row>
    <row r="31" spans="1:6" ht="6" customHeight="1">
      <c r="A31" s="642"/>
      <c r="B31" s="287"/>
      <c r="C31" s="287"/>
      <c r="D31" s="287"/>
      <c r="E31" s="287"/>
      <c r="F31" s="643"/>
    </row>
    <row r="32" spans="1:6" ht="8.15" customHeight="1">
      <c r="A32" s="644" t="s">
        <v>1182</v>
      </c>
      <c r="B32" s="645"/>
      <c r="C32" s="644" t="s">
        <v>1183</v>
      </c>
      <c r="D32" s="646"/>
      <c r="E32" s="646"/>
      <c r="F32" s="645"/>
    </row>
    <row r="33" spans="1:6" ht="8.15" customHeight="1">
      <c r="A33" s="644" t="s">
        <v>1184</v>
      </c>
      <c r="B33" s="645"/>
      <c r="C33" s="644" t="s">
        <v>1185</v>
      </c>
      <c r="D33" s="646"/>
      <c r="E33" s="646"/>
      <c r="F33" s="645"/>
    </row>
    <row r="34" spans="1:6" ht="8.15" customHeight="1">
      <c r="A34" s="644" t="s">
        <v>1186</v>
      </c>
      <c r="B34" s="645"/>
      <c r="C34" s="644" t="s">
        <v>1187</v>
      </c>
      <c r="D34" s="646"/>
      <c r="E34" s="646"/>
      <c r="F34" s="645"/>
    </row>
    <row r="35" spans="1:6" ht="8.15" customHeight="1">
      <c r="A35" s="644" t="s">
        <v>1188</v>
      </c>
      <c r="B35" s="645"/>
      <c r="C35" s="644" t="s">
        <v>1189</v>
      </c>
      <c r="D35" s="646"/>
      <c r="E35" s="646"/>
      <c r="F35" s="645"/>
    </row>
    <row r="36" spans="1:6" ht="8.15" customHeight="1">
      <c r="A36" s="644" t="s">
        <v>1190</v>
      </c>
      <c r="B36" s="645"/>
      <c r="C36" s="647"/>
      <c r="D36" s="646"/>
      <c r="E36" s="646"/>
      <c r="F36" s="645"/>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300-00000000000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9"/>
    <pageSetUpPr fitToPage="1"/>
  </sheetPr>
  <dimension ref="A1:N26"/>
  <sheetViews>
    <sheetView zoomScaleNormal="100" workbookViewId="0">
      <selection activeCell="I37" sqref="I37"/>
    </sheetView>
  </sheetViews>
  <sheetFormatPr baseColWidth="10" defaultColWidth="12" defaultRowHeight="13"/>
  <cols>
    <col min="1" max="1" customWidth="true" style="285" width="32.3984375" collapsed="true"/>
    <col min="2" max="2" customWidth="true" style="285" width="11.296875" collapsed="true"/>
    <col min="3" max="3" customWidth="true" style="285" width="10.19921875" collapsed="true"/>
    <col min="4" max="4" customWidth="true" style="285" width="16.69921875" collapsed="true"/>
    <col min="5" max="14" customWidth="true" style="285" width="10.19921875" collapsed="true"/>
    <col min="15" max="16384" style="285" width="12.0" collapsed="true"/>
  </cols>
  <sheetData>
    <row r="1" spans="1:14" s="202" customFormat="1" ht="18.75" customHeight="1">
      <c r="A1" s="1015" t="s">
        <v>1191</v>
      </c>
      <c r="B1" s="1015"/>
      <c r="C1" s="1015"/>
      <c r="D1" s="1015"/>
      <c r="E1" s="1015"/>
      <c r="F1" s="1015"/>
      <c r="G1" s="1015"/>
      <c r="H1" s="1015"/>
      <c r="I1" s="1015"/>
      <c r="J1" s="1015"/>
      <c r="K1" s="1015"/>
      <c r="L1" s="1015"/>
      <c r="M1" s="1015"/>
      <c r="N1" s="1015"/>
    </row>
    <row r="2" spans="1:14" s="202" customFormat="1" ht="8.15" customHeight="1"/>
    <row r="3" spans="1:14" s="202" customFormat="1" ht="12.75" customHeight="1">
      <c r="A3" s="857" t="s">
        <v>487</v>
      </c>
      <c r="B3" s="857"/>
      <c r="C3" s="857"/>
      <c r="K3" s="217" t="s">
        <v>488</v>
      </c>
      <c r="L3" s="878">
        <f>+'Note 1'!E3</f>
        <v>44926</v>
      </c>
      <c r="M3" s="892"/>
    </row>
    <row r="4" spans="1:14" s="202" customFormat="1" ht="15" customHeight="1">
      <c r="A4" s="864" t="str">
        <f>+'Note 1'!A4</f>
        <v>IAMGOLD BOTO SA</v>
      </c>
      <c r="B4" s="864"/>
      <c r="C4" s="864"/>
      <c r="K4" s="879" t="s">
        <v>489</v>
      </c>
      <c r="L4" s="893">
        <f>+'Note 1'!E4</f>
        <v>12</v>
      </c>
      <c r="M4" s="893"/>
    </row>
    <row r="5" spans="1:14" s="202" customFormat="1" ht="15" customHeight="1">
      <c r="A5" s="202" t="s">
        <v>490</v>
      </c>
      <c r="B5" s="882" t="str">
        <f>+'Note 1'!B5</f>
        <v>007768007</v>
      </c>
      <c r="C5" s="882"/>
      <c r="K5" s="879"/>
      <c r="L5" s="894"/>
      <c r="M5" s="894"/>
    </row>
    <row r="6" spans="1:14" ht="5.25" customHeight="1"/>
    <row r="7" spans="1:14" ht="35.15" customHeight="1">
      <c r="A7" s="1028" t="s">
        <v>1192</v>
      </c>
      <c r="B7" s="1030" t="s">
        <v>1193</v>
      </c>
      <c r="C7" s="1018" t="s">
        <v>1194</v>
      </c>
      <c r="D7" s="1019"/>
      <c r="E7" s="1018" t="s">
        <v>1195</v>
      </c>
      <c r="F7" s="1019"/>
      <c r="G7" s="1018" t="s">
        <v>1196</v>
      </c>
      <c r="H7" s="1019"/>
      <c r="I7" s="1018" t="s">
        <v>1197</v>
      </c>
      <c r="J7" s="1019"/>
      <c r="K7" s="1018" t="s">
        <v>1198</v>
      </c>
      <c r="L7" s="1019"/>
      <c r="M7" s="1018" t="s">
        <v>1199</v>
      </c>
      <c r="N7" s="1019"/>
    </row>
    <row r="8" spans="1:14">
      <c r="A8" s="1029"/>
      <c r="B8" s="1031"/>
      <c r="C8" s="288" t="s">
        <v>1200</v>
      </c>
      <c r="D8" s="288" t="s">
        <v>1201</v>
      </c>
      <c r="E8" s="288" t="s">
        <v>1200</v>
      </c>
      <c r="F8" s="288" t="s">
        <v>1201</v>
      </c>
      <c r="G8" s="288" t="s">
        <v>1200</v>
      </c>
      <c r="H8" s="288" t="s">
        <v>1201</v>
      </c>
      <c r="I8" s="288" t="s">
        <v>1200</v>
      </c>
      <c r="J8" s="288" t="s">
        <v>1201</v>
      </c>
      <c r="K8" s="288" t="s">
        <v>1200</v>
      </c>
      <c r="L8" s="288" t="s">
        <v>1201</v>
      </c>
      <c r="M8" s="288" t="s">
        <v>1200</v>
      </c>
      <c r="N8" s="288" t="s">
        <v>1201</v>
      </c>
    </row>
    <row r="9" spans="1:14" ht="21">
      <c r="A9" s="648" t="s">
        <v>1629</v>
      </c>
      <c r="B9" s="649">
        <v>0</v>
      </c>
      <c r="C9" s="649">
        <v>0</v>
      </c>
      <c r="D9" s="649">
        <v>0</v>
      </c>
      <c r="E9" s="649">
        <v>0</v>
      </c>
      <c r="F9" s="649">
        <v>0</v>
      </c>
      <c r="G9" s="649"/>
      <c r="H9" s="649">
        <v>0</v>
      </c>
      <c r="I9" s="649"/>
      <c r="J9" s="649">
        <v>9236283675</v>
      </c>
      <c r="K9" s="649"/>
      <c r="L9" s="649"/>
      <c r="M9" s="649"/>
      <c r="N9" s="649"/>
    </row>
    <row r="10" spans="1:14">
      <c r="A10" s="648"/>
      <c r="B10" s="649"/>
      <c r="C10" s="649"/>
      <c r="D10" s="649"/>
      <c r="E10" s="649"/>
      <c r="F10" s="649"/>
      <c r="G10" s="649"/>
      <c r="H10" s="649"/>
      <c r="I10" s="649"/>
      <c r="J10" s="649"/>
      <c r="K10" s="649"/>
      <c r="L10" s="649"/>
      <c r="M10" s="649"/>
      <c r="N10" s="649"/>
    </row>
    <row r="11" spans="1:14">
      <c r="A11" s="648"/>
      <c r="B11" s="649"/>
      <c r="C11" s="649"/>
      <c r="D11" s="649"/>
      <c r="E11" s="649"/>
      <c r="F11" s="649"/>
      <c r="G11" s="649"/>
      <c r="H11" s="649"/>
      <c r="I11" s="649"/>
      <c r="J11" s="649"/>
      <c r="K11" s="649"/>
      <c r="L11" s="649"/>
      <c r="M11" s="649"/>
      <c r="N11" s="649"/>
    </row>
    <row r="12" spans="1:14">
      <c r="A12" s="648"/>
      <c r="B12" s="649"/>
      <c r="C12" s="649"/>
      <c r="D12" s="649"/>
      <c r="E12" s="649"/>
      <c r="F12" s="649"/>
      <c r="G12" s="649"/>
      <c r="H12" s="649"/>
      <c r="I12" s="649"/>
      <c r="J12" s="649"/>
      <c r="K12" s="649"/>
      <c r="L12" s="649"/>
      <c r="M12" s="649"/>
      <c r="N12" s="649"/>
    </row>
    <row r="13" spans="1:14">
      <c r="A13" s="650"/>
      <c r="B13" s="649"/>
      <c r="C13" s="649"/>
      <c r="D13" s="649"/>
      <c r="E13" s="649"/>
      <c r="F13" s="649"/>
      <c r="G13" s="649"/>
      <c r="H13" s="649"/>
      <c r="I13" s="649"/>
      <c r="J13" s="649"/>
      <c r="K13" s="649"/>
      <c r="L13" s="649"/>
      <c r="M13" s="649"/>
      <c r="N13" s="649"/>
    </row>
    <row r="14" spans="1:14">
      <c r="A14" s="650"/>
      <c r="B14" s="649"/>
      <c r="C14" s="649"/>
      <c r="D14" s="649"/>
      <c r="E14" s="649"/>
      <c r="F14" s="649"/>
      <c r="G14" s="649"/>
      <c r="H14" s="649"/>
      <c r="I14" s="649"/>
      <c r="J14" s="649"/>
      <c r="K14" s="649"/>
      <c r="L14" s="649"/>
      <c r="M14" s="649"/>
      <c r="N14" s="649"/>
    </row>
    <row r="15" spans="1:14">
      <c r="A15" s="648"/>
      <c r="B15" s="649"/>
      <c r="C15" s="649"/>
      <c r="D15" s="649"/>
      <c r="E15" s="649"/>
      <c r="F15" s="649"/>
      <c r="G15" s="649"/>
      <c r="H15" s="649"/>
      <c r="I15" s="649"/>
      <c r="J15" s="649"/>
      <c r="K15" s="649"/>
      <c r="L15" s="649"/>
      <c r="M15" s="649"/>
      <c r="N15" s="649"/>
    </row>
    <row r="16" spans="1:14">
      <c r="A16" s="648"/>
      <c r="B16" s="649"/>
      <c r="C16" s="649"/>
      <c r="D16" s="649"/>
      <c r="E16" s="649"/>
      <c r="F16" s="649"/>
      <c r="G16" s="649"/>
      <c r="H16" s="649"/>
      <c r="I16" s="649"/>
      <c r="J16" s="649"/>
      <c r="K16" s="649"/>
      <c r="L16" s="649"/>
      <c r="M16" s="649"/>
      <c r="N16" s="649"/>
    </row>
    <row r="17" spans="1:14">
      <c r="A17" s="648"/>
      <c r="B17" s="649"/>
      <c r="C17" s="649"/>
      <c r="D17" s="649"/>
      <c r="E17" s="649"/>
      <c r="F17" s="649"/>
      <c r="G17" s="649"/>
      <c r="H17" s="649"/>
      <c r="I17" s="649"/>
      <c r="J17" s="649"/>
      <c r="K17" s="649"/>
      <c r="L17" s="649"/>
      <c r="M17" s="649"/>
      <c r="N17" s="649"/>
    </row>
    <row r="18" spans="1:14">
      <c r="A18" s="648"/>
      <c r="B18" s="649"/>
      <c r="C18" s="649"/>
      <c r="D18" s="649"/>
      <c r="E18" s="649"/>
      <c r="F18" s="649"/>
      <c r="G18" s="649"/>
      <c r="H18" s="649"/>
      <c r="I18" s="649"/>
      <c r="J18" s="649"/>
      <c r="K18" s="649"/>
      <c r="L18" s="649"/>
      <c r="M18" s="649"/>
      <c r="N18" s="649"/>
    </row>
    <row r="19" spans="1:14">
      <c r="A19" s="648"/>
      <c r="B19" s="649"/>
      <c r="C19" s="649"/>
      <c r="D19" s="649"/>
      <c r="E19" s="649"/>
      <c r="F19" s="649"/>
      <c r="G19" s="649"/>
      <c r="H19" s="649"/>
      <c r="I19" s="649"/>
      <c r="J19" s="649"/>
      <c r="K19" s="649"/>
      <c r="L19" s="649"/>
      <c r="M19" s="649"/>
      <c r="N19" s="649"/>
    </row>
    <row r="20" spans="1:14">
      <c r="A20" s="648"/>
      <c r="B20" s="649"/>
      <c r="C20" s="649"/>
      <c r="D20" s="649"/>
      <c r="E20" s="649"/>
      <c r="F20" s="649"/>
      <c r="G20" s="649"/>
      <c r="H20" s="649"/>
      <c r="I20" s="649"/>
      <c r="J20" s="649"/>
      <c r="K20" s="649"/>
      <c r="L20" s="649"/>
      <c r="M20" s="649"/>
      <c r="N20" s="649"/>
    </row>
    <row r="21" spans="1:14">
      <c r="A21" s="648"/>
      <c r="B21" s="649"/>
      <c r="C21" s="649"/>
      <c r="D21" s="649"/>
      <c r="E21" s="649"/>
      <c r="F21" s="649"/>
      <c r="G21" s="649"/>
      <c r="H21" s="649"/>
      <c r="I21" s="649"/>
      <c r="J21" s="649"/>
      <c r="K21" s="649"/>
      <c r="L21" s="649"/>
      <c r="M21" s="649"/>
      <c r="N21" s="649"/>
    </row>
    <row r="22" spans="1:14">
      <c r="A22" s="648"/>
      <c r="B22" s="649"/>
      <c r="C22" s="649"/>
      <c r="D22" s="649"/>
      <c r="E22" s="649"/>
      <c r="F22" s="649"/>
      <c r="G22" s="649"/>
      <c r="H22" s="649"/>
      <c r="I22" s="649"/>
      <c r="J22" s="649"/>
      <c r="K22" s="649"/>
      <c r="L22" s="649"/>
      <c r="M22" s="649"/>
      <c r="N22" s="649"/>
    </row>
    <row r="23" spans="1:14">
      <c r="A23" s="1020" t="s">
        <v>1202</v>
      </c>
      <c r="B23" s="1022"/>
      <c r="C23" s="649"/>
      <c r="D23" s="649"/>
      <c r="E23" s="649"/>
      <c r="F23" s="649"/>
      <c r="G23" s="649"/>
      <c r="H23" s="649"/>
      <c r="I23" s="649"/>
      <c r="J23" s="649"/>
      <c r="K23" s="649"/>
      <c r="L23" s="649"/>
      <c r="M23" s="649"/>
      <c r="N23" s="649"/>
    </row>
    <row r="24" spans="1:14">
      <c r="A24" s="1021"/>
      <c r="B24" s="1023"/>
      <c r="C24" s="649"/>
      <c r="D24" s="649"/>
      <c r="E24" s="649"/>
      <c r="F24" s="649"/>
      <c r="G24" s="649"/>
      <c r="H24" s="649"/>
      <c r="I24" s="649"/>
      <c r="J24" s="649"/>
      <c r="K24" s="649"/>
      <c r="L24" s="649"/>
      <c r="M24" s="649"/>
      <c r="N24" s="649"/>
    </row>
    <row r="25" spans="1:14">
      <c r="A25" s="1024" t="s">
        <v>114</v>
      </c>
      <c r="B25" s="1026"/>
      <c r="C25" s="651"/>
      <c r="D25" s="651"/>
      <c r="E25" s="651"/>
      <c r="F25" s="651"/>
      <c r="G25" s="651"/>
      <c r="H25" s="651"/>
      <c r="I25" s="651"/>
      <c r="J25" s="651"/>
      <c r="K25" s="651"/>
      <c r="L25" s="651"/>
      <c r="M25" s="651"/>
      <c r="N25" s="651"/>
    </row>
    <row r="26" spans="1:14">
      <c r="A26" s="1025"/>
      <c r="B26" s="1027"/>
      <c r="C26" s="651"/>
      <c r="D26" s="651"/>
      <c r="E26" s="651"/>
      <c r="F26" s="651"/>
      <c r="G26" s="651"/>
      <c r="H26" s="651"/>
      <c r="I26" s="651"/>
      <c r="J26" s="651"/>
      <c r="K26" s="651"/>
      <c r="L26" s="651"/>
      <c r="M26" s="651"/>
      <c r="N26" s="651"/>
    </row>
  </sheetData>
  <sheetProtection sheet="false"/>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xr:uid="{00000000-0002-0000-34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400-000001000000}">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I28"/>
  <sheetViews>
    <sheetView zoomScaleNormal="100" workbookViewId="0">
      <selection activeCell="M14" sqref="M14"/>
    </sheetView>
  </sheetViews>
  <sheetFormatPr baseColWidth="10" defaultColWidth="12" defaultRowHeight="13"/>
  <cols>
    <col min="1" max="1" customWidth="true" style="285" width="32.3984375" collapsed="true"/>
    <col min="2" max="2" customWidth="true" style="285" width="13.69921875" collapsed="true"/>
    <col min="3" max="8" customWidth="true" style="285" width="10.19921875" collapsed="true"/>
    <col min="9" max="9" customWidth="true" style="285" width="13.69921875" collapsed="true"/>
    <col min="10" max="16384" style="285" width="12.0" collapsed="true"/>
  </cols>
  <sheetData>
    <row r="1" spans="1:9" s="202" customFormat="1" ht="18.75" customHeight="1">
      <c r="A1" s="1015" t="s">
        <v>1203</v>
      </c>
      <c r="B1" s="1015"/>
      <c r="C1" s="1015"/>
      <c r="D1" s="1015"/>
      <c r="E1" s="1015"/>
      <c r="F1" s="1015"/>
      <c r="G1" s="1015"/>
      <c r="H1" s="1015"/>
      <c r="I1" s="1015"/>
    </row>
    <row r="2" spans="1:9" s="202" customFormat="1" ht="8.15" customHeight="1"/>
    <row r="3" spans="1:9" s="202" customFormat="1" ht="12.75" customHeight="1">
      <c r="A3" s="857" t="s">
        <v>487</v>
      </c>
      <c r="B3" s="857"/>
      <c r="C3" s="857"/>
      <c r="G3" s="214" t="s">
        <v>488</v>
      </c>
      <c r="H3" s="878">
        <f>+'Note 1'!E3</f>
        <v>44926</v>
      </c>
      <c r="I3" s="892"/>
    </row>
    <row r="4" spans="1:9" s="202" customFormat="1" ht="15" customHeight="1">
      <c r="A4" s="864" t="str">
        <f>+'Note 1'!A4</f>
        <v>IAMGOLD BOTO SA</v>
      </c>
      <c r="B4" s="864"/>
      <c r="C4" s="864"/>
      <c r="G4" s="879" t="s">
        <v>489</v>
      </c>
      <c r="H4" s="893">
        <f>+'Note 1'!E4</f>
        <v>12</v>
      </c>
      <c r="I4" s="893"/>
    </row>
    <row r="5" spans="1:9" s="202" customFormat="1" ht="15" customHeight="1">
      <c r="A5" s="202" t="s">
        <v>490</v>
      </c>
      <c r="B5" s="882" t="str">
        <f>+'Note 1'!B5</f>
        <v>007768007</v>
      </c>
      <c r="C5" s="882"/>
      <c r="G5" s="879"/>
      <c r="H5" s="894"/>
      <c r="I5" s="894"/>
    </row>
    <row r="6" spans="1:9" ht="5.25" customHeight="1"/>
    <row r="7" spans="1:9">
      <c r="A7" s="1032" t="s">
        <v>1204</v>
      </c>
      <c r="B7" s="1032" t="s">
        <v>1193</v>
      </c>
      <c r="C7" s="1035" t="s">
        <v>1205</v>
      </c>
      <c r="D7" s="1036"/>
      <c r="E7" s="1036"/>
      <c r="F7" s="1036"/>
      <c r="G7" s="1036"/>
      <c r="H7" s="1037"/>
      <c r="I7" s="1038" t="s">
        <v>1206</v>
      </c>
    </row>
    <row r="8" spans="1:9">
      <c r="A8" s="1033"/>
      <c r="B8" s="1033"/>
      <c r="C8" s="1041" t="s">
        <v>1207</v>
      </c>
      <c r="D8" s="1042"/>
      <c r="E8" s="1035" t="s">
        <v>1208</v>
      </c>
      <c r="F8" s="1036"/>
      <c r="G8" s="1036"/>
      <c r="H8" s="1037"/>
      <c r="I8" s="1039"/>
    </row>
    <row r="9" spans="1:9" ht="23.25" customHeight="1">
      <c r="A9" s="1033"/>
      <c r="B9" s="1033"/>
      <c r="C9" s="1043"/>
      <c r="D9" s="1044"/>
      <c r="E9" s="1045" t="s">
        <v>1209</v>
      </c>
      <c r="F9" s="1046"/>
      <c r="G9" s="1047" t="s">
        <v>1210</v>
      </c>
      <c r="H9" s="1048"/>
      <c r="I9" s="1040"/>
    </row>
    <row r="10" spans="1:9">
      <c r="A10" s="1034"/>
      <c r="B10" s="1034"/>
      <c r="C10" s="288" t="s">
        <v>1200</v>
      </c>
      <c r="D10" s="288" t="s">
        <v>1201</v>
      </c>
      <c r="E10" s="288" t="s">
        <v>1200</v>
      </c>
      <c r="F10" s="288" t="s">
        <v>1201</v>
      </c>
      <c r="G10" s="288" t="s">
        <v>1200</v>
      </c>
      <c r="H10" s="288" t="s">
        <v>1201</v>
      </c>
      <c r="I10" s="288" t="s">
        <v>1201</v>
      </c>
    </row>
    <row r="11" spans="1:9">
      <c r="A11" s="648"/>
      <c r="B11" s="649"/>
      <c r="C11" s="649"/>
      <c r="D11" s="649"/>
      <c r="E11" s="649"/>
      <c r="F11" s="649"/>
      <c r="G11" s="649"/>
      <c r="H11" s="649"/>
      <c r="I11" s="649"/>
    </row>
    <row r="12" spans="1:9">
      <c r="A12" s="648"/>
      <c r="B12" s="649"/>
      <c r="C12" s="649"/>
      <c r="D12" s="649"/>
      <c r="E12" s="649"/>
      <c r="F12" s="649"/>
      <c r="G12" s="649"/>
      <c r="H12" s="649"/>
      <c r="I12" s="649"/>
    </row>
    <row r="13" spans="1:9">
      <c r="A13" s="648"/>
      <c r="B13" s="649"/>
      <c r="C13" s="649"/>
      <c r="D13" s="649"/>
      <c r="E13" s="649"/>
      <c r="F13" s="649"/>
      <c r="G13" s="649"/>
      <c r="H13" s="649"/>
      <c r="I13" s="649"/>
    </row>
    <row r="14" spans="1:9">
      <c r="A14" s="648"/>
      <c r="B14" s="649"/>
      <c r="C14" s="649"/>
      <c r="D14" s="649"/>
      <c r="E14" s="649"/>
      <c r="F14" s="649"/>
      <c r="G14" s="649"/>
      <c r="H14" s="649"/>
      <c r="I14" s="649"/>
    </row>
    <row r="15" spans="1:9">
      <c r="A15" s="650"/>
      <c r="B15" s="649"/>
      <c r="C15" s="649"/>
      <c r="D15" s="649"/>
      <c r="E15" s="649"/>
      <c r="F15" s="649"/>
      <c r="G15" s="649"/>
      <c r="H15" s="649"/>
      <c r="I15" s="649"/>
    </row>
    <row r="16" spans="1:9">
      <c r="A16" s="650"/>
      <c r="B16" s="649"/>
      <c r="C16" s="649"/>
      <c r="D16" s="649"/>
      <c r="E16" s="649"/>
      <c r="F16" s="649"/>
      <c r="G16" s="649"/>
      <c r="H16" s="649"/>
      <c r="I16" s="649"/>
    </row>
    <row r="17" spans="1:9">
      <c r="A17" s="648"/>
      <c r="B17" s="649"/>
      <c r="C17" s="649"/>
      <c r="D17" s="649"/>
      <c r="E17" s="649"/>
      <c r="F17" s="649"/>
      <c r="G17" s="649"/>
      <c r="H17" s="649"/>
      <c r="I17" s="649"/>
    </row>
    <row r="18" spans="1:9">
      <c r="A18" s="648"/>
      <c r="B18" s="649"/>
      <c r="C18" s="649"/>
      <c r="D18" s="649"/>
      <c r="E18" s="649"/>
      <c r="F18" s="649"/>
      <c r="G18" s="649"/>
      <c r="H18" s="649"/>
      <c r="I18" s="649"/>
    </row>
    <row r="19" spans="1:9">
      <c r="A19" s="648"/>
      <c r="B19" s="649"/>
      <c r="C19" s="649"/>
      <c r="D19" s="649"/>
      <c r="E19" s="649"/>
      <c r="F19" s="649"/>
      <c r="G19" s="649"/>
      <c r="H19" s="649"/>
      <c r="I19" s="649"/>
    </row>
    <row r="20" spans="1:9">
      <c r="A20" s="648"/>
      <c r="B20" s="649"/>
      <c r="C20" s="649"/>
      <c r="D20" s="649"/>
      <c r="E20" s="649"/>
      <c r="F20" s="649"/>
      <c r="G20" s="649"/>
      <c r="H20" s="649"/>
      <c r="I20" s="649"/>
    </row>
    <row r="21" spans="1:9">
      <c r="A21" s="648"/>
      <c r="B21" s="649"/>
      <c r="C21" s="649"/>
      <c r="D21" s="649"/>
      <c r="E21" s="649"/>
      <c r="F21" s="649"/>
      <c r="G21" s="649"/>
      <c r="H21" s="649"/>
      <c r="I21" s="649"/>
    </row>
    <row r="22" spans="1:9">
      <c r="A22" s="648"/>
      <c r="B22" s="649"/>
      <c r="C22" s="649"/>
      <c r="D22" s="649"/>
      <c r="E22" s="649"/>
      <c r="F22" s="649"/>
      <c r="G22" s="649"/>
      <c r="H22" s="649"/>
      <c r="I22" s="649"/>
    </row>
    <row r="23" spans="1:9">
      <c r="A23" s="648"/>
      <c r="B23" s="649"/>
      <c r="C23" s="649"/>
      <c r="D23" s="649"/>
      <c r="E23" s="649"/>
      <c r="F23" s="649"/>
      <c r="G23" s="649"/>
      <c r="H23" s="649"/>
      <c r="I23" s="649"/>
    </row>
    <row r="24" spans="1:9">
      <c r="A24" s="648"/>
      <c r="B24" s="649"/>
      <c r="C24" s="649"/>
      <c r="D24" s="649"/>
      <c r="E24" s="649"/>
      <c r="F24" s="649"/>
      <c r="G24" s="649"/>
      <c r="H24" s="649"/>
      <c r="I24" s="649"/>
    </row>
    <row r="25" spans="1:9">
      <c r="A25" s="1020" t="s">
        <v>1211</v>
      </c>
      <c r="B25" s="1022"/>
      <c r="C25" s="649"/>
      <c r="D25" s="649"/>
      <c r="E25" s="649"/>
      <c r="F25" s="649"/>
      <c r="G25" s="649"/>
      <c r="H25" s="649"/>
      <c r="I25" s="649"/>
    </row>
    <row r="26" spans="1:9">
      <c r="A26" s="1021"/>
      <c r="B26" s="1023"/>
      <c r="C26" s="649"/>
      <c r="D26" s="649"/>
      <c r="E26" s="649"/>
      <c r="F26" s="649"/>
      <c r="G26" s="649"/>
      <c r="H26" s="649"/>
      <c r="I26" s="649"/>
    </row>
    <row r="27" spans="1:9">
      <c r="A27" s="1024" t="s">
        <v>114</v>
      </c>
      <c r="B27" s="1026"/>
      <c r="C27" s="651"/>
      <c r="D27" s="651"/>
      <c r="E27" s="651"/>
      <c r="F27" s="651"/>
      <c r="G27" s="651"/>
      <c r="H27" s="651"/>
      <c r="I27" s="651"/>
    </row>
    <row r="28" spans="1:9">
      <c r="A28" s="1025"/>
      <c r="B28" s="1027"/>
      <c r="C28" s="651"/>
      <c r="D28" s="651"/>
      <c r="E28" s="651"/>
      <c r="F28" s="651"/>
      <c r="G28" s="651"/>
      <c r="H28" s="651"/>
      <c r="I28" s="651"/>
    </row>
  </sheetData>
  <sheetProtection sheet="false"/>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5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9"/>
    <pageSetUpPr fitToPage="1"/>
  </sheetPr>
  <dimension ref="A1:F66"/>
  <sheetViews>
    <sheetView zoomScaleNormal="100" workbookViewId="0">
      <selection activeCell="B43" sqref="B43"/>
    </sheetView>
  </sheetViews>
  <sheetFormatPr baseColWidth="10" defaultColWidth="12" defaultRowHeight="13"/>
  <cols>
    <col min="1" max="1" customWidth="true" style="202" width="76.69921875" collapsed="true"/>
    <col min="2" max="3" customWidth="true" style="419" width="21.796875" collapsed="true"/>
    <col min="4" max="4" customWidth="true" style="202" width="14.796875" collapsed="true"/>
    <col min="5" max="5" style="202" width="12.0" collapsed="true"/>
    <col min="6" max="6" style="219" width="12.0" collapsed="true"/>
    <col min="7" max="16384" style="202" width="12.0" collapsed="true"/>
  </cols>
  <sheetData>
    <row r="1" spans="1:6" ht="21" customHeight="1">
      <c r="A1" s="856" t="s">
        <v>1212</v>
      </c>
      <c r="B1" s="856"/>
      <c r="C1" s="856"/>
      <c r="D1" s="856"/>
    </row>
    <row r="2" spans="1:6" ht="8.15" customHeight="1"/>
    <row r="3" spans="1:6" ht="12.75" customHeight="1">
      <c r="A3" s="218" t="s">
        <v>487</v>
      </c>
      <c r="B3" s="420" t="s">
        <v>488</v>
      </c>
      <c r="C3" s="878">
        <f>+'Note 1'!E3</f>
        <v>44926</v>
      </c>
      <c r="D3" s="892"/>
    </row>
    <row r="4" spans="1:6" ht="15" customHeight="1">
      <c r="A4" s="451" t="str">
        <f>+'Note 1'!A4</f>
        <v>IAMGOLD BOTO SA</v>
      </c>
      <c r="B4" s="429"/>
      <c r="C4" s="421" t="s">
        <v>489</v>
      </c>
      <c r="D4" s="289">
        <f>+'Note 1'!E4</f>
        <v>12</v>
      </c>
      <c r="F4" s="221"/>
    </row>
    <row r="5" spans="1:6" ht="15" customHeight="1">
      <c r="A5" s="202" t="s">
        <v>490</v>
      </c>
      <c r="B5" s="1052" t="str">
        <f>+'Note 1'!B5</f>
        <v>007768007</v>
      </c>
      <c r="C5" s="1052"/>
      <c r="D5" s="430"/>
      <c r="F5" s="221"/>
    </row>
    <row r="6" spans="1:6" ht="8.15" customHeight="1"/>
    <row r="7" spans="1:6" s="218" customFormat="1" ht="25.25" customHeight="1">
      <c r="A7" s="652" t="s">
        <v>1213</v>
      </c>
      <c r="B7" s="653" t="s">
        <v>1592</v>
      </c>
      <c r="C7" s="654" t="s">
        <v>1593</v>
      </c>
      <c r="D7" s="655" t="s">
        <v>639</v>
      </c>
      <c r="F7" s="222"/>
    </row>
    <row r="8" spans="1:6" s="218" customFormat="1" ht="20.149999999999999" customHeight="1">
      <c r="A8" s="1053" t="s">
        <v>1214</v>
      </c>
      <c r="B8" s="1054"/>
      <c r="C8" s="1054"/>
      <c r="D8" s="1055"/>
      <c r="F8" s="222"/>
    </row>
    <row r="9" spans="1:6" s="218" customFormat="1" ht="25.25" customHeight="1">
      <c r="A9" s="656" t="s">
        <v>1215</v>
      </c>
      <c r="B9" s="657"/>
      <c r="C9" s="658"/>
      <c r="D9" s="659"/>
      <c r="F9" s="222"/>
    </row>
    <row r="10" spans="1:6">
      <c r="A10" s="626" t="s">
        <v>1216</v>
      </c>
      <c r="B10" s="660"/>
      <c r="C10" s="661"/>
      <c r="D10" s="662"/>
    </row>
    <row r="11" spans="1:6">
      <c r="A11" s="626" t="s">
        <v>1217</v>
      </c>
      <c r="B11" s="660"/>
      <c r="C11" s="661"/>
      <c r="D11" s="662"/>
    </row>
    <row r="12" spans="1:6">
      <c r="A12" s="626" t="s">
        <v>1218</v>
      </c>
      <c r="B12" s="660">
        <v>4473578827</v>
      </c>
      <c r="C12" s="661">
        <v>1553988040</v>
      </c>
      <c r="D12" s="662">
        <v>1.8787730097330737</v>
      </c>
    </row>
    <row r="13" spans="1:6">
      <c r="A13" s="626" t="s">
        <v>1219</v>
      </c>
      <c r="B13" s="660">
        <v>3334917986</v>
      </c>
      <c r="C13" s="661">
        <v>119241248</v>
      </c>
      <c r="D13" s="662">
        <v>26.967821889955395</v>
      </c>
    </row>
    <row r="14" spans="1:6">
      <c r="A14" s="626" t="s">
        <v>1220</v>
      </c>
      <c r="B14" s="660"/>
      <c r="C14" s="661"/>
      <c r="D14" s="662"/>
    </row>
    <row r="15" spans="1:6">
      <c r="A15" s="626" t="s">
        <v>1221</v>
      </c>
      <c r="B15" s="660">
        <v>-3160263618</v>
      </c>
      <c r="C15" s="661">
        <v>22934232</v>
      </c>
      <c r="D15" s="662">
        <v>-138.79679293381179</v>
      </c>
    </row>
    <row r="16" spans="1:6">
      <c r="A16" s="626" t="s">
        <v>1222</v>
      </c>
      <c r="B16" s="660"/>
      <c r="C16" s="661"/>
      <c r="D16" s="662"/>
    </row>
    <row r="17" spans="1:4">
      <c r="A17" s="626" t="s">
        <v>1223</v>
      </c>
      <c r="B17" s="660"/>
      <c r="C17" s="661"/>
      <c r="D17" s="662"/>
    </row>
    <row r="18" spans="1:4">
      <c r="A18" s="626" t="s">
        <v>1224</v>
      </c>
      <c r="B18" s="660"/>
      <c r="C18" s="661"/>
      <c r="D18" s="662"/>
    </row>
    <row r="19" spans="1:4" ht="20.149999999999999" customHeight="1">
      <c r="A19" s="629" t="s">
        <v>1225</v>
      </c>
      <c r="B19" s="663"/>
      <c r="C19" s="664"/>
      <c r="D19" s="631"/>
    </row>
    <row r="20" spans="1:4" ht="20.149999999999999" customHeight="1">
      <c r="A20" s="635" t="s">
        <v>1226</v>
      </c>
      <c r="B20" s="660">
        <v>3334917986</v>
      </c>
      <c r="C20" s="661">
        <v>119241248</v>
      </c>
      <c r="D20" s="247"/>
    </row>
    <row r="21" spans="1:4">
      <c r="A21" s="665" t="s">
        <v>1227</v>
      </c>
      <c r="B21" s="660"/>
      <c r="C21" s="661"/>
      <c r="D21" s="247"/>
    </row>
    <row r="22" spans="1:4">
      <c r="A22" s="665" t="s">
        <v>1228</v>
      </c>
      <c r="B22" s="660"/>
      <c r="C22" s="661"/>
      <c r="D22" s="247"/>
    </row>
    <row r="23" spans="1:4" ht="20.149999999999999" customHeight="1">
      <c r="A23" s="666" t="s">
        <v>1229</v>
      </c>
      <c r="B23" s="663">
        <v>3334917986</v>
      </c>
      <c r="C23" s="663">
        <v>119241248</v>
      </c>
      <c r="D23" s="247"/>
    </row>
    <row r="24" spans="1:4">
      <c r="A24" s="665" t="s">
        <v>1230</v>
      </c>
      <c r="B24" s="660">
        <v>9061673</v>
      </c>
      <c r="C24" s="661">
        <v>27765387</v>
      </c>
      <c r="D24" s="247"/>
    </row>
    <row r="25" spans="1:4">
      <c r="A25" s="665" t="s">
        <v>1231</v>
      </c>
      <c r="B25" s="660">
        <v>581384</v>
      </c>
      <c r="C25" s="661">
        <v>2715539</v>
      </c>
      <c r="D25" s="247"/>
    </row>
    <row r="26" spans="1:4">
      <c r="A26" s="665" t="s">
        <v>1232</v>
      </c>
      <c r="B26" s="660"/>
      <c r="C26" s="661"/>
      <c r="D26" s="247"/>
    </row>
    <row r="27" spans="1:4">
      <c r="A27" s="665" t="s">
        <v>1233</v>
      </c>
      <c r="B27" s="660"/>
      <c r="C27" s="661"/>
      <c r="D27" s="247"/>
    </row>
    <row r="28" spans="1:4">
      <c r="A28" s="665" t="s">
        <v>1234</v>
      </c>
      <c r="B28" s="660"/>
      <c r="C28" s="661"/>
      <c r="D28" s="247"/>
    </row>
    <row r="29" spans="1:4">
      <c r="A29" s="665" t="s">
        <v>1235</v>
      </c>
      <c r="B29" s="660"/>
      <c r="C29" s="661"/>
      <c r="D29" s="247"/>
    </row>
    <row r="30" spans="1:4">
      <c r="A30" s="665" t="s">
        <v>1236</v>
      </c>
      <c r="B30" s="660">
        <v>300108253</v>
      </c>
      <c r="C30" s="661">
        <v>7546694</v>
      </c>
      <c r="D30" s="247"/>
    </row>
    <row r="31" spans="1:4">
      <c r="A31" s="665" t="s">
        <v>1525</v>
      </c>
      <c r="B31" s="660"/>
      <c r="C31" s="661"/>
      <c r="D31" s="247"/>
    </row>
    <row r="32" spans="1:4">
      <c r="A32" s="665" t="s">
        <v>1237</v>
      </c>
      <c r="B32" s="660"/>
      <c r="C32" s="661"/>
      <c r="D32" s="247"/>
    </row>
    <row r="33" spans="1:6">
      <c r="A33" s="665" t="s">
        <v>1238</v>
      </c>
      <c r="B33" s="667"/>
      <c r="C33" s="667"/>
      <c r="D33" s="247"/>
    </row>
    <row r="34" spans="1:6" ht="20.149999999999999" customHeight="1">
      <c r="A34" s="666" t="s">
        <v>1239</v>
      </c>
      <c r="B34" s="663">
        <v>3044452790</v>
      </c>
      <c r="C34" s="663">
        <v>142175480</v>
      </c>
      <c r="D34" s="668">
        <v>20.413346309785627</v>
      </c>
    </row>
    <row r="35" spans="1:6">
      <c r="A35" s="669" t="s">
        <v>1240</v>
      </c>
      <c r="B35" s="660"/>
      <c r="C35" s="661"/>
      <c r="D35" s="670"/>
    </row>
    <row r="36" spans="1:6" ht="20.149999999999999" customHeight="1">
      <c r="A36" s="666" t="s">
        <v>1241</v>
      </c>
      <c r="B36" s="663"/>
      <c r="C36" s="663"/>
      <c r="D36" s="668"/>
    </row>
    <row r="37" spans="1:6" s="218" customFormat="1" ht="20.149999999999999" customHeight="1">
      <c r="A37" s="1049" t="s">
        <v>1242</v>
      </c>
      <c r="B37" s="1050"/>
      <c r="C37" s="1050"/>
      <c r="D37" s="1051"/>
      <c r="F37" s="222"/>
    </row>
    <row r="38" spans="1:6" ht="32.15" customHeight="1">
      <c r="A38" s="626"/>
      <c r="B38" s="671">
        <v>3.5576299027016284E-2</v>
      </c>
      <c r="C38" s="670">
        <v>-8.1479680807935832E-4</v>
      </c>
      <c r="D38" s="670">
        <v>-44.66278644472952</v>
      </c>
    </row>
    <row r="39" spans="1:6" ht="32.15" customHeight="1">
      <c r="A39" s="626"/>
      <c r="B39" s="671"/>
      <c r="C39" s="670"/>
      <c r="D39" s="670"/>
    </row>
    <row r="40" spans="1:6" s="218" customFormat="1" ht="20.149999999999999" customHeight="1">
      <c r="A40" s="1049" t="s">
        <v>1243</v>
      </c>
      <c r="B40" s="1050"/>
      <c r="C40" s="1050"/>
      <c r="D40" s="1051"/>
      <c r="F40" s="222"/>
    </row>
    <row r="41" spans="1:6">
      <c r="A41" s="672" t="s">
        <v>1244</v>
      </c>
      <c r="B41" s="660">
        <v>10000000</v>
      </c>
      <c r="C41" s="661">
        <v>10000000</v>
      </c>
      <c r="D41" s="670">
        <v>0</v>
      </c>
    </row>
    <row r="42" spans="1:6">
      <c r="A42" s="665" t="s">
        <v>1245</v>
      </c>
      <c r="B42" s="660">
        <v>85950791168</v>
      </c>
      <c r="C42" s="661">
        <v>28137179484</v>
      </c>
      <c r="D42" s="670">
        <v>2.0547052954215004</v>
      </c>
    </row>
    <row r="43" spans="1:6">
      <c r="A43" s="669" t="s">
        <v>1246</v>
      </c>
      <c r="B43" s="660">
        <v>85960791168</v>
      </c>
      <c r="C43" s="660">
        <v>28147179484</v>
      </c>
      <c r="D43" s="670">
        <v>2.0539753092086404</v>
      </c>
    </row>
    <row r="44" spans="1:6">
      <c r="A44" s="669" t="s">
        <v>1247</v>
      </c>
      <c r="B44" s="667">
        <v>86258096072</v>
      </c>
      <c r="C44" s="667">
        <v>32629354813</v>
      </c>
      <c r="D44" s="670">
        <v>1.643573449930231</v>
      </c>
    </row>
    <row r="45" spans="1:6" ht="20.149999999999999" customHeight="1">
      <c r="A45" s="666" t="s">
        <v>1248</v>
      </c>
      <c r="B45" s="673">
        <f>+B43-B44</f>
        <v>-297304904</v>
      </c>
      <c r="C45" s="673">
        <f>+C43-C44</f>
        <v>-4482175329</v>
      </c>
      <c r="D45" s="668">
        <v>-0.93366950594805709</v>
      </c>
    </row>
    <row r="46" spans="1:6">
      <c r="A46" s="672" t="s">
        <v>1249</v>
      </c>
      <c r="B46" s="667">
        <v>132243338</v>
      </c>
      <c r="C46" s="667">
        <v>141553660</v>
      </c>
      <c r="D46" s="670">
        <v>-6.5772386245611741E-2</v>
      </c>
    </row>
    <row r="47" spans="1:6">
      <c r="A47" s="665" t="s">
        <v>1250</v>
      </c>
      <c r="B47" s="667">
        <v>1244227850</v>
      </c>
      <c r="C47" s="667">
        <v>6301672860</v>
      </c>
      <c r="D47" s="670">
        <v>-0.80255594385139184</v>
      </c>
    </row>
    <row r="48" spans="1:6">
      <c r="A48" s="669" t="s">
        <v>1251</v>
      </c>
      <c r="B48" s="667">
        <v>-1111984512</v>
      </c>
      <c r="C48" s="667">
        <v>-6160119200</v>
      </c>
      <c r="D48" s="670">
        <v>-0.81948652681915635</v>
      </c>
    </row>
    <row r="49" spans="1:6">
      <c r="A49" s="672" t="s">
        <v>1252</v>
      </c>
      <c r="B49" s="660"/>
      <c r="C49" s="660"/>
      <c r="D49" s="675"/>
    </row>
    <row r="50" spans="1:6">
      <c r="A50" s="665" t="s">
        <v>1253</v>
      </c>
      <c r="B50" s="660"/>
      <c r="C50" s="660"/>
      <c r="D50" s="675"/>
    </row>
    <row r="51" spans="1:6">
      <c r="A51" s="669" t="s">
        <v>1254</v>
      </c>
      <c r="B51" s="660"/>
      <c r="C51" s="660"/>
      <c r="D51" s="675"/>
    </row>
    <row r="52" spans="1:6" ht="20.149999999999999" customHeight="1">
      <c r="A52" s="666" t="s">
        <v>1255</v>
      </c>
      <c r="B52" s="673">
        <v>-1111984512</v>
      </c>
      <c r="C52" s="673">
        <v>-6160119200</v>
      </c>
      <c r="D52" s="674">
        <v>-0.81948652681915635</v>
      </c>
    </row>
    <row r="53" spans="1:6">
      <c r="A53" s="626"/>
      <c r="B53" s="660"/>
      <c r="C53" s="661"/>
      <c r="D53" s="675"/>
    </row>
    <row r="54" spans="1:6" ht="20.149999999999999" customHeight="1">
      <c r="A54" s="666" t="s">
        <v>1256</v>
      </c>
      <c r="B54" s="663">
        <f>+B45-B52</f>
        <v>814679608</v>
      </c>
      <c r="C54" s="663">
        <f>+C45-C52</f>
        <v>1677943871</v>
      </c>
      <c r="D54" s="674"/>
    </row>
    <row r="55" spans="1:6">
      <c r="A55" s="626" t="s">
        <v>1257</v>
      </c>
      <c r="B55" s="660"/>
      <c r="C55" s="661"/>
      <c r="D55" s="675"/>
    </row>
    <row r="56" spans="1:6" s="218" customFormat="1" ht="20.149999999999999" customHeight="1">
      <c r="A56" s="1049" t="s">
        <v>1258</v>
      </c>
      <c r="B56" s="1050"/>
      <c r="C56" s="1050"/>
      <c r="D56" s="1051"/>
      <c r="F56" s="222"/>
    </row>
    <row r="57" spans="1:6">
      <c r="A57" s="676" t="s">
        <v>1259</v>
      </c>
      <c r="B57" s="667">
        <v>-2055361843</v>
      </c>
      <c r="C57" s="667">
        <v>1105540303</v>
      </c>
      <c r="D57" s="670">
        <v>-2.8591469143391328</v>
      </c>
    </row>
    <row r="58" spans="1:6">
      <c r="A58" s="669" t="s">
        <v>1260</v>
      </c>
      <c r="B58" s="667">
        <v>-53792087147</v>
      </c>
      <c r="C58" s="667">
        <v>-20499282084</v>
      </c>
      <c r="D58" s="675">
        <v>1.6240961476882909</v>
      </c>
    </row>
    <row r="59" spans="1:6">
      <c r="A59" s="669" t="s">
        <v>1261</v>
      </c>
      <c r="B59" s="660">
        <v>57802303204</v>
      </c>
      <c r="C59" s="661">
        <v>18967705746</v>
      </c>
      <c r="D59" s="675">
        <v>2.0474061532818553</v>
      </c>
    </row>
    <row r="60" spans="1:6" ht="20.149999999999999" customHeight="1">
      <c r="A60" s="666" t="s">
        <v>1262</v>
      </c>
      <c r="B60" s="673">
        <v>1954854214</v>
      </c>
      <c r="C60" s="673">
        <v>-426036035</v>
      </c>
      <c r="D60" s="674"/>
    </row>
    <row r="61" spans="1:6" s="218" customFormat="1" ht="20.149999999999999" customHeight="1">
      <c r="A61" s="1049" t="s">
        <v>1263</v>
      </c>
      <c r="B61" s="1050"/>
      <c r="C61" s="1050"/>
      <c r="D61" s="1051"/>
      <c r="F61" s="222"/>
    </row>
    <row r="62" spans="1:6">
      <c r="A62" s="635" t="s">
        <v>1264</v>
      </c>
      <c r="B62" s="667">
        <v>88820589590</v>
      </c>
      <c r="C62" s="667">
        <v>28137179484</v>
      </c>
      <c r="D62" s="670">
        <v>2.1566984047035409</v>
      </c>
    </row>
    <row r="63" spans="1:6" ht="25.25" customHeight="1">
      <c r="A63" s="677" t="s">
        <v>1265</v>
      </c>
      <c r="B63" s="678">
        <v>88005909982</v>
      </c>
      <c r="C63" s="678">
        <v>26459235613</v>
      </c>
      <c r="D63" s="679">
        <v>2.3260941952064851</v>
      </c>
    </row>
    <row r="64" spans="1:6">
      <c r="A64" s="290" t="s">
        <v>1266</v>
      </c>
    </row>
    <row r="65" spans="1:1">
      <c r="A65" s="290" t="s">
        <v>1267</v>
      </c>
    </row>
    <row r="66" spans="1:1">
      <c r="A66" s="237" t="s">
        <v>1268</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54:C55 B38:C39 B62:C63 B9:D19" xr:uid="{00000000-0002-0000-36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600-000001000000}">
      <formula1>0</formula1>
    </dataValidation>
    <dataValidation type="whole" operator="notEqual" allowBlank="1" showInputMessage="1" showErrorMessage="1" sqref="B41:C52" xr:uid="{00000000-0002-0000-36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600-000003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F25"/>
  <sheetViews>
    <sheetView zoomScaleNormal="100" workbookViewId="0">
      <selection activeCell="B29" sqref="B29"/>
    </sheetView>
  </sheetViews>
  <sheetFormatPr baseColWidth="10" defaultColWidth="10.69921875" defaultRowHeight="13"/>
  <cols>
    <col min="1" max="1" customWidth="true" style="291" width="102.19921875" collapsed="true"/>
    <col min="2" max="16384" style="291" width="10.69921875" collapsed="true"/>
  </cols>
  <sheetData>
    <row r="1" spans="1:6" ht="37" customHeight="1">
      <c r="A1" s="1065" t="s">
        <v>1269</v>
      </c>
      <c r="B1" s="1066"/>
      <c r="C1" s="1066"/>
      <c r="D1" s="1066"/>
    </row>
    <row r="2" spans="1:6" s="293" customFormat="1">
      <c r="A2" s="292"/>
    </row>
    <row r="3" spans="1:6" s="202" customFormat="1" ht="12.75" customHeight="1">
      <c r="A3" s="218" t="s">
        <v>487</v>
      </c>
      <c r="B3" s="879" t="s">
        <v>488</v>
      </c>
      <c r="C3" s="1067">
        <f>+'Note 1'!E3</f>
        <v>44926</v>
      </c>
      <c r="D3" s="1067"/>
    </row>
    <row r="4" spans="1:6" s="202" customFormat="1" ht="15" customHeight="1">
      <c r="A4" s="431" t="str">
        <f>+'Note 1'!A4</f>
        <v>IAMGOLD BOTO SA</v>
      </c>
      <c r="B4" s="879"/>
      <c r="C4" s="1067"/>
      <c r="D4" s="1067"/>
    </row>
    <row r="5" spans="1:6" s="202" customFormat="1" ht="15" customHeight="1">
      <c r="A5" s="202" t="s">
        <v>490</v>
      </c>
      <c r="B5" s="879" t="s">
        <v>489</v>
      </c>
      <c r="C5" s="880">
        <f>+'Note 1'!E4</f>
        <v>12</v>
      </c>
      <c r="D5" s="221"/>
    </row>
    <row r="6" spans="1:6" s="202" customFormat="1" ht="15" customHeight="1">
      <c r="A6" s="294" t="str">
        <f>+'Note 1'!B5</f>
        <v>007768007</v>
      </c>
      <c r="B6" s="1068"/>
      <c r="C6" s="1069"/>
      <c r="D6" s="445"/>
      <c r="E6" s="295"/>
      <c r="F6" s="295"/>
    </row>
    <row r="7" spans="1:6" s="293" customFormat="1">
      <c r="A7" s="202"/>
    </row>
    <row r="8" spans="1:6" s="293" customFormat="1">
      <c r="A8" s="681" t="s">
        <v>1270</v>
      </c>
    </row>
    <row r="9" spans="1:6">
      <c r="A9" s="682" t="s">
        <v>1271</v>
      </c>
      <c r="B9" s="683"/>
      <c r="C9" s="683"/>
      <c r="D9" s="684"/>
    </row>
    <row r="10" spans="1:6">
      <c r="A10" s="1062" t="s">
        <v>1272</v>
      </c>
      <c r="B10" s="1063"/>
      <c r="C10" s="1063"/>
      <c r="D10" s="1064"/>
    </row>
    <row r="11" spans="1:6" ht="52" customHeight="1">
      <c r="A11" s="1056" t="s">
        <v>1273</v>
      </c>
      <c r="B11" s="1057"/>
      <c r="C11" s="1057"/>
      <c r="D11" s="1058"/>
    </row>
    <row r="12" spans="1:6" ht="39" customHeight="1">
      <c r="A12" s="1056" t="s">
        <v>1274</v>
      </c>
      <c r="B12" s="1057"/>
      <c r="C12" s="1057"/>
      <c r="D12" s="1058"/>
    </row>
    <row r="13" spans="1:6" ht="52" customHeight="1">
      <c r="A13" s="1056" t="s">
        <v>1275</v>
      </c>
      <c r="B13" s="1057"/>
      <c r="C13" s="1057"/>
      <c r="D13" s="1058"/>
    </row>
    <row r="14" spans="1:6" ht="39" customHeight="1">
      <c r="A14" s="1056" t="s">
        <v>1276</v>
      </c>
      <c r="B14" s="1057"/>
      <c r="C14" s="1057"/>
      <c r="D14" s="1058"/>
    </row>
    <row r="15" spans="1:6" ht="39" customHeight="1">
      <c r="A15" s="1056" t="s">
        <v>1277</v>
      </c>
      <c r="B15" s="1057"/>
      <c r="C15" s="1057"/>
      <c r="D15" s="1058"/>
    </row>
    <row r="16" spans="1:6">
      <c r="A16" s="1062" t="s">
        <v>1278</v>
      </c>
      <c r="B16" s="1063"/>
      <c r="C16" s="1063"/>
      <c r="D16" s="1064"/>
    </row>
    <row r="17" spans="1:4" ht="78" customHeight="1">
      <c r="A17" s="1056" t="s">
        <v>1279</v>
      </c>
      <c r="B17" s="1057"/>
      <c r="C17" s="1057"/>
      <c r="D17" s="1058"/>
    </row>
    <row r="18" spans="1:4" ht="65" customHeight="1">
      <c r="A18" s="1056" t="s">
        <v>1280</v>
      </c>
      <c r="B18" s="1057"/>
      <c r="C18" s="1057"/>
      <c r="D18" s="1058"/>
    </row>
    <row r="19" spans="1:4" ht="78" customHeight="1">
      <c r="A19" s="1056" t="s">
        <v>1281</v>
      </c>
      <c r="B19" s="1057"/>
      <c r="C19" s="1057"/>
      <c r="D19" s="1058"/>
    </row>
    <row r="20" spans="1:4" ht="26" customHeight="1">
      <c r="A20" s="1056" t="s">
        <v>1282</v>
      </c>
      <c r="B20" s="1057"/>
      <c r="C20" s="1057"/>
      <c r="D20" s="1058"/>
    </row>
    <row r="21" spans="1:4" ht="26" customHeight="1">
      <c r="A21" s="1056" t="s">
        <v>1283</v>
      </c>
      <c r="B21" s="1057"/>
      <c r="C21" s="1057"/>
      <c r="D21" s="1058"/>
    </row>
    <row r="22" spans="1:4">
      <c r="A22" s="685" t="s">
        <v>1284</v>
      </c>
      <c r="B22" s="680"/>
      <c r="C22" s="680"/>
      <c r="D22" s="686"/>
    </row>
    <row r="23" spans="1:4" ht="39" customHeight="1">
      <c r="A23" s="1056" t="s">
        <v>1285</v>
      </c>
      <c r="B23" s="1057"/>
      <c r="C23" s="1057"/>
      <c r="D23" s="1058"/>
    </row>
    <row r="24" spans="1:4" ht="52" customHeight="1">
      <c r="A24" s="1056" t="s">
        <v>1286</v>
      </c>
      <c r="B24" s="1057"/>
      <c r="C24" s="1057"/>
      <c r="D24" s="1058"/>
    </row>
    <row r="25" spans="1:4" ht="26" customHeight="1">
      <c r="A25" s="1059" t="s">
        <v>1287</v>
      </c>
      <c r="B25" s="1060"/>
      <c r="C25" s="1060"/>
      <c r="D25" s="1061"/>
    </row>
  </sheetData>
  <sheetProtection sheet="false"/>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L59"/>
  <sheetViews>
    <sheetView workbookViewId="0">
      <selection activeCell="A42" sqref="A42"/>
    </sheetView>
  </sheetViews>
  <sheetFormatPr baseColWidth="10" defaultColWidth="12" defaultRowHeight="13"/>
  <cols>
    <col min="1" max="1" customWidth="true" style="285" width="35.3984375" collapsed="true"/>
    <col min="2" max="7" customWidth="true" style="285" width="2.796875" collapsed="true"/>
    <col min="8" max="8" bestFit="true" customWidth="true" style="285" width="31.0" collapsed="true"/>
    <col min="9" max="14" customWidth="true" style="285" width="2.796875" collapsed="true"/>
    <col min="15" max="16384" style="285" width="12.0" collapsed="true"/>
  </cols>
  <sheetData>
    <row r="1" spans="1:14" ht="18.75" customHeight="1">
      <c r="A1" s="1065" t="s">
        <v>1288</v>
      </c>
      <c r="B1" s="1066"/>
      <c r="C1" s="1066"/>
      <c r="D1" s="1066"/>
      <c r="E1" s="1066"/>
      <c r="F1" s="1066"/>
      <c r="G1" s="1066"/>
      <c r="H1" s="1066"/>
      <c r="I1" s="1066"/>
      <c r="J1" s="1066"/>
      <c r="K1" s="1066"/>
      <c r="L1" s="1066"/>
      <c r="M1" s="1066"/>
      <c r="N1" s="1066"/>
    </row>
    <row r="4" spans="1:14">
      <c r="H4" s="286"/>
      <c r="I4" s="286"/>
      <c r="J4" s="286"/>
      <c r="K4" s="286"/>
      <c r="L4" s="286"/>
      <c r="M4" s="286"/>
    </row>
    <row r="5" spans="1:14">
      <c r="A5" s="296"/>
      <c r="B5" s="297"/>
      <c r="C5" s="297"/>
      <c r="D5" s="297"/>
      <c r="E5" s="297"/>
      <c r="F5" s="297"/>
      <c r="G5" s="298"/>
      <c r="H5" s="296"/>
      <c r="I5" s="297"/>
      <c r="J5" s="297"/>
      <c r="K5" s="297"/>
      <c r="L5" s="297"/>
      <c r="M5" s="299"/>
      <c r="N5" s="298"/>
    </row>
    <row r="6" spans="1:14" ht="14.5">
      <c r="A6" s="1070" t="s">
        <v>1289</v>
      </c>
      <c r="B6" s="1071"/>
      <c r="C6" s="1071"/>
      <c r="D6" s="1071"/>
      <c r="E6" s="1071"/>
      <c r="F6" s="1071"/>
      <c r="G6" s="1072"/>
      <c r="H6" s="1070" t="s">
        <v>1290</v>
      </c>
      <c r="I6" s="1071"/>
      <c r="J6" s="1071"/>
      <c r="K6" s="1071"/>
      <c r="L6" s="1071"/>
      <c r="M6" s="1071"/>
      <c r="N6" s="1072"/>
    </row>
    <row r="7" spans="1:14">
      <c r="A7" s="300"/>
      <c r="B7" s="286"/>
      <c r="C7" s="286"/>
      <c r="D7" s="286"/>
      <c r="E7" s="286"/>
      <c r="F7" s="286"/>
      <c r="G7" s="301"/>
      <c r="H7" s="300"/>
      <c r="I7" s="286"/>
      <c r="J7" s="286"/>
      <c r="K7" s="286"/>
      <c r="L7" s="286"/>
      <c r="M7" s="286"/>
      <c r="N7" s="301"/>
    </row>
    <row r="8" spans="1:14">
      <c r="A8" s="302" t="s">
        <v>1291</v>
      </c>
      <c r="B8" s="286"/>
      <c r="C8" s="457">
        <v>0</v>
      </c>
      <c r="D8" s="457"/>
      <c r="E8" s="286"/>
      <c r="F8" s="457">
        <v>0</v>
      </c>
      <c r="G8" s="301"/>
      <c r="H8" s="302" t="s">
        <v>1292</v>
      </c>
      <c r="I8" s="286"/>
      <c r="J8" s="286"/>
      <c r="K8" s="457"/>
      <c r="L8" s="286"/>
      <c r="M8" s="286"/>
      <c r="N8" s="301"/>
    </row>
    <row r="9" spans="1:14">
      <c r="A9" s="302"/>
      <c r="B9" s="286"/>
      <c r="C9" s="286"/>
      <c r="D9" s="286"/>
      <c r="E9" s="286"/>
      <c r="F9" s="286"/>
      <c r="G9" s="301"/>
      <c r="H9" s="302"/>
      <c r="I9" s="286"/>
      <c r="J9" s="286"/>
      <c r="K9" s="286"/>
      <c r="L9" s="286"/>
      <c r="M9" s="286"/>
      <c r="N9" s="301"/>
    </row>
    <row r="10" spans="1:14">
      <c r="A10" s="302" t="s">
        <v>1293</v>
      </c>
      <c r="B10" s="286"/>
      <c r="C10" s="457">
        <v>0</v>
      </c>
      <c r="D10" s="457"/>
      <c r="E10" s="286"/>
      <c r="F10" s="457">
        <v>1</v>
      </c>
      <c r="G10" s="301"/>
      <c r="H10" s="302" t="s">
        <v>1294</v>
      </c>
      <c r="I10" s="286"/>
      <c r="J10" s="457">
        <v>2</v>
      </c>
      <c r="K10" s="457"/>
      <c r="L10" s="286"/>
      <c r="M10" s="457">
        <v>1</v>
      </c>
      <c r="N10" s="301"/>
    </row>
    <row r="11" spans="1:14">
      <c r="A11" s="302"/>
      <c r="B11" s="286"/>
      <c r="C11" s="286"/>
      <c r="D11" s="286"/>
      <c r="E11" s="286"/>
      <c r="F11" s="286"/>
      <c r="G11" s="301"/>
      <c r="H11" s="302"/>
      <c r="I11" s="286"/>
      <c r="J11" s="286"/>
      <c r="K11" s="286"/>
      <c r="L11" s="286"/>
      <c r="M11" s="286"/>
      <c r="N11" s="301"/>
    </row>
    <row r="12" spans="1:14">
      <c r="A12" s="302" t="s">
        <v>1295</v>
      </c>
      <c r="B12" s="286"/>
      <c r="C12" s="457">
        <v>0</v>
      </c>
      <c r="D12" s="457"/>
      <c r="E12" s="286"/>
      <c r="F12" s="457">
        <v>2</v>
      </c>
      <c r="G12" s="301"/>
      <c r="H12" s="302" t="s">
        <v>1296</v>
      </c>
      <c r="I12" s="286"/>
      <c r="J12" s="457">
        <v>2</v>
      </c>
      <c r="K12" s="457"/>
      <c r="L12" s="286"/>
      <c r="M12" s="457">
        <v>3</v>
      </c>
      <c r="N12" s="301"/>
    </row>
    <row r="13" spans="1:14">
      <c r="A13" s="302"/>
      <c r="B13" s="286"/>
      <c r="C13" s="286"/>
      <c r="D13" s="286"/>
      <c r="E13" s="286"/>
      <c r="F13" s="286"/>
      <c r="G13" s="301"/>
      <c r="H13" s="302"/>
      <c r="I13" s="286"/>
      <c r="J13" s="286"/>
      <c r="K13" s="286"/>
      <c r="L13" s="286"/>
      <c r="M13" s="286"/>
      <c r="N13" s="301"/>
    </row>
    <row r="14" spans="1:14">
      <c r="A14" s="302" t="s">
        <v>1297</v>
      </c>
      <c r="B14" s="286"/>
      <c r="C14" s="457">
        <v>0</v>
      </c>
      <c r="D14" s="457"/>
      <c r="E14" s="286"/>
      <c r="F14" s="457">
        <v>3</v>
      </c>
      <c r="G14" s="301"/>
      <c r="H14" s="302" t="s">
        <v>1298</v>
      </c>
      <c r="I14" s="286"/>
      <c r="J14" s="457">
        <v>3</v>
      </c>
      <c r="K14" s="457"/>
      <c r="L14" s="286"/>
      <c r="M14" s="457">
        <v>9</v>
      </c>
      <c r="N14" s="301"/>
    </row>
    <row r="15" spans="1:14">
      <c r="A15" s="302"/>
      <c r="B15" s="286"/>
      <c r="C15" s="286"/>
      <c r="D15" s="286"/>
      <c r="E15" s="286"/>
      <c r="F15" s="286"/>
      <c r="G15" s="301"/>
      <c r="H15" s="302"/>
      <c r="I15" s="286"/>
      <c r="J15" s="286"/>
      <c r="K15" s="286"/>
      <c r="L15" s="286"/>
      <c r="M15" s="286"/>
      <c r="N15" s="301"/>
    </row>
    <row r="16" spans="1:14">
      <c r="A16" s="302" t="s">
        <v>1299</v>
      </c>
      <c r="B16" s="286"/>
      <c r="C16" s="457">
        <v>0</v>
      </c>
      <c r="D16" s="457"/>
      <c r="E16" s="286"/>
      <c r="F16" s="457">
        <v>4</v>
      </c>
      <c r="G16" s="301"/>
      <c r="H16" s="302" t="s">
        <v>1300</v>
      </c>
      <c r="I16" s="286"/>
      <c r="J16" s="457">
        <v>4</v>
      </c>
      <c r="K16" s="457"/>
      <c r="L16" s="286"/>
      <c r="M16" s="457">
        <v>0</v>
      </c>
      <c r="N16" s="301"/>
    </row>
    <row r="17" spans="1:14">
      <c r="A17" s="302"/>
      <c r="B17" s="286"/>
      <c r="C17" s="286"/>
      <c r="D17" s="286"/>
      <c r="E17" s="286"/>
      <c r="F17" s="286"/>
      <c r="G17" s="301"/>
      <c r="H17" s="302"/>
      <c r="I17" s="286"/>
      <c r="J17" s="286"/>
      <c r="K17" s="286"/>
      <c r="L17" s="286"/>
      <c r="M17" s="286"/>
      <c r="N17" s="301"/>
    </row>
    <row r="18" spans="1:14">
      <c r="A18" s="302" t="s">
        <v>1301</v>
      </c>
      <c r="B18" s="286"/>
      <c r="C18" s="457">
        <v>0</v>
      </c>
      <c r="D18" s="457"/>
      <c r="E18" s="286"/>
      <c r="F18" s="457">
        <v>5</v>
      </c>
      <c r="G18" s="301"/>
      <c r="H18" s="302" t="s">
        <v>1302</v>
      </c>
      <c r="I18" s="286"/>
      <c r="J18" s="457">
        <v>4</v>
      </c>
      <c r="K18" s="457"/>
      <c r="L18" s="286"/>
      <c r="M18" s="457">
        <v>1</v>
      </c>
      <c r="N18" s="301"/>
    </row>
    <row r="19" spans="1:14">
      <c r="A19" s="302"/>
      <c r="B19" s="286"/>
      <c r="C19" s="286"/>
      <c r="D19" s="286"/>
      <c r="E19" s="286"/>
      <c r="F19" s="286"/>
      <c r="G19" s="301"/>
      <c r="H19" s="302"/>
      <c r="I19" s="286"/>
      <c r="J19" s="286"/>
      <c r="K19" s="286"/>
      <c r="L19" s="286"/>
      <c r="M19" s="286"/>
      <c r="N19" s="301"/>
    </row>
    <row r="20" spans="1:14">
      <c r="A20" s="302" t="s">
        <v>1303</v>
      </c>
      <c r="B20" s="286"/>
      <c r="C20" s="457">
        <v>0</v>
      </c>
      <c r="D20" s="457"/>
      <c r="E20" s="286"/>
      <c r="F20" s="457">
        <v>6</v>
      </c>
      <c r="G20" s="301"/>
      <c r="H20" s="302" t="s">
        <v>1304</v>
      </c>
      <c r="I20" s="286"/>
      <c r="J20" s="457">
        <v>4</v>
      </c>
      <c r="K20" s="457"/>
      <c r="L20" s="286"/>
      <c r="M20" s="457">
        <v>9</v>
      </c>
      <c r="N20" s="301"/>
    </row>
    <row r="21" spans="1:14">
      <c r="A21" s="302"/>
      <c r="B21" s="286"/>
      <c r="C21" s="286"/>
      <c r="D21" s="286"/>
      <c r="E21" s="286"/>
      <c r="F21" s="286"/>
      <c r="G21" s="301"/>
      <c r="H21" s="302"/>
      <c r="I21" s="286"/>
      <c r="J21" s="286"/>
      <c r="K21" s="286"/>
      <c r="L21" s="286"/>
      <c r="M21" s="286"/>
      <c r="N21" s="301"/>
    </row>
    <row r="22" spans="1:14">
      <c r="A22" s="302" t="s">
        <v>1305</v>
      </c>
      <c r="B22" s="286"/>
      <c r="C22" s="457">
        <v>0</v>
      </c>
      <c r="D22" s="457"/>
      <c r="E22" s="286"/>
      <c r="F22" s="457">
        <v>7</v>
      </c>
      <c r="G22" s="301"/>
      <c r="H22" s="302" t="s">
        <v>1306</v>
      </c>
      <c r="I22" s="286"/>
      <c r="J22" s="457">
        <v>5</v>
      </c>
      <c r="K22" s="457"/>
      <c r="L22" s="286"/>
      <c r="M22" s="457">
        <v>0</v>
      </c>
      <c r="N22" s="301"/>
    </row>
    <row r="23" spans="1:14">
      <c r="A23" s="302"/>
      <c r="B23" s="286"/>
      <c r="C23" s="457"/>
      <c r="D23" s="457"/>
      <c r="E23" s="286"/>
      <c r="F23" s="457"/>
      <c r="G23" s="301"/>
      <c r="H23" s="302"/>
      <c r="I23" s="286"/>
      <c r="J23" s="457"/>
      <c r="K23" s="457"/>
      <c r="L23" s="286"/>
      <c r="M23" s="457"/>
      <c r="N23" s="301"/>
    </row>
    <row r="24" spans="1:14">
      <c r="A24" s="302" t="s">
        <v>1307</v>
      </c>
      <c r="B24" s="286"/>
      <c r="C24" s="457">
        <v>0</v>
      </c>
      <c r="D24" s="457"/>
      <c r="E24" s="286"/>
      <c r="F24" s="457">
        <v>8</v>
      </c>
      <c r="G24" s="301"/>
      <c r="H24" s="302" t="s">
        <v>1308</v>
      </c>
      <c r="I24" s="286"/>
      <c r="J24" s="457">
        <v>9</v>
      </c>
      <c r="K24" s="457"/>
      <c r="L24" s="286"/>
      <c r="M24" s="457">
        <v>9</v>
      </c>
      <c r="N24" s="301"/>
    </row>
    <row r="25" spans="1:14">
      <c r="A25" s="302"/>
      <c r="B25" s="286"/>
      <c r="C25" s="286"/>
      <c r="D25" s="286"/>
      <c r="E25" s="286"/>
      <c r="F25" s="286"/>
      <c r="G25" s="301"/>
      <c r="H25" s="302"/>
      <c r="I25" s="286"/>
      <c r="J25" s="286"/>
      <c r="K25" s="286"/>
      <c r="L25" s="286"/>
      <c r="M25" s="286"/>
      <c r="N25" s="301"/>
    </row>
    <row r="26" spans="1:14">
      <c r="A26" s="302" t="s">
        <v>1309</v>
      </c>
      <c r="B26" s="286"/>
      <c r="C26" s="457">
        <v>0</v>
      </c>
      <c r="D26" s="457"/>
      <c r="E26" s="286"/>
      <c r="F26" s="457">
        <v>9</v>
      </c>
      <c r="G26" s="301"/>
      <c r="H26" s="302"/>
      <c r="I26" s="286"/>
      <c r="J26" s="457"/>
      <c r="K26" s="457"/>
      <c r="L26" s="286"/>
      <c r="M26" s="457"/>
      <c r="N26" s="301"/>
    </row>
    <row r="27" spans="1:14">
      <c r="A27" s="302"/>
      <c r="B27" s="286"/>
      <c r="C27" s="457"/>
      <c r="D27" s="457"/>
      <c r="E27" s="286"/>
      <c r="F27" s="457"/>
      <c r="G27" s="301"/>
      <c r="H27" s="302"/>
      <c r="I27" s="286"/>
      <c r="J27" s="457"/>
      <c r="K27" s="457"/>
      <c r="L27" s="286"/>
      <c r="M27" s="457"/>
      <c r="N27" s="301"/>
    </row>
    <row r="28" spans="1:14">
      <c r="A28" s="303" t="s">
        <v>1310</v>
      </c>
      <c r="B28" s="286"/>
      <c r="C28" s="457"/>
      <c r="D28" s="457"/>
      <c r="E28" s="286"/>
      <c r="F28" s="457"/>
      <c r="G28" s="301"/>
      <c r="H28" s="302"/>
      <c r="I28" s="286"/>
      <c r="J28" s="457"/>
      <c r="K28" s="457"/>
      <c r="L28" s="286"/>
      <c r="M28" s="457"/>
      <c r="N28" s="301"/>
    </row>
    <row r="29" spans="1:14">
      <c r="A29" s="302"/>
      <c r="B29" s="286"/>
      <c r="C29" s="457"/>
      <c r="D29" s="457"/>
      <c r="E29" s="286"/>
      <c r="F29" s="457"/>
      <c r="G29" s="301"/>
      <c r="H29" s="302"/>
      <c r="I29" s="286"/>
      <c r="J29" s="286"/>
      <c r="K29" s="286"/>
      <c r="L29" s="286"/>
      <c r="M29" s="286"/>
      <c r="N29" s="301"/>
    </row>
    <row r="30" spans="1:14">
      <c r="A30" s="302" t="s">
        <v>1311</v>
      </c>
      <c r="B30" s="286"/>
      <c r="C30" s="457"/>
      <c r="D30" s="457"/>
      <c r="E30" s="286"/>
      <c r="F30" s="457">
        <v>1</v>
      </c>
      <c r="G30" s="301"/>
      <c r="H30" s="302"/>
      <c r="I30" s="286"/>
      <c r="J30" s="457"/>
      <c r="K30" s="457"/>
      <c r="L30" s="286"/>
      <c r="M30" s="457"/>
      <c r="N30" s="301"/>
    </row>
    <row r="31" spans="1:14">
      <c r="A31" s="302"/>
      <c r="B31" s="286"/>
      <c r="C31" s="457"/>
      <c r="D31" s="457"/>
      <c r="E31" s="286"/>
      <c r="F31" s="286"/>
      <c r="G31" s="301"/>
      <c r="H31" s="302"/>
      <c r="I31" s="286"/>
      <c r="J31" s="286"/>
      <c r="K31" s="286"/>
      <c r="L31" s="286"/>
      <c r="M31" s="286"/>
      <c r="N31" s="301"/>
    </row>
    <row r="32" spans="1:14">
      <c r="A32" s="302" t="s">
        <v>1312</v>
      </c>
      <c r="B32" s="286"/>
      <c r="C32" s="457"/>
      <c r="D32" s="457"/>
      <c r="E32" s="286"/>
      <c r="F32" s="457">
        <v>2</v>
      </c>
      <c r="G32" s="301"/>
      <c r="H32" s="302"/>
      <c r="I32" s="286"/>
      <c r="J32" s="457"/>
      <c r="K32" s="457"/>
      <c r="L32" s="286"/>
      <c r="M32" s="457"/>
      <c r="N32" s="301"/>
    </row>
    <row r="33" spans="1:38">
      <c r="A33" s="302"/>
      <c r="B33" s="286"/>
      <c r="C33" s="457"/>
      <c r="D33" s="457"/>
      <c r="E33" s="286"/>
      <c r="F33" s="286"/>
      <c r="G33" s="301"/>
      <c r="H33" s="300"/>
      <c r="I33" s="286"/>
      <c r="J33" s="286"/>
      <c r="K33" s="286"/>
      <c r="L33" s="286"/>
      <c r="M33" s="286"/>
      <c r="N33" s="301"/>
    </row>
    <row r="34" spans="1:38">
      <c r="A34" s="302" t="s">
        <v>1313</v>
      </c>
      <c r="B34" s="286"/>
      <c r="C34" s="457"/>
      <c r="D34" s="457"/>
      <c r="E34" s="286"/>
      <c r="F34" s="457">
        <v>3</v>
      </c>
      <c r="G34" s="301"/>
      <c r="H34" s="300"/>
      <c r="I34" s="286"/>
      <c r="J34" s="286"/>
      <c r="K34" s="286"/>
      <c r="L34" s="286"/>
      <c r="M34" s="286"/>
      <c r="N34" s="301"/>
    </row>
    <row r="35" spans="1:38" ht="18.5">
      <c r="A35" s="300"/>
      <c r="B35" s="286"/>
      <c r="C35" s="286"/>
      <c r="D35" s="286"/>
      <c r="E35" s="286"/>
      <c r="F35" s="286"/>
      <c r="G35" s="301"/>
      <c r="H35" s="300"/>
      <c r="I35" s="304"/>
      <c r="J35" s="304"/>
      <c r="K35" s="304"/>
      <c r="L35" s="304"/>
      <c r="M35" s="304"/>
      <c r="N35" s="305"/>
      <c r="O35" s="306"/>
      <c r="P35" s="306"/>
      <c r="Q35" s="306"/>
      <c r="R35" s="306"/>
      <c r="S35" s="306"/>
      <c r="T35" s="306"/>
      <c r="U35" s="306"/>
      <c r="V35" s="306"/>
      <c r="W35" s="306"/>
      <c r="X35" s="306"/>
      <c r="Y35" s="306"/>
      <c r="Z35" s="306"/>
      <c r="AA35" s="306"/>
      <c r="AB35" s="306"/>
      <c r="AC35" s="306"/>
      <c r="AD35" s="306"/>
      <c r="AE35" s="306"/>
      <c r="AF35" s="306"/>
      <c r="AG35" s="306"/>
      <c r="AH35" s="306"/>
      <c r="AI35" s="306"/>
      <c r="AJ35" s="306"/>
      <c r="AK35" s="306"/>
      <c r="AL35" s="306"/>
    </row>
    <row r="36" spans="1:38">
      <c r="A36" s="300" t="s">
        <v>1314</v>
      </c>
      <c r="B36" s="286"/>
      <c r="C36" s="286"/>
      <c r="D36" s="286"/>
      <c r="E36" s="286"/>
      <c r="F36" s="457">
        <v>4</v>
      </c>
      <c r="G36" s="301"/>
      <c r="H36" s="300"/>
      <c r="I36" s="286"/>
      <c r="J36" s="286"/>
      <c r="K36" s="286"/>
      <c r="L36" s="286"/>
      <c r="M36" s="286"/>
      <c r="N36" s="301"/>
    </row>
    <row r="37" spans="1:38">
      <c r="A37" s="307"/>
      <c r="B37" s="308"/>
      <c r="C37" s="308"/>
      <c r="D37" s="308"/>
      <c r="E37" s="308"/>
      <c r="F37" s="308"/>
      <c r="G37" s="309"/>
      <c r="H37" s="307"/>
      <c r="I37" s="308"/>
      <c r="J37" s="308"/>
      <c r="K37" s="308"/>
      <c r="L37" s="308"/>
      <c r="M37" s="308"/>
      <c r="N37" s="309"/>
    </row>
    <row r="55" spans="1:10" ht="14.5">
      <c r="A55" s="310" t="s">
        <v>1315</v>
      </c>
    </row>
    <row r="56" spans="1:10" ht="14.5">
      <c r="A56" s="311" t="s">
        <v>1316</v>
      </c>
      <c r="B56" s="312"/>
      <c r="C56" s="312"/>
      <c r="D56" s="312"/>
      <c r="E56" s="312"/>
      <c r="F56" s="312"/>
    </row>
    <row r="57" spans="1:10">
      <c r="A57" s="313" t="s">
        <v>1317</v>
      </c>
    </row>
    <row r="58" spans="1:10">
      <c r="A58" s="314" t="s">
        <v>1318</v>
      </c>
      <c r="J58" s="315"/>
    </row>
    <row r="59" spans="1:10">
      <c r="C59" s="316"/>
    </row>
  </sheetData>
  <sheetProtection sheet="false"/>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C86"/>
  <sheetViews>
    <sheetView topLeftCell="A21" workbookViewId="0">
      <selection activeCell="C40" sqref="C40"/>
    </sheetView>
  </sheetViews>
  <sheetFormatPr baseColWidth="10" defaultColWidth="10.69921875" defaultRowHeight="10.5"/>
  <cols>
    <col min="1" max="1" bestFit="true" customWidth="true" style="321" width="59.296875" collapsed="true"/>
    <col min="2" max="2" customWidth="true" style="321" width="8.69921875" collapsed="true"/>
    <col min="3" max="3" bestFit="true" customWidth="true" style="321" width="70.19921875" collapsed="true"/>
    <col min="4" max="16384" style="321" width="10.69921875" collapsed="true"/>
  </cols>
  <sheetData>
    <row r="1" spans="1:3" s="317" customFormat="1" ht="18.5">
      <c r="A1" s="1066" t="s">
        <v>1319</v>
      </c>
      <c r="B1" s="1066"/>
      <c r="C1" s="1066"/>
    </row>
    <row r="2" spans="1:3" s="317" customFormat="1"/>
    <row r="3" spans="1:3" s="317" customFormat="1">
      <c r="A3" s="318"/>
      <c r="B3" s="318"/>
      <c r="C3" s="318"/>
    </row>
    <row r="4" spans="1:3">
      <c r="A4" s="319" t="s">
        <v>1320</v>
      </c>
      <c r="B4" s="1073"/>
      <c r="C4" s="320" t="s">
        <v>1321</v>
      </c>
    </row>
    <row r="5" spans="1:3">
      <c r="A5" s="322" t="s">
        <v>1322</v>
      </c>
      <c r="B5" s="1074"/>
      <c r="C5" s="323" t="s">
        <v>1323</v>
      </c>
    </row>
    <row r="6" spans="1:3">
      <c r="A6" s="322" t="s">
        <v>1324</v>
      </c>
      <c r="B6" s="1074"/>
      <c r="C6" s="323" t="s">
        <v>1325</v>
      </c>
    </row>
    <row r="7" spans="1:3">
      <c r="A7" s="322" t="s">
        <v>1326</v>
      </c>
      <c r="B7" s="1074"/>
      <c r="C7" s="323" t="s">
        <v>1327</v>
      </c>
    </row>
    <row r="8" spans="1:3">
      <c r="A8" s="322" t="s">
        <v>1328</v>
      </c>
      <c r="B8" s="1074"/>
      <c r="C8" s="324" t="s">
        <v>1329</v>
      </c>
    </row>
    <row r="9" spans="1:3">
      <c r="A9" s="322" t="s">
        <v>1330</v>
      </c>
      <c r="B9" s="1074"/>
      <c r="C9" s="325" t="s">
        <v>1331</v>
      </c>
    </row>
    <row r="10" spans="1:3">
      <c r="A10" s="322" t="s">
        <v>1332</v>
      </c>
      <c r="B10" s="1074"/>
      <c r="C10" s="323" t="s">
        <v>1333</v>
      </c>
    </row>
    <row r="11" spans="1:3">
      <c r="A11" s="326" t="s">
        <v>1334</v>
      </c>
      <c r="B11" s="1074"/>
      <c r="C11" s="323" t="s">
        <v>1335</v>
      </c>
    </row>
    <row r="12" spans="1:3">
      <c r="A12" s="322" t="s">
        <v>1336</v>
      </c>
      <c r="B12" s="1074"/>
      <c r="C12" s="323" t="s">
        <v>1337</v>
      </c>
    </row>
    <row r="13" spans="1:3">
      <c r="A13" s="322" t="s">
        <v>1338</v>
      </c>
      <c r="B13" s="1074"/>
      <c r="C13" s="324" t="s">
        <v>1339</v>
      </c>
    </row>
    <row r="14" spans="1:3">
      <c r="A14" s="322" t="s">
        <v>1340</v>
      </c>
      <c r="B14" s="1074"/>
      <c r="C14" s="323" t="s">
        <v>1341</v>
      </c>
    </row>
    <row r="15" spans="1:3">
      <c r="A15" s="322" t="s">
        <v>1342</v>
      </c>
      <c r="B15" s="1074"/>
      <c r="C15" s="323" t="s">
        <v>1343</v>
      </c>
    </row>
    <row r="16" spans="1:3">
      <c r="A16" s="322" t="s">
        <v>1344</v>
      </c>
      <c r="B16" s="1074"/>
      <c r="C16" s="324" t="s">
        <v>1345</v>
      </c>
    </row>
    <row r="17" spans="1:3">
      <c r="A17" s="322" t="s">
        <v>1346</v>
      </c>
      <c r="B17" s="1074"/>
      <c r="C17" s="323" t="s">
        <v>1347</v>
      </c>
    </row>
    <row r="18" spans="1:3">
      <c r="A18" s="322" t="s">
        <v>1348</v>
      </c>
      <c r="B18" s="1074"/>
      <c r="C18" s="323" t="s">
        <v>1349</v>
      </c>
    </row>
    <row r="19" spans="1:3">
      <c r="A19" s="322" t="s">
        <v>1350</v>
      </c>
      <c r="B19" s="1074"/>
      <c r="C19" s="323" t="s">
        <v>1351</v>
      </c>
    </row>
    <row r="20" spans="1:3">
      <c r="A20" s="322" t="s">
        <v>1352</v>
      </c>
      <c r="B20" s="1074"/>
      <c r="C20" s="324" t="s">
        <v>1353</v>
      </c>
    </row>
    <row r="21" spans="1:3">
      <c r="A21" s="322" t="s">
        <v>1354</v>
      </c>
      <c r="B21" s="1074"/>
      <c r="C21" s="324" t="s">
        <v>1355</v>
      </c>
    </row>
    <row r="22" spans="1:3">
      <c r="A22" s="322" t="s">
        <v>1356</v>
      </c>
      <c r="B22" s="1074"/>
      <c r="C22" s="323" t="s">
        <v>1357</v>
      </c>
    </row>
    <row r="23" spans="1:3">
      <c r="A23" s="326" t="s">
        <v>1358</v>
      </c>
      <c r="B23" s="1074"/>
      <c r="C23" s="323" t="s">
        <v>1359</v>
      </c>
    </row>
    <row r="24" spans="1:3">
      <c r="A24" s="322" t="s">
        <v>1360</v>
      </c>
      <c r="B24" s="1074"/>
      <c r="C24" s="324" t="s">
        <v>1361</v>
      </c>
    </row>
    <row r="25" spans="1:3">
      <c r="A25" s="322" t="s">
        <v>1362</v>
      </c>
      <c r="B25" s="1074"/>
      <c r="C25" s="323" t="s">
        <v>1363</v>
      </c>
    </row>
    <row r="26" spans="1:3">
      <c r="A26" s="322" t="s">
        <v>1364</v>
      </c>
      <c r="B26" s="1074"/>
      <c r="C26" s="323" t="s">
        <v>1365</v>
      </c>
    </row>
    <row r="27" spans="1:3">
      <c r="A27" s="322" t="s">
        <v>1366</v>
      </c>
      <c r="B27" s="1074"/>
      <c r="C27" s="325" t="s">
        <v>1367</v>
      </c>
    </row>
    <row r="28" spans="1:3">
      <c r="A28" s="322" t="s">
        <v>1368</v>
      </c>
      <c r="B28" s="1074"/>
      <c r="C28" s="323" t="s">
        <v>1369</v>
      </c>
    </row>
    <row r="29" spans="1:3">
      <c r="A29" s="326" t="s">
        <v>1370</v>
      </c>
      <c r="B29" s="1074"/>
      <c r="C29" s="323" t="s">
        <v>1371</v>
      </c>
    </row>
    <row r="30" spans="1:3">
      <c r="A30" s="322" t="s">
        <v>1372</v>
      </c>
      <c r="B30" s="1074"/>
      <c r="C30" s="324" t="s">
        <v>1373</v>
      </c>
    </row>
    <row r="31" spans="1:3">
      <c r="A31" s="322" t="s">
        <v>1374</v>
      </c>
      <c r="B31" s="1074"/>
      <c r="C31" s="323" t="s">
        <v>1375</v>
      </c>
    </row>
    <row r="32" spans="1:3">
      <c r="A32" s="326" t="s">
        <v>1376</v>
      </c>
      <c r="B32" s="1074"/>
      <c r="C32" s="323" t="s">
        <v>1377</v>
      </c>
    </row>
    <row r="33" spans="1:3">
      <c r="A33" s="322" t="s">
        <v>1378</v>
      </c>
      <c r="B33" s="1074"/>
      <c r="C33" s="323" t="s">
        <v>1379</v>
      </c>
    </row>
    <row r="34" spans="1:3">
      <c r="A34" s="322" t="s">
        <v>1380</v>
      </c>
      <c r="B34" s="1074"/>
      <c r="C34" s="325" t="s">
        <v>1381</v>
      </c>
    </row>
    <row r="35" spans="1:3">
      <c r="A35" s="326" t="s">
        <v>1382</v>
      </c>
      <c r="B35" s="1074"/>
      <c r="C35" s="323" t="s">
        <v>1383</v>
      </c>
    </row>
    <row r="36" spans="1:3">
      <c r="A36" s="322" t="s">
        <v>1384</v>
      </c>
      <c r="B36" s="1074"/>
      <c r="C36" s="323" t="s">
        <v>1385</v>
      </c>
    </row>
    <row r="37" spans="1:3">
      <c r="A37" s="322" t="s">
        <v>1386</v>
      </c>
      <c r="B37" s="1074"/>
      <c r="C37" s="325" t="s">
        <v>1387</v>
      </c>
    </row>
    <row r="38" spans="1:3">
      <c r="A38" s="326" t="s">
        <v>1388</v>
      </c>
      <c r="B38" s="1074"/>
      <c r="C38" s="323" t="s">
        <v>1389</v>
      </c>
    </row>
    <row r="39" spans="1:3">
      <c r="A39" s="322" t="s">
        <v>1390</v>
      </c>
      <c r="B39" s="1074"/>
      <c r="C39" s="323" t="s">
        <v>1391</v>
      </c>
    </row>
    <row r="40" spans="1:3">
      <c r="A40" s="322" t="s">
        <v>1392</v>
      </c>
      <c r="B40" s="1074"/>
      <c r="C40" s="323" t="s">
        <v>1393</v>
      </c>
    </row>
    <row r="41" spans="1:3">
      <c r="A41" s="326" t="s">
        <v>1394</v>
      </c>
      <c r="B41" s="1074"/>
      <c r="C41" s="325" t="s">
        <v>1395</v>
      </c>
    </row>
    <row r="42" spans="1:3">
      <c r="A42" s="322" t="s">
        <v>1396</v>
      </c>
      <c r="B42" s="1074"/>
      <c r="C42" s="323" t="s">
        <v>1397</v>
      </c>
    </row>
    <row r="43" spans="1:3">
      <c r="A43" s="326" t="s">
        <v>1398</v>
      </c>
      <c r="B43" s="1074"/>
      <c r="C43" s="323" t="s">
        <v>1399</v>
      </c>
    </row>
    <row r="44" spans="1:3">
      <c r="A44" s="322" t="s">
        <v>1400</v>
      </c>
      <c r="B44" s="1074"/>
      <c r="C44" s="325" t="s">
        <v>1401</v>
      </c>
    </row>
    <row r="45" spans="1:3">
      <c r="A45" s="322" t="s">
        <v>1402</v>
      </c>
      <c r="B45" s="1074"/>
      <c r="C45" s="327" t="s">
        <v>1403</v>
      </c>
    </row>
    <row r="46" spans="1:3">
      <c r="A46" s="326" t="s">
        <v>1404</v>
      </c>
      <c r="B46" s="1074"/>
      <c r="C46" s="323" t="s">
        <v>1405</v>
      </c>
    </row>
    <row r="47" spans="1:3">
      <c r="A47" s="322" t="s">
        <v>1406</v>
      </c>
      <c r="B47" s="1074"/>
      <c r="C47" s="324" t="s">
        <v>1407</v>
      </c>
    </row>
    <row r="48" spans="1:3">
      <c r="A48" s="322" t="s">
        <v>1408</v>
      </c>
      <c r="B48" s="1074"/>
      <c r="C48" s="323" t="s">
        <v>1409</v>
      </c>
    </row>
    <row r="49" spans="1:3">
      <c r="A49" s="326" t="s">
        <v>1410</v>
      </c>
      <c r="B49" s="1074"/>
      <c r="C49" s="323" t="s">
        <v>1411</v>
      </c>
    </row>
    <row r="50" spans="1:3">
      <c r="A50" s="322" t="s">
        <v>1412</v>
      </c>
      <c r="B50" s="1074"/>
      <c r="C50" s="323" t="s">
        <v>1413</v>
      </c>
    </row>
    <row r="51" spans="1:3">
      <c r="A51" s="322" t="s">
        <v>1414</v>
      </c>
      <c r="B51" s="1074"/>
      <c r="C51" s="323" t="s">
        <v>1415</v>
      </c>
    </row>
    <row r="52" spans="1:3">
      <c r="A52" s="326" t="s">
        <v>1416</v>
      </c>
      <c r="B52" s="1074"/>
      <c r="C52" s="323" t="s">
        <v>1417</v>
      </c>
    </row>
    <row r="53" spans="1:3">
      <c r="A53" s="322" t="s">
        <v>1418</v>
      </c>
      <c r="B53" s="1074"/>
      <c r="C53" s="324" t="s">
        <v>1419</v>
      </c>
    </row>
    <row r="54" spans="1:3">
      <c r="A54" s="326" t="s">
        <v>1420</v>
      </c>
      <c r="B54" s="1074"/>
      <c r="C54" s="327" t="s">
        <v>1421</v>
      </c>
    </row>
    <row r="55" spans="1:3">
      <c r="A55" s="326" t="s">
        <v>1422</v>
      </c>
      <c r="B55" s="1074"/>
      <c r="C55" s="323" t="s">
        <v>1423</v>
      </c>
    </row>
    <row r="56" spans="1:3">
      <c r="A56" s="322" t="s">
        <v>1424</v>
      </c>
      <c r="B56" s="1074"/>
      <c r="C56" s="324" t="s">
        <v>1425</v>
      </c>
    </row>
    <row r="57" spans="1:3">
      <c r="A57" s="322" t="s">
        <v>1426</v>
      </c>
      <c r="B57" s="1074"/>
      <c r="C57" s="323" t="s">
        <v>1427</v>
      </c>
    </row>
    <row r="58" spans="1:3">
      <c r="A58" s="322" t="s">
        <v>1428</v>
      </c>
      <c r="B58" s="1074"/>
      <c r="C58" s="323" t="s">
        <v>1429</v>
      </c>
    </row>
    <row r="59" spans="1:3">
      <c r="A59" s="326" t="s">
        <v>1430</v>
      </c>
      <c r="B59" s="1074"/>
      <c r="C59" s="323" t="s">
        <v>1431</v>
      </c>
    </row>
    <row r="60" spans="1:3">
      <c r="A60" s="322" t="s">
        <v>1432</v>
      </c>
      <c r="B60" s="1074"/>
      <c r="C60" s="324" t="s">
        <v>1433</v>
      </c>
    </row>
    <row r="61" spans="1:3">
      <c r="A61" s="322" t="s">
        <v>1434</v>
      </c>
      <c r="B61" s="1074"/>
      <c r="C61" s="323" t="s">
        <v>1435</v>
      </c>
    </row>
    <row r="62" spans="1:3">
      <c r="A62" s="322" t="s">
        <v>1436</v>
      </c>
      <c r="B62" s="1074"/>
      <c r="C62" s="323" t="s">
        <v>1437</v>
      </c>
    </row>
    <row r="63" spans="1:3">
      <c r="A63" s="326" t="s">
        <v>1438</v>
      </c>
      <c r="B63" s="1074"/>
      <c r="C63" s="324" t="s">
        <v>1439</v>
      </c>
    </row>
    <row r="64" spans="1:3">
      <c r="A64" s="322" t="s">
        <v>1440</v>
      </c>
      <c r="B64" s="1074"/>
      <c r="C64" s="323" t="s">
        <v>1441</v>
      </c>
    </row>
    <row r="65" spans="1:3">
      <c r="A65" s="326" t="s">
        <v>1442</v>
      </c>
      <c r="B65" s="1074"/>
      <c r="C65" s="323" t="s">
        <v>1443</v>
      </c>
    </row>
    <row r="66" spans="1:3">
      <c r="A66" s="322" t="s">
        <v>1444</v>
      </c>
      <c r="B66" s="1074"/>
      <c r="C66" s="323" t="s">
        <v>1445</v>
      </c>
    </row>
    <row r="67" spans="1:3">
      <c r="A67" s="322" t="s">
        <v>1446</v>
      </c>
      <c r="B67" s="1074"/>
      <c r="C67" s="324" t="s">
        <v>1447</v>
      </c>
    </row>
    <row r="68" spans="1:3">
      <c r="A68" s="326" t="s">
        <v>1448</v>
      </c>
      <c r="B68" s="1074"/>
      <c r="C68" s="323" t="s">
        <v>1449</v>
      </c>
    </row>
    <row r="69" spans="1:3">
      <c r="A69" s="322" t="s">
        <v>1450</v>
      </c>
      <c r="B69" s="1074"/>
      <c r="C69" s="323" t="s">
        <v>1451</v>
      </c>
    </row>
    <row r="70" spans="1:3">
      <c r="A70" s="322" t="s">
        <v>1452</v>
      </c>
      <c r="B70" s="1074"/>
      <c r="C70" s="323" t="s">
        <v>1453</v>
      </c>
    </row>
    <row r="71" spans="1:3">
      <c r="A71" s="326" t="s">
        <v>1454</v>
      </c>
      <c r="B71" s="1074"/>
      <c r="C71" s="325" t="s">
        <v>1455</v>
      </c>
    </row>
    <row r="72" spans="1:3">
      <c r="A72" s="322" t="s">
        <v>1456</v>
      </c>
      <c r="B72" s="1074"/>
      <c r="C72" s="327" t="s">
        <v>1457</v>
      </c>
    </row>
    <row r="73" spans="1:3">
      <c r="A73" s="322" t="s">
        <v>1458</v>
      </c>
      <c r="B73" s="1074"/>
      <c r="C73" s="324" t="s">
        <v>1459</v>
      </c>
    </row>
    <row r="74" spans="1:3">
      <c r="A74" s="322" t="s">
        <v>1460</v>
      </c>
      <c r="B74" s="1074"/>
      <c r="C74" s="323" t="s">
        <v>1461</v>
      </c>
    </row>
    <row r="75" spans="1:3">
      <c r="A75" s="326" t="s">
        <v>1462</v>
      </c>
      <c r="B75" s="1074"/>
      <c r="C75" s="323" t="s">
        <v>1463</v>
      </c>
    </row>
    <row r="76" spans="1:3">
      <c r="A76" s="322" t="s">
        <v>1464</v>
      </c>
      <c r="B76" s="1074"/>
      <c r="C76" s="323" t="s">
        <v>1465</v>
      </c>
    </row>
    <row r="77" spans="1:3">
      <c r="A77" s="322" t="s">
        <v>1466</v>
      </c>
      <c r="B77" s="1074"/>
      <c r="C77" s="324" t="s">
        <v>1467</v>
      </c>
    </row>
    <row r="78" spans="1:3">
      <c r="A78" s="326" t="s">
        <v>1468</v>
      </c>
      <c r="B78" s="1074"/>
      <c r="C78" s="323" t="s">
        <v>1469</v>
      </c>
    </row>
    <row r="79" spans="1:3">
      <c r="A79" s="322" t="s">
        <v>1470</v>
      </c>
      <c r="B79" s="1074"/>
      <c r="C79" s="323" t="s">
        <v>1471</v>
      </c>
    </row>
    <row r="80" spans="1:3">
      <c r="A80" s="326" t="s">
        <v>1472</v>
      </c>
      <c r="B80" s="1074"/>
      <c r="C80" s="323" t="s">
        <v>1473</v>
      </c>
    </row>
    <row r="81" spans="1:3">
      <c r="A81" s="322" t="s">
        <v>1474</v>
      </c>
      <c r="B81" s="1074"/>
      <c r="C81" s="323" t="s">
        <v>1475</v>
      </c>
    </row>
    <row r="82" spans="1:3">
      <c r="A82" s="322" t="s">
        <v>1476</v>
      </c>
      <c r="B82" s="1074"/>
      <c r="C82" s="323" t="s">
        <v>1477</v>
      </c>
    </row>
    <row r="83" spans="1:3">
      <c r="A83" s="322" t="s">
        <v>1478</v>
      </c>
      <c r="B83" s="1074"/>
      <c r="C83" s="324" t="s">
        <v>1479</v>
      </c>
    </row>
    <row r="84" spans="1:3">
      <c r="A84" s="322" t="s">
        <v>1480</v>
      </c>
      <c r="B84" s="1074"/>
      <c r="C84" s="323" t="s">
        <v>1481</v>
      </c>
    </row>
    <row r="85" spans="1:3">
      <c r="A85" s="322" t="s">
        <v>1482</v>
      </c>
      <c r="B85" s="1074"/>
      <c r="C85" s="324" t="s">
        <v>1483</v>
      </c>
    </row>
    <row r="86" spans="1:3">
      <c r="A86" s="328"/>
      <c r="B86" s="1075"/>
      <c r="C86" s="458" t="s">
        <v>1484</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CDAE7B93C5F314FA1CEFD647E6BAE84" ma:contentTypeVersion="5" ma:contentTypeDescription="Crée un document." ma:contentTypeScope="" ma:versionID="f79f055249af3b956191cc4137c86143">
  <xsd:schema xmlns:xsd="http://www.w3.org/2001/XMLSchema" xmlns:xs="http://www.w3.org/2001/XMLSchema" xmlns:p="http://schemas.microsoft.com/office/2006/metadata/properties" xmlns:ns2="61a24af3-ddbd-4460-b4be-61901fa599dd" targetNamespace="http://schemas.microsoft.com/office/2006/metadata/properties" ma:root="true" ma:fieldsID="127c4ac23fa06785653b84c604d4ffb1" ns2:_="">
    <xsd:import namespace="61a24af3-ddbd-4460-b4be-61901fa599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a24af3-ddbd-4460-b4be-61901fa59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C5414B-6290-41D5-889B-4D555888850F}">
  <ds:schemaRefs>
    <ds:schemaRef ds:uri="61a24af3-ddbd-4460-b4be-61901fa599d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ADADCF1E-2B2A-498C-A95F-3376023B43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a24af3-ddbd-4460-b4be-61901fa599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58</vt:i4>
      </vt:variant>
      <vt:variant>
        <vt:lpstr>Plages nommées</vt:lpstr>
      </vt:variant>
      <vt:variant>
        <vt:i4>14</vt:i4>
      </vt:variant>
    </vt:vector>
  </HeadingPairs>
  <TitlesOfParts>
    <vt:vector size="72"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3C Bis</vt:lpstr>
      <vt:lpstr>Note 3D</vt:lpstr>
      <vt:lpstr>Note 3E</vt:lpstr>
      <vt:lpstr>Note 4</vt:lpstr>
      <vt:lpstr>Note 5</vt:lpstr>
      <vt:lpstr>Note 6</vt:lpstr>
      <vt:lpstr>Note 7</vt:lpstr>
      <vt:lpstr>Note 8</vt:lpstr>
      <vt:lpstr>Note 8A</vt:lpstr>
      <vt:lpstr>Note 8B</vt:lpstr>
      <vt:lpstr>Note 8C</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toshiba</dc:creator>
  <cp:lastModifiedBy>Aw, Hawa</cp:lastModifiedBy>
  <cp:lastPrinted>2021-03-03T14:18:21Z</cp:lastPrinted>
  <dcterms:modified xsi:type="dcterms:W3CDTF">2023-04-19T16:00:53Z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0x0101007CDAE7B93C5F314FA1CEFD647E6BAE84</vt:lpwstr>
  </property>
</Properties>
</file>