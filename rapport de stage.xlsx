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des travaux" sheetId="1" state="visible" r:id="rId1"/>
  </sheets>
  <definedNames>
    <definedName name="_xlnm._FilterDatabase" localSheetId="0" hidden="1">'Suivi des travaux'!$A$2:$C$27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91970"/>
      <sz val="12"/>
    </font>
    <font>
      <name val="Arial"/>
      <b val="1"/>
      <color rgb="00FFFFFF"/>
      <sz val="10"/>
    </font>
    <font>
      <name val="Arial"/>
      <b val="1"/>
      <color rgb="00191970"/>
      <sz val="10"/>
    </font>
    <font>
      <name val="Arial"/>
      <sz val="10"/>
    </font>
    <font>
      <name val="Arial"/>
      <b val="1"/>
      <color rgb="001E6B2E"/>
      <sz val="10"/>
    </font>
    <font>
      <name val="Arial"/>
      <b val="1"/>
      <color rgb="009C6500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E07B39"/>
      </patternFill>
    </fill>
    <fill>
      <patternFill patternType="solid">
        <fgColor rgb="00FCE8D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78" customWidth="1" min="3" max="3"/>
  </cols>
  <sheetData>
    <row r="1" ht="34" customHeight="1">
      <c r="A1" s="1" t="inlineStr">
        <is>
          <t>Rapport de stage CN-ITIE — État de suivi des travaux (Sié Rachid TRAORÉ, 04 mai – 31 juillet 2026)</t>
        </is>
      </c>
    </row>
    <row r="2" ht="28" customHeight="1">
      <c r="A2" s="2" t="inlineStr">
        <is>
          <t>Travaux</t>
        </is>
      </c>
      <c r="B2" s="2" t="inlineStr">
        <is>
          <t>Réalisé (oui, non, partiellement)</t>
        </is>
      </c>
      <c r="C2" s="2" t="inlineStr">
        <is>
          <t>Commentaire</t>
        </is>
      </c>
    </row>
    <row r="3" ht="20" customHeight="1">
      <c r="A3" s="3" t="inlineStr">
        <is>
          <t>Tâches prévues au contrat de stage (article 2) et au cahier des charges</t>
        </is>
      </c>
      <c r="B3" s="9" t="n"/>
      <c r="C3" s="10" t="n"/>
    </row>
    <row r="4">
      <c r="A4" s="5" t="inlineStr">
        <is>
          <t>Revue documentaire : Standard ITIE 2023 (exigence 2.5), décret n°2020-791 et modificatifs, prise en main du diagnostic OE 2024</t>
        </is>
      </c>
      <c r="B4" s="6" t="inlineStr">
        <is>
          <t>Oui</t>
        </is>
      </c>
      <c r="C4" s="5" t="inlineStr">
        <is>
          <t>Corpus réglementaire constitué et exploité : décrets 2020-791 et 2025-1354, arrêté n°1598 (formulaire BE), codes minier et pétrolier, Norme ITIE 2023.</t>
        </is>
      </c>
    </row>
    <row r="5">
      <c r="A5" s="5" t="inlineStr">
        <is>
          <t>Note sur la méthode d'analyse miroir</t>
        </is>
      </c>
      <c r="B5" s="6" t="inlineStr">
        <is>
          <t>Oui</t>
        </is>
      </c>
      <c r="C5" s="5" t="inlineStr">
        <is>
          <t>Note méthodologique rédigée : principe de la confrontation exports/imports, nomenclature SH (or 7108), variables et sources, précautions d'interprétation.</t>
        </is>
      </c>
    </row>
    <row r="6">
      <c r="A6" s="5" t="inlineStr">
        <is>
          <t>Collecte des formulaires ITIE (annexes 1 &amp; 3), RCCM, DGI ; inventaire des sociétés sans déclaration</t>
        </is>
      </c>
      <c r="B6" s="6" t="inlineStr">
        <is>
          <t>Oui</t>
        </is>
      </c>
      <c r="C6" s="5" t="inlineStr">
        <is>
          <t>Croisement RBE / base des titres miniers (Landfolio, MEPM) / permis / sous-traitants / souscriptions ; fichier des entreprises présentes au RBE mais absentes des autres registres produit.</t>
        </is>
      </c>
    </row>
    <row r="7">
      <c r="A7" s="5" t="inlineStr">
        <is>
          <t>Mise en place de la plateforme RBE relationnelle (tables Entités, Personnes, Relations ; identifiants uniques ; priorité aux sociétés sans déclaration)</t>
        </is>
      </c>
      <c r="B7" s="6" t="inlineStr">
        <is>
          <t>Oui</t>
        </is>
      </c>
      <c r="C7" s="5" t="inlineStr">
        <is>
          <t>Plateforme OpenRBE développée (application R Shiny + application web autonome, v1.0 à v7) ; schéma relationnel à trois tables (Entités, Personnes, Relations) avec identifiants uniques mis en place.</t>
        </is>
      </c>
    </row>
    <row r="8">
      <c r="A8" s="5" t="inlineStr">
        <is>
          <t>Enrichissement RBE : pays de résidence, statuts PPE, cotation boursière (ISIN)</t>
        </is>
      </c>
      <c r="B8" s="6" t="inlineStr">
        <is>
          <t>Oui</t>
        </is>
      </c>
      <c r="C8" s="5" t="inlineStr">
        <is>
          <t>Nettoyage et normalisation réalisés (nationalités, pays de résidence, recodage PPE) ; champs de résidence, statuts PPE et cotations boursières complétés.</t>
        </is>
      </c>
    </row>
    <row r="9">
      <c r="A9" s="5" t="inlineStr">
        <is>
          <t>Premiers travaux EMAPE : cartographie des zones actives (données Landfolio)</t>
        </is>
      </c>
      <c r="B9" s="6" t="inlineStr">
        <is>
          <t>Oui</t>
        </is>
      </c>
      <c r="C9" s="5" t="inlineStr">
        <is>
          <t>Situation des titres EMAPE (AMSM / AMA) établie et cartographie des zones actives réalisée à partir de la base des titres miniers.</t>
        </is>
      </c>
    </row>
    <row r="10">
      <c r="A10" s="5" t="inlineStr">
        <is>
          <t>Analyse de réseau (networkx/igraph) : chaînes d'actionnariat, détection des structures opaques</t>
        </is>
      </c>
      <c r="B10" s="6" t="inlineStr">
        <is>
          <t>Oui</t>
        </is>
      </c>
      <c r="C10" s="5" t="inlineStr">
        <is>
          <t>Module « réseau » intégré à OpenRBE ; visualisation des chaînes d'actionnariat entreprise-bénéficiaire et détection des structures opaques.</t>
        </is>
      </c>
    </row>
    <row r="11">
      <c r="A11" s="5" t="inlineStr">
        <is>
          <t>Enquêtes auprès des structures concernées</t>
        </is>
      </c>
      <c r="B11" s="6" t="inlineStr">
        <is>
          <t>Oui</t>
        </is>
      </c>
      <c r="C11" s="5" t="inlineStr">
        <is>
          <t>Enquêtes et échanges menés avec les parties prenantes et les structures concernées (DGMG, DCSOM, comptoirs).</t>
        </is>
      </c>
    </row>
    <row r="12">
      <c r="A12" s="5" t="inlineStr">
        <is>
          <t>Finalisation de l'analyse des risques RBE (GAFI, UE, âges atypiques)</t>
        </is>
      </c>
      <c r="B12" s="6" t="inlineStr">
        <is>
          <t>Oui</t>
        </is>
      </c>
      <c r="C12" s="5" t="inlineStr">
        <is>
          <t>Audit qualité complet livré et analyse des risques finalisée (croisements GAFI et UE, âges atypiques).</t>
        </is>
      </c>
    </row>
    <row r="13">
      <c r="A13" s="5" t="inlineStr">
        <is>
          <t>Estimation des volumes EMAPE par analyse miroir (2020-2024)</t>
        </is>
      </c>
      <c r="B13" s="6" t="inlineStr">
        <is>
          <t>Oui</t>
        </is>
      </c>
      <c r="C13" s="5" t="inlineStr">
        <is>
          <t>Écart cumulé estimé à 25,4 t (93,6 t d'importations déclarées par les partenaires vs 68,2 t d'exportations déclarées) ; taux moyen de non-déclaration de 27,1 % (50,4 % en 2020 → 4,6 % en 2024) ; triangulation avec la production déclarée.</t>
        </is>
      </c>
    </row>
    <row r="14">
      <c r="A14" s="5" t="inlineStr">
        <is>
          <t>Cartographie des circuits de commercialisation et des acteurs de la chaîne de valeur</t>
        </is>
      </c>
      <c r="B14" s="6" t="inlineStr">
        <is>
          <t>Oui</t>
        </is>
      </c>
      <c r="C14" s="5" t="inlineStr">
        <is>
          <t>Structure des acheteurs de la production artisanale, corridors d'exportation (Suisse 57 %, Australie 19 %, trajectoire EAU), obstacles à la traçabilité, estimation du manque à gagner pour l'État.</t>
        </is>
      </c>
    </row>
    <row r="15">
      <c r="A15" s="5" t="inlineStr">
        <is>
          <t>Rédaction du rapport RBE final</t>
        </is>
      </c>
      <c r="B15" s="6" t="inlineStr">
        <is>
          <t>Oui</t>
        </is>
      </c>
      <c r="C15" s="5" t="inlineStr">
        <is>
          <t>« Analyse de la qualité des données du RBE 2021-2025 » (version finale) : 628 enregistrements, 317 entreprises, 9 régions, 23 % de cellules manquantes, 12 doublons, 547 erreurs de saisie ; + présentation de restitution (13 diapositives).</t>
        </is>
      </c>
    </row>
    <row r="16">
      <c r="A16" s="5" t="inlineStr">
        <is>
          <t>Rédaction du rapport EMAPE final</t>
        </is>
      </c>
      <c r="B16" s="6" t="inlineStr">
        <is>
          <t>Oui</t>
        </is>
      </c>
      <c r="C16" s="5" t="inlineStr">
        <is>
          <t>« Rapport analytique EMAPE : flux commerciaux d'or, problématiques de données et statistique miroir » (vf 20/05/2026), avec recommandations conformes à l'exigence 6.3 de la Norme ITIE 2023.</t>
        </is>
      </c>
    </row>
    <row r="17">
      <c r="A17" s="5" t="inlineStr">
        <is>
          <t>Dashboard RBE interactif (Power BI)</t>
        </is>
      </c>
      <c r="B17" s="6" t="inlineStr">
        <is>
          <t>Oui</t>
        </is>
      </c>
      <c r="C17" s="5" t="inlineStr">
        <is>
          <t>Réalisé sous la forme de la plateforme web interactive OpenRBE (tableau de bord filtrable, carte, réseau, exports).</t>
        </is>
      </c>
    </row>
    <row r="18">
      <c r="A18" s="5" t="inlineStr">
        <is>
          <t>Intégration des observations et finalisation</t>
        </is>
      </c>
      <c r="B18" s="6" t="inlineStr">
        <is>
          <t>Oui</t>
        </is>
      </c>
      <c r="C18" s="5" t="inlineStr">
        <is>
          <t>Versions successives des rapports (v1 → vf) et de la plateforme (v1.0 → v7 + versions web) intégrant les observations de l'encadrant à chaque itération.</t>
        </is>
      </c>
    </row>
    <row r="19" ht="20" customHeight="1">
      <c r="A19" s="3" t="inlineStr">
        <is>
          <t>Travaux complémentaires (hors cahier des charges)</t>
        </is>
      </c>
      <c r="B19" s="9" t="n"/>
      <c r="C19" s="10" t="n"/>
    </row>
    <row r="20">
      <c r="A20" s="5" t="inlineStr">
        <is>
          <t>Consolidation des données des rapports ITIE 2013-2024</t>
        </is>
      </c>
      <c r="B20" s="6" t="inlineStr">
        <is>
          <t>Oui</t>
        </is>
      </c>
      <c r="C20" s="5" t="inlineStr">
        <is>
          <t>Bases production, exportations, flux financiers, paiements sociaux, emplois, contribution au budget, hydrocarbures ; série des taux de change USD/FCFA (BCEAO) ; scripts Python de structuration.</t>
        </is>
      </c>
    </row>
    <row r="21">
      <c r="A21" s="5" t="inlineStr">
        <is>
          <t>Analyse des paiements sociaux des entreprises extractives</t>
        </is>
      </c>
      <c r="B21" s="6" t="inlineStr">
        <is>
          <t>Oui</t>
        </is>
      </c>
      <c r="C21" s="5" t="inlineStr">
        <is>
          <t>Rapport reproductible sous R Markdown (tableaux et graphiques par année, entreprise, région) + carte de répartition géographique sous QGIS.</t>
        </is>
      </c>
    </row>
    <row r="22">
      <c r="A22" s="5" t="inlineStr">
        <is>
          <t>Traitement des états financiers des entreprises du périmètre ITIE</t>
        </is>
      </c>
      <c r="B22" s="6" t="inlineStr">
        <is>
          <t>Oui</t>
        </is>
      </c>
      <c r="C22" s="5" t="inlineStr">
        <is>
          <t>Plus de 75 liasses DGI saisies (exercices 2020, 2022, 2023, 2024) ; compte de résultat agrégé multi-exercices par entreprise, en appui au lot de modélisation des coûts.</t>
        </is>
      </c>
    </row>
    <row r="23">
      <c r="A23" s="5" t="inlineStr">
        <is>
          <t>Comparaison des prix des minerais exportés avec les cours mondiaux</t>
        </is>
      </c>
      <c r="B23" s="6" t="inlineStr">
        <is>
          <t>Oui</t>
        </is>
      </c>
      <c r="C23" s="5" t="inlineStr">
        <is>
          <t>Base des valeurs unitaires des exportations ITIE 2020-2024 confrontée aux références Banque mondiale (Pink Sheet, Commodity Markets Outlook).</t>
        </is>
      </c>
    </row>
    <row r="24">
      <c r="A24" s="5" t="inlineStr">
        <is>
          <t>Initiation à la modélisation financière extractive (FARI, Sangomar, SGO)</t>
        </is>
      </c>
      <c r="B24" s="7" t="inlineStr">
        <is>
          <t>Partiellement</t>
        </is>
      </c>
      <c r="C24" s="5" t="inlineStr">
        <is>
          <t>Cadre FARI (FMI) et modèles NRGI étudiés ; maquette de modélisation pétrolière Sangomar explorée ; projet de rapport sur la fiscalité minière (SGO/Sabodala) en cours ; participation à la réunion LAREM–CN-ITIE du 02/07/2026.</t>
        </is>
      </c>
    </row>
    <row r="25">
      <c r="A25" s="5" t="inlineStr">
        <is>
          <t>Participation à la vie institutionnelle (réunions de coordination)</t>
        </is>
      </c>
      <c r="B25" s="6" t="inlineStr">
        <is>
          <t>Oui</t>
        </is>
      </c>
      <c r="C25" s="5" t="inlineStr">
        <is>
          <t>Réunions de coordination du Secrétariat Technique, comptes rendus.</t>
        </is>
      </c>
    </row>
    <row r="26">
      <c r="A26" s="5" t="inlineStr">
        <is>
          <t>Participation au forum national sur la gouvernance du secteur extractif au Sénégal</t>
        </is>
      </c>
      <c r="B26" s="6" t="inlineStr">
        <is>
          <t>Oui</t>
        </is>
      </c>
      <c r="C26" s="5" t="inlineStr">
        <is>
          <t>Participation aux échanges multipartites (État, entreprises extractives, société civile) sur la transparence et la gouvernance du secteur extractif.</t>
        </is>
      </c>
    </row>
    <row r="27">
      <c r="A27" s="5" t="inlineStr">
        <is>
          <t>Rédaction du rapport de stage (article 8 du contrat)</t>
        </is>
      </c>
      <c r="B27" s="6" t="inlineStr">
        <is>
          <t>Oui</t>
        </is>
      </c>
      <c r="C27" s="5" t="inlineStr">
        <is>
          <t>Rapport rédigé et remis (dossier rapport_de_stage du dépôt : rapport_de_stage.tex / .pdf).</t>
        </is>
      </c>
    </row>
    <row r="28"/>
    <row r="29">
      <c r="A29" s="8" t="inlineStr">
        <is>
          <t>Légende : colonne « Réalisé » à choisir parmi Oui / Non / Partiellement (liste déroulante). Sources : contrat de stage (art. 2), cahier des charges CN-ITIE, livrables du dépôt CN-ITIE-INTERN.</t>
        </is>
      </c>
    </row>
  </sheetData>
  <autoFilter ref="A2:C27"/>
  <mergeCells count="4">
    <mergeCell ref="A1:C1"/>
    <mergeCell ref="A28:C28"/>
    <mergeCell ref="A19:C19"/>
    <mergeCell ref="A3:C3"/>
  </mergeCells>
  <dataValidations count="1">
    <dataValidation sqref="B3:B27" showDropDown="0" showInputMessage="0" showErrorMessage="1" allowBlank="1" errorTitle="Valeur invalide" error="Choisir : Oui, Non ou Partiellement" type="list">
      <formula1>"Oui,Non,Partiellement"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2026-07-31T16:13:53Z</dcterms:created>
  <dcterms:modified xmlns:dcterms="http://purl.org/dc/terms/" xmlns:xsi="http://www.w3.org/2001/XMLSchema-instance" xsi:type="dcterms:W3CDTF">2026-08-04T12:02:37Z</dcterms:modified>
</cp:coreProperties>
</file>