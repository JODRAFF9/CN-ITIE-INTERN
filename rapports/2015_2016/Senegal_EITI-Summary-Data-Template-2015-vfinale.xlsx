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showInkAnnotation="0" codeName="ThisWorkbook" autoCompressPictures="0"/>
  <bookViews>
    <workbookView xWindow="0" yWindow="0" windowWidth="13950" windowHeight="7500" tabRatio="634" activeTab="3"/>
  </bookViews>
  <sheets>
    <sheet name="Introduction" sheetId="1" r:id="rId1"/>
    <sheet name="1. About" sheetId="2" r:id="rId2"/>
    <sheet name="2. Contextual" sheetId="3" r:id="rId3"/>
    <sheet name="3. Revenues" sheetId="4" r:id="rId4"/>
  </sheets>
  <calcPr calcId="125725"/>
  <customWorkbookViews>
    <customWorkbookView name="Marinette omerville - Personal View" guid="{219EA9BF-B677-D74C-A618-845A184D319B}" autoUpdate="1" mergeInterval="5" personalView="1" xWindow="609" yWindow="86" windowWidth="1089" windowHeight="897" tabRatio="500" activeSheetId="1"/>
  </customWorkbookViews>
  <extLst>
    <ext xmlns:mx="http://schemas.microsoft.com/office/mac/excel/2008/main" uri="{7523E5D3-25F3-A5E0-1632-64F254C22452}">
      <mx:ArchID Flags="2"/>
    </ext>
  </extLst>
</workbook>
</file>

<file path=xl/calcChain.xml><?xml version="1.0" encoding="utf-8"?>
<calcChain xmlns="http://schemas.openxmlformats.org/spreadsheetml/2006/main">
  <c r="D9" i="3"/>
  <c r="D84" i="4" l="1"/>
  <c r="D82"/>
  <c r="D69"/>
  <c r="D74"/>
  <c r="D73"/>
  <c r="D72"/>
  <c r="D71"/>
  <c r="H63"/>
  <c r="G62"/>
  <c r="G60"/>
  <c r="H57"/>
  <c r="H56"/>
  <c r="H55"/>
  <c r="H54"/>
  <c r="G54"/>
  <c r="G53"/>
  <c r="H48"/>
  <c r="H47"/>
  <c r="G47"/>
  <c r="H46"/>
  <c r="G46"/>
  <c r="H45"/>
  <c r="G45"/>
  <c r="H36"/>
  <c r="G35"/>
  <c r="Q29"/>
  <c r="Q10" s="1"/>
  <c r="G29"/>
  <c r="H25"/>
  <c r="G26"/>
  <c r="G25"/>
  <c r="G24"/>
  <c r="G21"/>
  <c r="H19"/>
  <c r="H15"/>
  <c r="H14"/>
  <c r="G15"/>
  <c r="G14"/>
  <c r="P10"/>
  <c r="R10"/>
  <c r="S10"/>
  <c r="T10"/>
  <c r="U10"/>
  <c r="V10"/>
  <c r="W10"/>
  <c r="X10"/>
  <c r="Y10"/>
  <c r="Z10"/>
  <c r="AA10"/>
  <c r="AB10"/>
  <c r="AC10"/>
  <c r="G13"/>
  <c r="D68" i="3"/>
  <c r="D66"/>
  <c r="D64"/>
  <c r="D62"/>
  <c r="D60"/>
  <c r="D58"/>
  <c r="D56"/>
  <c r="D54"/>
  <c r="D52"/>
  <c r="D50"/>
  <c r="D48"/>
  <c r="D40"/>
  <c r="D38"/>
  <c r="D36"/>
  <c r="D32"/>
  <c r="D20"/>
  <c r="D22"/>
  <c r="D16"/>
  <c r="D5"/>
  <c r="D10"/>
  <c r="D8"/>
  <c r="D7"/>
  <c r="D6"/>
  <c r="G68" i="4" l="1"/>
  <c r="AF10" l="1"/>
  <c r="AE10"/>
  <c r="AD10"/>
  <c r="K10"/>
  <c r="J10"/>
  <c r="I10"/>
  <c r="H64"/>
  <c r="H62"/>
  <c r="H61"/>
  <c r="H60"/>
  <c r="H58"/>
  <c r="H53"/>
  <c r="H52"/>
  <c r="H51"/>
  <c r="H49"/>
  <c r="H43"/>
  <c r="H42"/>
  <c r="H41"/>
  <c r="H35"/>
  <c r="H31"/>
  <c r="H30"/>
  <c r="H29"/>
  <c r="H27"/>
  <c r="H26"/>
  <c r="H24"/>
  <c r="H22"/>
  <c r="H21"/>
  <c r="H18"/>
  <c r="H17"/>
  <c r="H16"/>
  <c r="H13"/>
  <c r="H68" l="1"/>
</calcChain>
</file>

<file path=xl/comments1.xml><?xml version="1.0" encoding="utf-8"?>
<comments xmlns="http://schemas.openxmlformats.org/spreadsheetml/2006/main">
  <authors>
    <author>ITIE</author>
  </authors>
  <commentList>
    <comment ref="D21" authorId="0">
      <text>
        <r>
          <rPr>
            <sz val="9"/>
            <color indexed="81"/>
            <rFont val="Tahoma"/>
            <family val="2"/>
          </rPr>
          <t>Cours moyen annuel USD en XOF (Source BCEAO Rapport annuel 2015 page 13)</t>
        </r>
      </text>
    </comment>
  </commentList>
</comments>
</file>

<file path=xl/sharedStrings.xml><?xml version="1.0" encoding="utf-8"?>
<sst xmlns="http://schemas.openxmlformats.org/spreadsheetml/2006/main" count="691" uniqueCount="412">
  <si>
    <t>PDF</t>
  </si>
  <si>
    <t xml:space="preserve"> </t>
  </si>
  <si>
    <t>11E</t>
  </si>
  <si>
    <t>111E</t>
  </si>
  <si>
    <t>1112E1</t>
  </si>
  <si>
    <t>1112E2</t>
  </si>
  <si>
    <t>112E</t>
  </si>
  <si>
    <t>113E</t>
  </si>
  <si>
    <t>114E</t>
  </si>
  <si>
    <t>1141E</t>
  </si>
  <si>
    <t>1142E</t>
  </si>
  <si>
    <t>1145E</t>
  </si>
  <si>
    <t>114521E</t>
  </si>
  <si>
    <t>114522E</t>
  </si>
  <si>
    <t>11451E</t>
  </si>
  <si>
    <t>115E</t>
  </si>
  <si>
    <t>1151E</t>
  </si>
  <si>
    <t>1152E</t>
  </si>
  <si>
    <t>1153E1</t>
  </si>
  <si>
    <t>116E</t>
  </si>
  <si>
    <t>12E</t>
  </si>
  <si>
    <t>1212E</t>
  </si>
  <si>
    <t>14E</t>
  </si>
  <si>
    <t>141E</t>
  </si>
  <si>
    <t>1412E</t>
  </si>
  <si>
    <t>1412E1</t>
  </si>
  <si>
    <t>1412E2</t>
  </si>
  <si>
    <t>1413E</t>
  </si>
  <si>
    <t>1415E</t>
  </si>
  <si>
    <t>1415E1</t>
  </si>
  <si>
    <t>1415E2</t>
  </si>
  <si>
    <t>1415E31</t>
  </si>
  <si>
    <t>1415E32</t>
  </si>
  <si>
    <t>1415E4</t>
  </si>
  <si>
    <t>1415E5</t>
  </si>
  <si>
    <t>142E</t>
  </si>
  <si>
    <t>1421E</t>
  </si>
  <si>
    <t>1422E</t>
  </si>
  <si>
    <t>143E</t>
  </si>
  <si>
    <t>144E1</t>
  </si>
  <si>
    <t>Les données serviront à alimenter le référentiel mondial de données ITIE, disponible sur le site Internet international de l’ITIE.</t>
  </si>
  <si>
    <t>Les champs en orange doivent obligatoirement être complétés.</t>
  </si>
  <si>
    <t>Les champs en jaune sont facultatifs.</t>
  </si>
  <si>
    <t>À propos</t>
  </si>
  <si>
    <t>Pays</t>
  </si>
  <si>
    <t>Date de début</t>
  </si>
  <si>
    <t>Date de fin</t>
  </si>
  <si>
    <t>Administrateur indépendant</t>
  </si>
  <si>
    <t>Ajouter des rangs le cas échéant pour ajouter d'autres secteurs</t>
  </si>
  <si>
    <t>Autres</t>
  </si>
  <si>
    <t>Autre fichier, lien</t>
  </si>
  <si>
    <t>S'il y a plusieurs fichiers, ajouter des rangs le cas échéant</t>
  </si>
  <si>
    <t>Nombre d'entreprises déclarantes</t>
  </si>
  <si>
    <t>Devise de la déclaration</t>
  </si>
  <si>
    <t>Ventilation des données</t>
  </si>
  <si>
    <t>Code ISO de la devise</t>
  </si>
  <si>
    <t>Taux de conversion utilisé.  1 USD =</t>
  </si>
  <si>
    <t>Par flux de revenus</t>
  </si>
  <si>
    <t>Par entreprise</t>
  </si>
  <si>
    <t>Par projet</t>
  </si>
  <si>
    <t>Informations contextuelles</t>
  </si>
  <si>
    <t>Ajouter des rangs le cas échéant</t>
  </si>
  <si>
    <t>Informations sur l'octroi et le transfert des licences</t>
  </si>
  <si>
    <t>Registre 2</t>
  </si>
  <si>
    <t>Ajouter/enlever des rangs le cas échéant, par registre</t>
  </si>
  <si>
    <t>Revenus du gouvernement tirés des entreprises extractives, par flux de revenus</t>
  </si>
  <si>
    <t>A. Classification GFS des flux de revenus</t>
  </si>
  <si>
    <t>Impôts</t>
  </si>
  <si>
    <t>Impôts sur la masse salariale et la force de travail</t>
  </si>
  <si>
    <t>Impôts sur la propriété</t>
  </si>
  <si>
    <t>Impôts sur les biens et services</t>
  </si>
  <si>
    <t>Droits d'accise</t>
  </si>
  <si>
    <t xml:space="preserve">  Impôts sur l'usage de biens/permission d'utiliser des biens ou d'exécuter des activités</t>
  </si>
  <si>
    <t>Droits de licence</t>
  </si>
  <si>
    <t>Taxes sur les émissions et la pollution</t>
  </si>
  <si>
    <t>Taxes sur les véhicules à moteur</t>
  </si>
  <si>
    <t>Taxes sur le commerce et les transactions au niveau international</t>
  </si>
  <si>
    <t xml:space="preserve">   Droits de douane et autres droits d'importation</t>
  </si>
  <si>
    <t xml:space="preserve">   Taxes sur les exportations</t>
  </si>
  <si>
    <t>Cotisations sociales</t>
  </si>
  <si>
    <t>Cotisations patronales à la sécurité sociale</t>
  </si>
  <si>
    <t>Autre revenu</t>
  </si>
  <si>
    <t>Revenu dégagé de la propriété</t>
  </si>
  <si>
    <t xml:space="preserve">   Dividendes</t>
  </si>
  <si>
    <t xml:space="preserve">      Des entreprises d'État</t>
  </si>
  <si>
    <t xml:space="preserve">   Retraits à partir du revenu de quasi-sociétés</t>
  </si>
  <si>
    <t>Loyers</t>
  </si>
  <si>
    <t xml:space="preserve">      Redevances</t>
  </si>
  <si>
    <t xml:space="preserve">      Primes</t>
  </si>
  <si>
    <t xml:space="preserve">         Livrée/payée directement à l'État</t>
  </si>
  <si>
    <t xml:space="preserve">      Autres paiements de loyer</t>
  </si>
  <si>
    <t>Ventes de marchandises et de services</t>
  </si>
  <si>
    <t xml:space="preserve">   Ventes de marchandises et de services par des entités de l'État</t>
  </si>
  <si>
    <t xml:space="preserve">   Frais administratifs pour services gouvernementaux</t>
  </si>
  <si>
    <t>Amendes, peines et forfaits</t>
  </si>
  <si>
    <t>Transferts volontaires à l'État (donations)</t>
  </si>
  <si>
    <t>E. Remarques</t>
  </si>
  <si>
    <t>Intitulé du flux de revenus dans le pays</t>
  </si>
  <si>
    <t>C. Entreprises</t>
  </si>
  <si>
    <t>Matières premières</t>
  </si>
  <si>
    <t>Nom juridique</t>
  </si>
  <si>
    <t>N° identification</t>
  </si>
  <si>
    <t>Enregistrer les chiffres tels que fournis par le gouvernement, corrigés après l'exercice de rapprochement.</t>
  </si>
  <si>
    <t>Sous-totaux</t>
  </si>
  <si>
    <t>&lt;texte&gt;</t>
  </si>
  <si>
    <t>Registre de la propriété réelle disponible au public</t>
  </si>
  <si>
    <t>Registre des contrats disponible au public</t>
  </si>
  <si>
    <t>Modèle pour le résumé des données du rapport ITIE</t>
  </si>
  <si>
    <t>Conformément à la Norme ITIE § 5.3.b :</t>
  </si>
  <si>
    <t>« Des données résumées de chaque rapport ITIE devront être communiquées au Secrétariat international par voie électronique en respectant le format de déclaration standard préétabli par le Secrétariat international. »</t>
  </si>
  <si>
    <t>Date de publication du rapport ITIE (c.-à-d. date où il a été rendu public)</t>
  </si>
  <si>
    <t>Minier</t>
  </si>
  <si>
    <t>Liens Internet vers le rapport ITIE, sur le site Internet national de l'ITIE</t>
  </si>
  <si>
    <t>Nombre d'entités de l'État déclarantes</t>
  </si>
  <si>
    <t>Secteurs couverts</t>
  </si>
  <si>
    <t>Si non, fournir une brève explication.</t>
  </si>
  <si>
    <t>Registre public des licences, pétrole</t>
  </si>
  <si>
    <t>Registre public des licences, minerais</t>
  </si>
  <si>
    <t>(C) énumération des entreprises qui font une déclaration, (D) enregistrement des paiements par flux de revenus et par entreprise, et (E) toute remarque justifiant les informations fournies.</t>
  </si>
  <si>
    <t>Cette feuille de travail couvre les éléments suivants: (A) identification de l'inclusion ou non d'un flux de revenus dans le rapport ITIE, (B) énumération des flux de revenus en fonction de leur classification correspondante,</t>
  </si>
  <si>
    <t>Codes GFS des flux de revenus issus des entreprises extractives</t>
  </si>
  <si>
    <t>Impôts sur le revenu, le bénéfice et les plus-values</t>
  </si>
  <si>
    <t xml:space="preserve">   Impôts ordinaires sur le revenu, le bénéfice et les plus-values</t>
  </si>
  <si>
    <t>Inclus dans le rapport ITIE</t>
  </si>
  <si>
    <t xml:space="preserve">   Impôts extraordinaires sur le revenu, le bénéfice et les plus-values</t>
  </si>
  <si>
    <t>Impôts généraux sur les biens et services (TVA, taxe sur les ventes, taxe sur le chiffre d'affaires</t>
  </si>
  <si>
    <t xml:space="preserve">   Bénéfices des monopoles fiscaux sur les ressources naturelles</t>
  </si>
  <si>
    <t>Autres impôts payés par les entreprises exploitant des ressources naturelles</t>
  </si>
  <si>
    <t xml:space="preserve">      Issus de la participation de l'État (fonds propres)</t>
  </si>
  <si>
    <t xml:space="preserve">      Droits associés à la production (en nature ou en espèces)</t>
  </si>
  <si>
    <t xml:space="preserve">         Livrée/payée à une/des entreprise(s) d'État</t>
  </si>
  <si>
    <t xml:space="preserve">      Transferts obligatoires à l'État (infrastructures et autres éléments)</t>
  </si>
  <si>
    <t>Inscrire le nom des entreprises incluses dans le rapport ITIE. Ajouter des colonnes le cas échéant.</t>
  </si>
  <si>
    <t>La partie 1 couvre les informations essentielles à propos du rapport.</t>
  </si>
  <si>
    <t>La partie 2 concerne la disponibilité des données contextuelles, conformément aux Exigences n° 3 et n° 4.</t>
  </si>
  <si>
    <t>Le modèle comporte trois parties (feuilles de travail) :</t>
  </si>
  <si>
    <t>Année fiscale couverte par le rapport</t>
  </si>
  <si>
    <t>Pétrolier</t>
  </si>
  <si>
    <t>Gazier</t>
  </si>
  <si>
    <t>La partie 3 couvre les données relatives aux revenus du gouvernement, ventilées par flux de revenus et par entreprise. On trouvera un exemple de cette dernière partie complétée, avec les données du rapport ITIE 2012 de la Norvège, dans la dernière feuille de travail.</t>
  </si>
  <si>
    <t>Nom</t>
  </si>
  <si>
    <t>Organisation</t>
  </si>
  <si>
    <t>Adresse électronique</t>
  </si>
  <si>
    <t>Coordonnées de la personne qui a rempli ce formulaire</t>
  </si>
  <si>
    <t>Contribution des industries extractives à l'économie (3.4)</t>
  </si>
  <si>
    <t xml:space="preserve">Modifier l'entrée sélectionnée par défaut dans la colonne « unité » le cas échéant. </t>
  </si>
  <si>
    <t>USD</t>
  </si>
  <si>
    <t>Pétrole, volume</t>
  </si>
  <si>
    <r>
      <rPr>
        <i/>
        <sz val="10"/>
        <color theme="1"/>
        <rFont val="Calibri"/>
        <family val="2"/>
        <scheme val="minor"/>
      </rPr>
      <t>Ajouter/enlever des rangs le cas échéant, par matière première.</t>
    </r>
    <r>
      <rPr>
        <sz val="10"/>
        <color theme="1"/>
        <rFont val="Calibri"/>
        <family val="2"/>
        <scheme val="minor"/>
      </rPr>
      <t xml:space="preserve"> </t>
    </r>
  </si>
  <si>
    <t>Unité</t>
  </si>
  <si>
    <t>URL direct vers la source ou, si celle-ci n'est pas disponible, vers la section du rapport ITIE</t>
  </si>
  <si>
    <t>Gaz, volume</t>
  </si>
  <si>
    <t>Volume et valeur des exportations (3.5.b)</t>
  </si>
  <si>
    <t xml:space="preserve">Ajouter/enlever des rangs le cas échéant, par matière première. </t>
  </si>
  <si>
    <t>Répartition des revenus tirés des industries extractives (3.7.a)</t>
  </si>
  <si>
    <t>Les revenus extractifs sont-ils enregistrés dans le budget/les comptes du gouvernement ?</t>
  </si>
  <si>
    <t>Registre des licences (3.9)</t>
  </si>
  <si>
    <t>Ajouter des rangs le cas échéant, par registre</t>
  </si>
  <si>
    <t>Octroi des licences (3.10)</t>
  </si>
  <si>
    <t>Propriété réelle (3.11)</t>
  </si>
  <si>
    <t>Contrats (3.12)</t>
  </si>
  <si>
    <t>Les contrats sont-ils divulgués ?</t>
  </si>
  <si>
    <t>Le rapport prend-il en compte la politique du gouvernement concernant la divulgation des contrats ?</t>
  </si>
  <si>
    <t xml:space="preserve">Vente de la part de production revenant à l'État ou autres ventes perçues en nature (4.1.c) </t>
  </si>
  <si>
    <t>Le rapport prend-il cette question en compte ?</t>
  </si>
  <si>
    <t>Total des revenus perçus ?</t>
  </si>
  <si>
    <t>Fourniture d'infrastructures et accords de troc (4.1.d)</t>
  </si>
  <si>
    <t>Dépenses sociales (4.1.e)</t>
  </si>
  <si>
    <t>Modifier l'entrée sélectionnée par défaut dans la colonne « unité » le cas échéant.</t>
  </si>
  <si>
    <t>Le rapport prend-il en compte les dépenses sociales ?</t>
  </si>
  <si>
    <t>Le rapport prend-il en compte les revenus provenant du transport ?</t>
  </si>
  <si>
    <t>Revenus provenant du transport (4.1.f)</t>
  </si>
  <si>
    <t>Transferts infranationaux (4.2.e)</t>
  </si>
  <si>
    <t>Le rapport prend-il en compte les transferts infranationaux ?</t>
  </si>
  <si>
    <t>Le rapport prend-il en compte les paiements infranationaux ?</t>
  </si>
  <si>
    <t>Paiements infranationaux (4.2.d)</t>
  </si>
  <si>
    <t>Unité monétaire</t>
  </si>
  <si>
    <t>Revenus, tels que divulgués par le gouvernement</t>
  </si>
  <si>
    <t>Inscrire les flux de revenus inclus dans le rapport ITIE. S’il y a plusieurs flux de revenus pour la même classification GFS, copier la ligne et la reproduire dans un nouveau rang. Seuls les paiements versés par les entreprises aux gouvernements pour leur propre compte doivent être inclus. Les paiements versés par les entreprises aux gouvernements au nom de leurs employés doivent être exclus (par exemple, l'impôt sur le revenu des particuliers  / impôts retenus à la source, cotisations des employés pour la sécurité sociale). Dans la troisième colonne, inscrivez le chiffre total de chaque flux de revenus tel que divulgué par le gouvernement, qui inclut également les revenus qui n'ont pas été rapprochés.</t>
  </si>
  <si>
    <t>TOTAL, rapproché</t>
  </si>
  <si>
    <t>D. Revenus rapprochés par flux de revenus et par entreprise</t>
  </si>
  <si>
    <t>Volume et valeur de la production (3.5.a)</t>
  </si>
  <si>
    <t>Si oui, indiquer le lien vers les comptes du gouvernement où sont enregistrés les revenus.</t>
  </si>
  <si>
    <t>Indiquer le lien vers les autres rapports financiers où sont enregistrés les revenus.</t>
  </si>
  <si>
    <t>Si incomplet ou non disponible, donner une explication.</t>
  </si>
  <si>
    <t>Volume total vendu ? (Préciser l'unité, ajouter des rangs le cas échéant)</t>
  </si>
  <si>
    <t>Si oui, quel est le montant total des revenus perçus ?</t>
  </si>
  <si>
    <t>Entrée. Si oui, donner une référence de la section afférente dans le rapport ITIE.</t>
  </si>
  <si>
    <t>Entrée</t>
  </si>
  <si>
    <t>Nom de l'organisme gouvernemental destinataire</t>
  </si>
  <si>
    <t>TOTAL, divulgué par le gouvernement</t>
  </si>
  <si>
    <t>Version 1.1 du 5 mars 2015</t>
  </si>
  <si>
    <r>
      <t xml:space="preserve">Le présent formulaire modèle devra être rempli intégralement par le secrétariat national et </t>
    </r>
    <r>
      <rPr>
        <u/>
        <sz val="11"/>
        <color rgb="FF000000"/>
        <rFont val="Calibri"/>
        <family val="2"/>
        <scheme val="minor"/>
      </rPr>
      <t>retourné par courrier électronique</t>
    </r>
    <r>
      <rPr>
        <sz val="11"/>
        <color rgb="FF000000"/>
        <rFont val="Calibri"/>
        <family val="2"/>
        <scheme val="minor"/>
      </rPr>
      <t xml:space="preserve"> au Secrétariat international de l’ITIE suite à la publication du rapport.</t>
    </r>
  </si>
  <si>
    <t>Fichier de données électronique (csv, Excel)</t>
  </si>
  <si>
    <t>PIB - industries extractives (valeur ajoutée brute)</t>
  </si>
  <si>
    <t>PIB - tous secteurs</t>
  </si>
  <si>
    <t xml:space="preserve">Revenus du gouvernement - venat des industries extractives </t>
  </si>
  <si>
    <t xml:space="preserve">Revenus du gouvernement - tous secteurs </t>
  </si>
  <si>
    <t>Exportations - industries extractives</t>
  </si>
  <si>
    <t>Exportations - tous secteurs</t>
  </si>
  <si>
    <t>&lt;sélectionner l'option&gt;</t>
  </si>
  <si>
    <t>B. Flux de revenus (y compris ceux non rapprochés)</t>
  </si>
  <si>
    <t xml:space="preserve">Indiquer si le flux de revenus est « inclus et rapproché », « inclus et rapproché en partie » ou « inclus et non rapproché »,  « non applicable », « pas inclus » dans le rapport ITIE. Si « inclus », inscrire les flux de revenus dans la case intitulée « Flux de revenus ». La lettre E dans la colonne des codes GFS signifie que ce sont les codes utilisés pour les revenus issus des entreprises extractives. Les chiffres situés à gauche de la lettre E sont les codes GFS réels. Les chiffres situés à droite de la lettre E sont les sous-catégories créées exclusivement pour les revenus issus des entreprises extractives. </t>
  </si>
  <si>
    <t>Commentaires</t>
  </si>
  <si>
    <t>1415E3</t>
  </si>
  <si>
    <t xml:space="preserve">Le Secrétariat international peut prodiguer conseils et soutien sur demande. Veuillez le contacter à </t>
  </si>
  <si>
    <t>data@eiti.org</t>
  </si>
  <si>
    <t>Politique relative aux données ouvertes</t>
  </si>
  <si>
    <t>Pétrole, valeur</t>
  </si>
  <si>
    <t>Or, volume</t>
  </si>
  <si>
    <t>Gaz, valeur</t>
  </si>
  <si>
    <t>Or, valeur</t>
  </si>
  <si>
    <t>Sm3</t>
  </si>
  <si>
    <t>Sm3 o.e.</t>
  </si>
  <si>
    <t>Company identifier name/source</t>
  </si>
  <si>
    <t>Exemple: Nombre d'organisation</t>
  </si>
  <si>
    <t>Secteur</t>
  </si>
  <si>
    <t>Inclus et rapproché</t>
  </si>
  <si>
    <t>Miniere</t>
  </si>
  <si>
    <t>Pétrole</t>
  </si>
  <si>
    <t>Or</t>
  </si>
  <si>
    <t>Sénégal</t>
  </si>
  <si>
    <t>Moore Stephens</t>
  </si>
  <si>
    <t xml:space="preserve"> 2017-10-13</t>
  </si>
  <si>
    <t>Carrière</t>
  </si>
  <si>
    <t>Oui</t>
  </si>
  <si>
    <t>http://itie.sn/rapports-2015-2016/</t>
  </si>
  <si>
    <t>Non identifé</t>
  </si>
  <si>
    <t>XOF</t>
  </si>
  <si>
    <t>Sans objet</t>
  </si>
  <si>
    <t>Sami Sakka</t>
  </si>
  <si>
    <t>sami.sakka@moorestephens.com</t>
  </si>
  <si>
    <t>Milliard USD</t>
  </si>
  <si>
    <t>4.6.2 Contribution dans le PIB</t>
  </si>
  <si>
    <t>4.6.1 Contribution dans le budget de l’Etat</t>
  </si>
  <si>
    <t>4.6.3 Contribution dans les exportations</t>
  </si>
  <si>
    <t xml:space="preserve">Normo mètre cube </t>
  </si>
  <si>
    <t>1.2. La production et les exportations du secteur extractif</t>
  </si>
  <si>
    <t>Once</t>
  </si>
  <si>
    <t>Argent, volume</t>
  </si>
  <si>
    <t>Argent, valeur</t>
  </si>
  <si>
    <t>Phosphate, volume</t>
  </si>
  <si>
    <t>Phosphate, valeur</t>
  </si>
  <si>
    <t>Tonne</t>
  </si>
  <si>
    <t>Attapulgite, volume</t>
  </si>
  <si>
    <t>Attapulgite, valeur</t>
  </si>
  <si>
    <t>Ilmenite 54, volume</t>
  </si>
  <si>
    <t>Ilmenite 54, valeur</t>
  </si>
  <si>
    <t>Premium Zircon, volume</t>
  </si>
  <si>
    <t>Premium Zircon, valeur</t>
  </si>
  <si>
    <t>Standard Zircon, volume</t>
  </si>
  <si>
    <t>Standard Zircon, valeur</t>
  </si>
  <si>
    <t>Ilmenite 58, volume</t>
  </si>
  <si>
    <t>Ilmenite 58, valeur</t>
  </si>
  <si>
    <t>Basalte, volume</t>
  </si>
  <si>
    <t>Basalte, valeur</t>
  </si>
  <si>
    <t>Rutile, volume</t>
  </si>
  <si>
    <t>Rutile, valeur</t>
  </si>
  <si>
    <t>Calcaire, volume</t>
  </si>
  <si>
    <t>Calcaire, valeur</t>
  </si>
  <si>
    <t>Argile, volume</t>
  </si>
  <si>
    <t>Argile, valeur</t>
  </si>
  <si>
    <t>Latérite, volume</t>
  </si>
  <si>
    <t>Latérite, valeur</t>
  </si>
  <si>
    <t>Leucoxene, volume</t>
  </si>
  <si>
    <t>Leucoxene, valeur</t>
  </si>
  <si>
    <t>4.3 Collecte et gestion des revenus extractifs</t>
  </si>
  <si>
    <t>Tableau des Opérations Financières de l'Etat (TOFE)</t>
  </si>
  <si>
    <t>http://www.dpee.sn/-TOFE-.html?lang=fr</t>
  </si>
  <si>
    <t xml:space="preserve"> Loi des finances rectificative pour l’année 2016</t>
  </si>
  <si>
    <t>http://www.dgf.finances.gouv.sn/dgf/documentation/DB/LFR_2016.pdf</t>
  </si>
  <si>
    <t>NA</t>
  </si>
  <si>
    <t>Cadastre minier</t>
  </si>
  <si>
    <t>http://www.dirmingeol.sn/pages_utiles/carte_des_permis_m.php</t>
  </si>
  <si>
    <t>Pas de registre public pour les licences du secteur pétrolier. Un répertoire pétrolier nous a été communiqué par la société PETROSEN.</t>
  </si>
  <si>
    <t>4.2.11 Octroi et gestion des permis pétroliers
d) Registre des titres pétroliers</t>
  </si>
  <si>
    <t>Secteur minier : loi n° 2003-36 portant Code Minier, telle que modifiée par la Loi 2012-36, et le décret d’application 2004-647
Secteur pétrolier: loi n° 98-05 portant Code Pétrolier et le décret d’application 98-810</t>
  </si>
  <si>
    <t>4.1.7 Octroi et gestion des titres miniers
4.2.11 Octroi et gestion des permis pétroliers</t>
  </si>
  <si>
    <t>Non disponible</t>
  </si>
  <si>
    <t>4.5.1 Cadre juridique de la propriété réelle au Sénégal</t>
  </si>
  <si>
    <t>En partie</t>
  </si>
  <si>
    <t>4.1.8 Publication des contrats miniers
4.2.8 Publication des contrats pétroliers</t>
  </si>
  <si>
    <t>4.3.1 Schéma de circulation des flux</t>
  </si>
  <si>
    <t>Tableau n° 44 : des flux de paiements par organisme collecteur (Secteur des hydrocarbures)</t>
  </si>
  <si>
    <t>4.1.13 Fournitures d’infrastructures et accords de troc
4.2.14 Fournitures d’infrastructures et accords de troc</t>
  </si>
  <si>
    <t>6.3. Paiements sociaux
Annexe 11 : Déclaration des paiements sociaux – Secteur Pétrolier
Annexe 12 : Déclaration des paiements sociaux – Secteur Minier</t>
  </si>
  <si>
    <t>Tableau n°63 : Détail des dépenses sociales des sociétés extractives</t>
  </si>
  <si>
    <t>Non</t>
  </si>
  <si>
    <t>Tableau n° 46 : Rapprochement des flux de paiement par organisme collecteur (secteur minier)
Les paiements infranationaux se résument à la patente payée aux localités.</t>
  </si>
  <si>
    <t>Tableau n° 46 : Rapprochement des flux de paiement par organisme collecteur (secteur minier)</t>
  </si>
  <si>
    <t>4.1.12 Transferts infranationaux
4.2.16 Transferts infranationaux</t>
  </si>
  <si>
    <t>Annexe 9 : Données sur la production et les ventes</t>
  </si>
  <si>
    <t>Milliard XOF</t>
  </si>
  <si>
    <t>L'argent est produit lors du raffinage de l'or. Il a uniquement une valeur à l'exportation</t>
  </si>
  <si>
    <t>Ce montant correspond uniquement à la production de 1 425 402 Tonnes. Pour l'autre partie de la production les sociétés n'ont pas communiqué une valeur</t>
  </si>
  <si>
    <t>Ce montant correspond uniquement à la production de 1 536 830 Tonnes et 686 742 M3. Pour l'autre partie de production les sociétés n'ont pas communiqué une valeur.</t>
  </si>
  <si>
    <t>Ce montant correspond uniquement à la production de 160 794 Tonnes. Pour l'autre partie de la production les sociétés n'ont pas communiqué une valeur</t>
  </si>
  <si>
    <t>Million USD</t>
  </si>
  <si>
    <t>Société des Pétroles du Sénégal (PETROSEN.SA)</t>
  </si>
  <si>
    <t>FORTESA (succursale)</t>
  </si>
  <si>
    <t>Trace Atlantic/Rex Atlantic</t>
  </si>
  <si>
    <t>African Petroleum Senegal</t>
  </si>
  <si>
    <t>Capricorn Senegal Limited (succursale)</t>
  </si>
  <si>
    <t>Kosmos Energy Senegal</t>
  </si>
  <si>
    <t>Blackstairs Energy Senegal Limited</t>
  </si>
  <si>
    <t>Société de Commercialisation du Ciment (SOCOCIM)</t>
  </si>
  <si>
    <t>Sabodala Gold Operations S.A. (SGO)</t>
  </si>
  <si>
    <t>LES CIMENTS DU SAHEL SA</t>
  </si>
  <si>
    <t>GRANDE COTE OPERATIONS (GCO)</t>
  </si>
  <si>
    <t>Société Sénégalaise des Phosphates de Thiès (SSPT)</t>
  </si>
  <si>
    <t>INDUSTRIES CHIMIQUES DU SENEGAL</t>
  </si>
  <si>
    <t>DANGOTE CEMENT SENEGAL</t>
  </si>
  <si>
    <t>AGEM SENEGAL EXPLORATION SUARL</t>
  </si>
  <si>
    <t>Société Miniére de la Vallée du Fleuve Sénégal (SOMIVA)</t>
  </si>
  <si>
    <t>Sabodala Mining Company SARL (SMC)</t>
  </si>
  <si>
    <t>SEPHOS Sénégal</t>
  </si>
  <si>
    <t>AFRICAN INVESTMENT GROUP</t>
  </si>
  <si>
    <t>Société Sénégalaise d'Exploitation des Carrières (SOSECAR)</t>
  </si>
  <si>
    <t>Compagnie Générale d'Exploitation de Carrières (COGECA)</t>
  </si>
  <si>
    <t>GECAMINES SA</t>
  </si>
  <si>
    <t>SOCIETE DE DEVELOPPEMENT DE L'INDUSTRIE DU TOURISME ET DE L'HABITAT AU SENEGAL (SODEVIT)</t>
  </si>
  <si>
    <t>SOCIETE DES MINES DE FER DU SENEGAL ORIENTAL (MIFERSO)</t>
  </si>
  <si>
    <t>0024498 2G3</t>
  </si>
  <si>
    <t>000415770 2G3</t>
  </si>
  <si>
    <t>4498847 2G3 
5117389 2V0</t>
  </si>
  <si>
    <t>004888056 2A2</t>
  </si>
  <si>
    <t>005251822 2A2</t>
  </si>
  <si>
    <t>50997192 A2</t>
  </si>
  <si>
    <t>0016627 2G3</t>
  </si>
  <si>
    <t>2850023 2G3</t>
  </si>
  <si>
    <t>0325995 2G3</t>
  </si>
  <si>
    <t>2849258 2G3</t>
  </si>
  <si>
    <t>0028797 2G3</t>
  </si>
  <si>
    <t>0022955 2G3</t>
  </si>
  <si>
    <t>2707208 2G3</t>
  </si>
  <si>
    <t>004151750 2Y2</t>
  </si>
  <si>
    <t>4475142 2G3</t>
  </si>
  <si>
    <t>2464410 0G2</t>
  </si>
  <si>
    <t>4013041 2G3</t>
  </si>
  <si>
    <t>4507995 2Y3</t>
  </si>
  <si>
    <t>0028466 2G3</t>
  </si>
  <si>
    <t>0196784 2G3</t>
  </si>
  <si>
    <t>2292168 2G3</t>
  </si>
  <si>
    <t>0025850 2G3</t>
  </si>
  <si>
    <t>0023896 2G3</t>
  </si>
  <si>
    <t>Gaz naturel</t>
  </si>
  <si>
    <t>pétrole</t>
  </si>
  <si>
    <t>Calcaire</t>
  </si>
  <si>
    <t>Or et Argent</t>
  </si>
  <si>
    <t>calcaire/ Argile &amp; Latérite</t>
  </si>
  <si>
    <t>ATTAPULGITE</t>
  </si>
  <si>
    <t>PHOSPHATE DE CHAUX ET PRODUITS DIVERS</t>
  </si>
  <si>
    <t>calcaire  argile laterite</t>
  </si>
  <si>
    <t>Phosphate</t>
  </si>
  <si>
    <t>Phosphate et Illménite</t>
  </si>
  <si>
    <t>Calcaire et Basalte</t>
  </si>
  <si>
    <t>Basalte</t>
  </si>
  <si>
    <t>Fer</t>
  </si>
  <si>
    <t>Gaz</t>
  </si>
  <si>
    <t>Impôt sur les sociétés</t>
  </si>
  <si>
    <t>Direction Générale des Impôts et des Domaines (DGID)</t>
  </si>
  <si>
    <t>Inclus et partiellement rapproché</t>
  </si>
  <si>
    <t>Contribution spéciale sur les produits des mines et des carrières (CSMC)</t>
  </si>
  <si>
    <t>Impôt sur le revenu des valeurs mobilières</t>
  </si>
  <si>
    <t>Contribution foncière des propriétés bâties (CFPB)</t>
  </si>
  <si>
    <t>Direction Générale de la Comptabilité Publique et du Trésor (DGCPT)</t>
  </si>
  <si>
    <t>Surtaxe foncière</t>
  </si>
  <si>
    <t>Taxe sur la valeur ajoutée reversée</t>
  </si>
  <si>
    <t>Droits d'entrée/fixes</t>
  </si>
  <si>
    <t>Direction des Mines et de la Géologie (DMG)</t>
  </si>
  <si>
    <t>Patente</t>
  </si>
  <si>
    <t>Taxes d'abattage</t>
  </si>
  <si>
    <t>Direction des Eaux, Forêts, Chasses et Conservation des Sols (DEFCCS)</t>
  </si>
  <si>
    <t xml:space="preserve">Droits de douane, TVA douanière et taxes assimilées </t>
  </si>
  <si>
    <t>Direction Générale des Douanes (DGD)</t>
  </si>
  <si>
    <t>Cotisations sociales (y compris les pénalités)</t>
  </si>
  <si>
    <t>Caisse de Sécurité Sociale (CSS)</t>
  </si>
  <si>
    <t>Institution de prévoyance retraite du Sénégal (IPRES)</t>
  </si>
  <si>
    <t>Redevance minière</t>
  </si>
  <si>
    <t>Loyer superficiel</t>
  </si>
  <si>
    <t>Société des Pétroles du Sénégal (PETROSEN)</t>
  </si>
  <si>
    <t>Taxe superficiaire</t>
  </si>
  <si>
    <t>Direction de l'Environnement et des Etablissements Classés (DEEC)</t>
  </si>
  <si>
    <t>Redevance au Receveur Domaine Rufisque</t>
  </si>
  <si>
    <t>Inclus et non rapproché</t>
  </si>
  <si>
    <t xml:space="preserve">Revenus issus de la commercialisation de la Part de la production de l'État </t>
  </si>
  <si>
    <t>Revenus issus de la commercialisation de la Part de la production de Petrosen</t>
  </si>
  <si>
    <t>Appui institutionnel</t>
  </si>
  <si>
    <t>Appui à la formation et Appui à la promotion de la recherche et de l'exploitation</t>
  </si>
  <si>
    <t>Appui aux projets sociaux</t>
  </si>
  <si>
    <t>Appui Institutionnel (Fonds d'appui au Mini. De l'Env)</t>
  </si>
  <si>
    <t>Appui institutionnel aux collectivités locales</t>
  </si>
  <si>
    <t>Achat de données sismiques</t>
  </si>
  <si>
    <t>Redressements fiscaux</t>
  </si>
  <si>
    <t>Recettes exceptionelle/Affaire Mittal</t>
  </si>
  <si>
    <t xml:space="preserve">1- Le total des paiements reçu par le gouvernement s'élève à </t>
  </si>
  <si>
    <t>Nous avons exclu tous les paiements suivant:</t>
  </si>
  <si>
    <t>Retenues à la source sur salaires (IR, TRIMF et CFCE)</t>
  </si>
  <si>
    <t>Retenues à la source sur bénéfice non commercial</t>
  </si>
  <si>
    <t>Retenue à la source sur sommes versées à des tiers</t>
  </si>
  <si>
    <t>Taxe sur la valeur ajoutée précomptée (RAS)</t>
  </si>
  <si>
    <t>Paiements sociaux</t>
  </si>
  <si>
    <t>2- Les revenus de l'IPRES décarés sont composés aussi bien de la cotisation salariale et patronale.</t>
  </si>
  <si>
    <t>Les déclarations reçues de l'IPRES ne distinguent pas le montant de la cotisation sociale et la cotisation patronale.</t>
  </si>
  <si>
    <t>Revenus du secteur extractif 2015</t>
  </si>
  <si>
    <t>http://itie.sn/wp-content/uploads/2017/03/Politique-de-Données-Ouvertes-CN-ITIE-Sénégal-vf.pdf</t>
  </si>
  <si>
    <t>Pas de paiements en nature à l'Etat, la part de l'Etat est perçue en numéraire</t>
  </si>
  <si>
    <t>https://www.sec.gouv.sn/-Conventions-minieres-.html</t>
  </si>
  <si>
    <t>https://www.sec.gouv.sn/Point-de-situation-sur-les.html</t>
  </si>
  <si>
    <t>Site du Gouvernement</t>
  </si>
  <si>
    <t>BUREAU D'APPUI A LA CREATION D'ENTREPRISE</t>
  </si>
  <si>
    <t>http://www.creationdentreprise.sn/rechercher-une-societe</t>
  </si>
</sst>
</file>

<file path=xl/styles.xml><?xml version="1.0" encoding="utf-8"?>
<styleSheet xmlns="http://schemas.openxmlformats.org/spreadsheetml/2006/main">
  <numFmts count="6">
    <numFmt numFmtId="164" formatCode="_ * #,##0.00_ ;_ * \-#,##0.00_ ;_ * &quot;-&quot;??_ ;_ @_ "/>
    <numFmt numFmtId="165" formatCode="yyyy\-mm\-dd;@"/>
    <numFmt numFmtId="166" formatCode="_ * #,##0_ ;_ * \-#,##0_ ;_ * &quot;-&quot;??_ ;_ @_ "/>
    <numFmt numFmtId="167" formatCode="0.000"/>
    <numFmt numFmtId="168" formatCode="#,##0.000"/>
    <numFmt numFmtId="169" formatCode="#,##0.0"/>
  </numFmts>
  <fonts count="40">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u/>
      <sz val="10"/>
      <color rgb="FFFF0000"/>
      <name val="Calibri"/>
      <family val="2"/>
      <scheme val="minor"/>
    </font>
    <font>
      <sz val="20"/>
      <color theme="1"/>
      <name val="Calibri"/>
      <family val="2"/>
    </font>
    <font>
      <sz val="10"/>
      <color rgb="FFFF0000"/>
      <name val="Calibri (Body)"/>
    </font>
    <font>
      <b/>
      <sz val="16"/>
      <color rgb="FF000000"/>
      <name val="Calibri (Body)"/>
    </font>
    <font>
      <sz val="16"/>
      <color rgb="FF000000"/>
      <name val="Calibri"/>
      <family val="2"/>
      <scheme val="minor"/>
    </font>
    <font>
      <i/>
      <sz val="11"/>
      <color rgb="FF000000"/>
      <name val="Calibri"/>
      <family val="2"/>
      <scheme val="minor"/>
    </font>
    <font>
      <sz val="11"/>
      <color rgb="FF000000"/>
      <name val="Calibri"/>
      <family val="2"/>
      <scheme val="minor"/>
    </font>
    <font>
      <sz val="12"/>
      <color rgb="FF000000"/>
      <name val="Calibri"/>
      <family val="2"/>
      <scheme val="minor"/>
    </font>
    <font>
      <b/>
      <sz val="12"/>
      <color theme="0" tint="-0.34998626667073579"/>
      <name val="Calibri"/>
      <family val="2"/>
    </font>
    <font>
      <i/>
      <sz val="12"/>
      <color theme="0" tint="-0.34998626667073579"/>
      <name val="Calibri"/>
      <family val="2"/>
    </font>
    <font>
      <i/>
      <sz val="10"/>
      <color theme="1"/>
      <name val="Calibri"/>
      <family val="2"/>
    </font>
    <font>
      <i/>
      <sz val="10"/>
      <name val="Calibri"/>
      <family val="2"/>
    </font>
    <font>
      <i/>
      <sz val="11"/>
      <color theme="1"/>
      <name val="Calibri"/>
      <family val="2"/>
      <scheme val="minor"/>
    </font>
    <font>
      <sz val="12"/>
      <color theme="1"/>
      <name val="Cambria"/>
      <family val="1"/>
    </font>
    <font>
      <b/>
      <sz val="16"/>
      <color rgb="FF000000"/>
      <name val="Times New Roman"/>
      <family val="1"/>
    </font>
    <font>
      <sz val="11"/>
      <color rgb="FF000000"/>
      <name val="Calibri"/>
      <family val="2"/>
    </font>
    <font>
      <i/>
      <sz val="10"/>
      <color rgb="FF000000"/>
      <name val="Calibri"/>
      <family val="2"/>
      <scheme val="minor"/>
    </font>
    <font>
      <u/>
      <sz val="11"/>
      <color rgb="FF000000"/>
      <name val="Calibri"/>
      <family val="2"/>
      <scheme val="minor"/>
    </font>
    <font>
      <b/>
      <sz val="16"/>
      <color theme="1"/>
      <name val="Calibri"/>
      <family val="2"/>
    </font>
    <font>
      <i/>
      <sz val="10"/>
      <color theme="1"/>
      <name val="Calibri"/>
      <family val="2"/>
    </font>
    <font>
      <b/>
      <sz val="11"/>
      <color rgb="FF3F3F3F"/>
      <name val="Calibri"/>
      <family val="2"/>
      <scheme val="minor"/>
    </font>
    <font>
      <b/>
      <i/>
      <sz val="10"/>
      <color rgb="FF3F3F3F"/>
      <name val="Calibri"/>
      <family val="2"/>
      <scheme val="minor"/>
    </font>
    <font>
      <sz val="12"/>
      <color theme="1"/>
      <name val="Calibri"/>
      <family val="2"/>
      <scheme val="minor"/>
    </font>
    <font>
      <sz val="9"/>
      <color indexed="81"/>
      <name val="Tahoma"/>
      <family val="2"/>
    </font>
  </fonts>
  <fills count="14">
    <fill>
      <patternFill patternType="none"/>
    </fill>
    <fill>
      <patternFill patternType="gray125"/>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
      <patternFill patternType="solid">
        <fgColor rgb="FFF2F2F2"/>
        <bgColor indexed="64"/>
      </patternFill>
    </fill>
  </fills>
  <borders count="44">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style="thick">
        <color auto="1"/>
      </left>
      <right style="thick">
        <color auto="1"/>
      </right>
      <top style="thick">
        <color auto="1"/>
      </top>
      <bottom style="thin">
        <color auto="1"/>
      </bottom>
      <diagonal/>
    </border>
    <border>
      <left/>
      <right/>
      <top style="thin">
        <color auto="1"/>
      </top>
      <bottom style="thin">
        <color auto="1"/>
      </bottom>
      <diagonal/>
    </border>
    <border>
      <left style="thick">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ck">
        <color auto="1"/>
      </top>
      <bottom style="thin">
        <color auto="1"/>
      </bottom>
      <diagonal/>
    </border>
    <border>
      <left/>
      <right style="medium">
        <color auto="1"/>
      </right>
      <top style="thin">
        <color auto="1"/>
      </top>
      <bottom style="thin">
        <color auto="1"/>
      </bottom>
      <diagonal/>
    </border>
    <border>
      <left/>
      <right style="medium">
        <color auto="1"/>
      </right>
      <top/>
      <bottom style="thin">
        <color auto="1"/>
      </bottom>
      <diagonal/>
    </border>
    <border>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diagonal/>
    </border>
    <border>
      <left/>
      <right style="thick">
        <color auto="1"/>
      </right>
      <top/>
      <bottom/>
      <diagonal/>
    </border>
    <border>
      <left style="medium">
        <color auto="1"/>
      </left>
      <right style="thick">
        <color auto="1"/>
      </right>
      <top/>
      <bottom style="thin">
        <color auto="1"/>
      </bottom>
      <diagonal/>
    </border>
    <border>
      <left style="thick">
        <color auto="1"/>
      </left>
      <right/>
      <top style="thin">
        <color auto="1"/>
      </top>
      <bottom style="thick">
        <color auto="1"/>
      </bottom>
      <diagonal/>
    </border>
    <border>
      <left/>
      <right style="medium">
        <color auto="1"/>
      </right>
      <top/>
      <bottom style="thick">
        <color auto="1"/>
      </bottom>
      <diagonal/>
    </border>
    <border>
      <left/>
      <right style="thick">
        <color auto="1"/>
      </right>
      <top/>
      <bottom style="thick">
        <color auto="1"/>
      </bottom>
      <diagonal/>
    </border>
    <border>
      <left style="thin">
        <color auto="1"/>
      </left>
      <right style="thin">
        <color auto="1"/>
      </right>
      <top style="thin">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bottom/>
      <diagonal/>
    </border>
    <border>
      <left style="thin">
        <color auto="1"/>
      </left>
      <right style="thin">
        <color auto="1"/>
      </right>
      <top/>
      <bottom style="thick">
        <color auto="1"/>
      </bottom>
      <diagonal/>
    </border>
    <border>
      <left style="medium">
        <color indexed="64"/>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s>
  <cellStyleXfs count="300">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2" borderId="6" applyNumberForma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6" fillId="12" borderId="43" applyNumberFormat="0" applyAlignment="0" applyProtection="0"/>
    <xf numFmtId="164" fontId="38" fillId="0" borderId="0" applyFont="0" applyFill="0" applyBorder="0" applyAlignment="0" applyProtection="0"/>
  </cellStyleXfs>
  <cellXfs count="197">
    <xf numFmtId="0" fontId="0" fillId="0" borderId="0" xfId="0"/>
    <xf numFmtId="0" fontId="1" fillId="0" borderId="0" xfId="0" applyFont="1"/>
    <xf numFmtId="0" fontId="1" fillId="0" borderId="0" xfId="0" applyFont="1" applyAlignment="1">
      <alignment vertical="top"/>
    </xf>
    <xf numFmtId="0" fontId="1" fillId="0" borderId="0" xfId="0" applyFont="1" applyBorder="1"/>
    <xf numFmtId="0" fontId="1" fillId="0" borderId="8" xfId="0" applyFont="1" applyBorder="1"/>
    <xf numFmtId="0" fontId="1" fillId="0" borderId="10" xfId="0" applyFont="1" applyBorder="1"/>
    <xf numFmtId="0" fontId="1" fillId="0" borderId="8" xfId="0" applyFont="1" applyBorder="1" applyAlignment="1">
      <alignment vertical="center" wrapText="1"/>
    </xf>
    <xf numFmtId="0" fontId="3" fillId="0" borderId="8" xfId="0" applyFont="1" applyBorder="1" applyAlignment="1">
      <alignment vertical="center" wrapText="1"/>
    </xf>
    <xf numFmtId="0" fontId="1" fillId="0" borderId="13" xfId="0" applyFont="1" applyBorder="1" applyAlignment="1">
      <alignment vertical="center" wrapText="1"/>
    </xf>
    <xf numFmtId="0" fontId="2" fillId="0" borderId="2" xfId="0" applyFont="1" applyBorder="1" applyAlignment="1">
      <alignment horizontal="right"/>
    </xf>
    <xf numFmtId="0" fontId="2" fillId="0" borderId="9" xfId="0" applyFont="1" applyBorder="1" applyAlignment="1">
      <alignment horizontal="right"/>
    </xf>
    <xf numFmtId="0" fontId="1" fillId="0" borderId="7" xfId="0" applyFont="1" applyBorder="1"/>
    <xf numFmtId="0" fontId="1" fillId="0" borderId="0" xfId="0" applyFont="1" applyAlignment="1">
      <alignment horizontal="right"/>
    </xf>
    <xf numFmtId="0" fontId="1" fillId="0" borderId="4" xfId="0" applyFont="1" applyBorder="1"/>
    <xf numFmtId="0" fontId="8" fillId="0" borderId="3" xfId="0" applyFont="1" applyBorder="1"/>
    <xf numFmtId="0" fontId="2" fillId="0" borderId="2" xfId="0" applyFont="1" applyBorder="1" applyAlignment="1">
      <alignment horizontal="right" wrapText="1"/>
    </xf>
    <xf numFmtId="0" fontId="3" fillId="0" borderId="4" xfId="0" applyFont="1" applyBorder="1"/>
    <xf numFmtId="0" fontId="10" fillId="0" borderId="0" xfId="0" applyFont="1" applyAlignment="1">
      <alignment horizontal="left" vertical="center" wrapText="1"/>
    </xf>
    <xf numFmtId="0" fontId="10" fillId="0" borderId="0" xfId="0" applyFont="1" applyAlignment="1">
      <alignment horizontal="left" wrapText="1"/>
    </xf>
    <xf numFmtId="0" fontId="11" fillId="0" borderId="0" xfId="0" applyFont="1"/>
    <xf numFmtId="0" fontId="10" fillId="0" borderId="10" xfId="0" applyFont="1" applyBorder="1"/>
    <xf numFmtId="0" fontId="10" fillId="0" borderId="15" xfId="0" applyFont="1" applyBorder="1"/>
    <xf numFmtId="0" fontId="10" fillId="0" borderId="0" xfId="0" applyFont="1"/>
    <xf numFmtId="0" fontId="10" fillId="0" borderId="4" xfId="0" applyFont="1" applyBorder="1"/>
    <xf numFmtId="0" fontId="10" fillId="0" borderId="0" xfId="0" applyFont="1" applyBorder="1"/>
    <xf numFmtId="0" fontId="12" fillId="0" borderId="0" xfId="0" applyFont="1" applyAlignment="1">
      <alignment horizontal="left" wrapText="1"/>
    </xf>
    <xf numFmtId="0" fontId="14" fillId="0" borderId="0" xfId="0" applyFont="1"/>
    <xf numFmtId="0" fontId="14" fillId="0" borderId="4" xfId="0" applyFont="1" applyBorder="1"/>
    <xf numFmtId="0" fontId="14" fillId="0" borderId="15" xfId="0" applyFont="1" applyBorder="1"/>
    <xf numFmtId="0" fontId="10" fillId="0" borderId="17" xfId="0" applyFont="1" applyBorder="1"/>
    <xf numFmtId="0" fontId="13" fillId="0" borderId="15" xfId="0" applyFont="1" applyBorder="1"/>
    <xf numFmtId="0" fontId="12" fillId="5" borderId="0" xfId="0" applyFont="1" applyFill="1" applyBorder="1" applyAlignment="1">
      <alignment horizontal="left" wrapText="1"/>
    </xf>
    <xf numFmtId="0" fontId="13" fillId="0" borderId="0" xfId="0" applyFont="1" applyBorder="1"/>
    <xf numFmtId="0" fontId="15" fillId="0" borderId="0" xfId="0" applyFont="1" applyBorder="1"/>
    <xf numFmtId="0" fontId="16" fillId="0" borderId="0" xfId="128" applyFont="1"/>
    <xf numFmtId="0" fontId="15" fillId="0" borderId="0" xfId="0" applyFont="1" applyAlignment="1">
      <alignment horizontal="left" vertical="center" wrapText="1"/>
    </xf>
    <xf numFmtId="0" fontId="17" fillId="0" borderId="0" xfId="0" applyFont="1" applyAlignment="1">
      <alignment vertical="top"/>
    </xf>
    <xf numFmtId="0" fontId="18" fillId="0" borderId="0" xfId="0" applyFont="1"/>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22" fillId="7" borderId="0" xfId="0" applyFont="1" applyFill="1" applyAlignment="1">
      <alignment horizontal="left" vertical="center"/>
    </xf>
    <xf numFmtId="0" fontId="10" fillId="0" borderId="0" xfId="0" applyFont="1" applyAlignment="1">
      <alignment horizontal="left" vertical="center"/>
    </xf>
    <xf numFmtId="0" fontId="21" fillId="0" borderId="0" xfId="0" applyFont="1" applyAlignment="1">
      <alignment vertical="center"/>
    </xf>
    <xf numFmtId="0" fontId="22" fillId="0" borderId="0" xfId="0" applyFont="1" applyAlignment="1">
      <alignment vertical="center"/>
    </xf>
    <xf numFmtId="0" fontId="22" fillId="6" borderId="0" xfId="0" applyFont="1" applyFill="1" applyAlignment="1">
      <alignment vertical="center"/>
    </xf>
    <xf numFmtId="0" fontId="22" fillId="8" borderId="0" xfId="0" applyFont="1" applyFill="1" applyAlignment="1">
      <alignment vertical="center"/>
    </xf>
    <xf numFmtId="0" fontId="22" fillId="8" borderId="0" xfId="0" applyFont="1" applyFill="1" applyAlignment="1">
      <alignment horizontal="left" vertical="center"/>
    </xf>
    <xf numFmtId="0" fontId="19" fillId="0" borderId="0" xfId="0" applyFont="1" applyAlignment="1">
      <alignmen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6" fillId="2" borderId="12" xfId="27" applyFont="1" applyBorder="1" applyAlignment="1">
      <alignment vertical="center" wrapText="1"/>
    </xf>
    <xf numFmtId="165" fontId="10" fillId="3" borderId="18" xfId="0" applyNumberFormat="1" applyFont="1" applyFill="1" applyBorder="1" applyAlignment="1">
      <alignment horizontal="left" wrapText="1"/>
    </xf>
    <xf numFmtId="0" fontId="10" fillId="3" borderId="14" xfId="0" applyFont="1" applyFill="1" applyBorder="1" applyAlignment="1">
      <alignment horizontal="left" wrapText="1"/>
    </xf>
    <xf numFmtId="165" fontId="10" fillId="3" borderId="16" xfId="0" applyNumberFormat="1" applyFont="1" applyFill="1" applyBorder="1" applyAlignment="1">
      <alignment horizontal="left" wrapText="1"/>
    </xf>
    <xf numFmtId="0" fontId="10" fillId="3" borderId="16" xfId="0" applyFont="1" applyFill="1" applyBorder="1" applyAlignment="1">
      <alignment horizontal="left" wrapText="1"/>
    </xf>
    <xf numFmtId="0" fontId="10" fillId="4" borderId="16" xfId="0" applyFont="1" applyFill="1" applyBorder="1" applyAlignment="1">
      <alignment horizontal="left" wrapText="1"/>
    </xf>
    <xf numFmtId="0" fontId="2" fillId="0" borderId="9" xfId="0" applyFont="1" applyBorder="1" applyAlignment="1">
      <alignment vertical="top"/>
    </xf>
    <xf numFmtId="0" fontId="2" fillId="0" borderId="11" xfId="0" applyFont="1" applyBorder="1" applyAlignment="1">
      <alignment vertical="center" wrapText="1"/>
    </xf>
    <xf numFmtId="0" fontId="2" fillId="0" borderId="9" xfId="0" applyFont="1" applyBorder="1" applyAlignment="1">
      <alignment vertical="center" wrapText="1"/>
    </xf>
    <xf numFmtId="3" fontId="9" fillId="0" borderId="10" xfId="0" applyNumberFormat="1" applyFont="1" applyBorder="1"/>
    <xf numFmtId="0" fontId="0" fillId="9" borderId="0" xfId="0" applyFill="1" applyBorder="1" applyAlignment="1">
      <alignment wrapText="1"/>
    </xf>
    <xf numFmtId="0" fontId="1" fillId="9" borderId="0" xfId="0" applyFont="1" applyFill="1" applyBorder="1"/>
    <xf numFmtId="0" fontId="1" fillId="9" borderId="10" xfId="0" applyFont="1" applyFill="1" applyBorder="1"/>
    <xf numFmtId="0" fontId="1" fillId="9" borderId="11" xfId="0" applyFont="1" applyFill="1" applyBorder="1"/>
    <xf numFmtId="0" fontId="1" fillId="0" borderId="2" xfId="0" applyFont="1" applyFill="1" applyBorder="1" applyAlignment="1">
      <alignment vertical="center" wrapText="1"/>
    </xf>
    <xf numFmtId="0" fontId="8" fillId="0" borderId="0" xfId="0" applyFont="1" applyAlignment="1">
      <alignment vertical="top"/>
    </xf>
    <xf numFmtId="0" fontId="27" fillId="0" borderId="0" xfId="0" applyFont="1" applyAlignment="1"/>
    <xf numFmtId="0" fontId="26" fillId="0" borderId="0" xfId="0" applyFont="1" applyAlignment="1">
      <alignment vertical="top"/>
    </xf>
    <xf numFmtId="0" fontId="26" fillId="0" borderId="2" xfId="0" applyFont="1" applyBorder="1"/>
    <xf numFmtId="0" fontId="14" fillId="0" borderId="0" xfId="0" applyFont="1" applyBorder="1"/>
    <xf numFmtId="0" fontId="10" fillId="5" borderId="0" xfId="0" applyFont="1" applyFill="1" applyBorder="1" applyAlignment="1">
      <alignment horizontal="left" wrapText="1"/>
    </xf>
    <xf numFmtId="0" fontId="13" fillId="0" borderId="10" xfId="0" applyFont="1" applyBorder="1"/>
    <xf numFmtId="0" fontId="28" fillId="0" borderId="0" xfId="0" applyFont="1"/>
    <xf numFmtId="0" fontId="29" fillId="0" borderId="0" xfId="0" applyFont="1" applyAlignment="1">
      <alignment vertical="center"/>
    </xf>
    <xf numFmtId="0" fontId="31" fillId="0" borderId="0" xfId="0" applyFont="1" applyAlignment="1">
      <alignment vertical="center"/>
    </xf>
    <xf numFmtId="0" fontId="31" fillId="9" borderId="0" xfId="0" applyFont="1" applyFill="1" applyAlignment="1">
      <alignment vertical="center"/>
    </xf>
    <xf numFmtId="0" fontId="30" fillId="0" borderId="0" xfId="0" applyFont="1"/>
    <xf numFmtId="0" fontId="21" fillId="0" borderId="0" xfId="0" applyFont="1"/>
    <xf numFmtId="0" fontId="22" fillId="0" borderId="0" xfId="0" applyFont="1"/>
    <xf numFmtId="0" fontId="31" fillId="4" borderId="0" xfId="0" applyFont="1" applyFill="1" applyAlignment="1">
      <alignment vertical="center"/>
    </xf>
    <xf numFmtId="165" fontId="10" fillId="3" borderId="23" xfId="0" applyNumberFormat="1" applyFont="1" applyFill="1" applyBorder="1" applyAlignment="1">
      <alignment horizontal="left" wrapText="1"/>
    </xf>
    <xf numFmtId="165" fontId="10" fillId="3" borderId="24" xfId="0" applyNumberFormat="1" applyFont="1" applyFill="1" applyBorder="1" applyAlignment="1">
      <alignment horizontal="left" wrapText="1"/>
    </xf>
    <xf numFmtId="165" fontId="10" fillId="3" borderId="25" xfId="0" applyNumberFormat="1" applyFont="1" applyFill="1" applyBorder="1" applyAlignment="1">
      <alignment horizontal="left" wrapText="1"/>
    </xf>
    <xf numFmtId="0" fontId="10" fillId="4" borderId="25" xfId="0" applyFont="1" applyFill="1" applyBorder="1" applyAlignment="1">
      <alignment horizontal="left" wrapText="1"/>
    </xf>
    <xf numFmtId="165" fontId="10" fillId="3" borderId="26" xfId="0" applyNumberFormat="1" applyFont="1" applyFill="1" applyBorder="1" applyAlignment="1">
      <alignment horizontal="left" wrapText="1"/>
    </xf>
    <xf numFmtId="0" fontId="32" fillId="0" borderId="0" xfId="0" applyFont="1" applyBorder="1"/>
    <xf numFmtId="0" fontId="10" fillId="4" borderId="26" xfId="0" applyFont="1" applyFill="1" applyBorder="1" applyAlignment="1">
      <alignment horizontal="left" wrapText="1"/>
    </xf>
    <xf numFmtId="165" fontId="10" fillId="3" borderId="27" xfId="0" applyNumberFormat="1" applyFont="1" applyFill="1" applyBorder="1" applyAlignment="1">
      <alignment horizontal="left" wrapText="1"/>
    </xf>
    <xf numFmtId="165" fontId="10" fillId="3" borderId="17" xfId="0" applyNumberFormat="1" applyFont="1" applyFill="1" applyBorder="1" applyAlignment="1">
      <alignment horizontal="left" wrapText="1"/>
    </xf>
    <xf numFmtId="165" fontId="10" fillId="10" borderId="17" xfId="0" applyNumberFormat="1" applyFont="1" applyFill="1" applyBorder="1" applyAlignment="1">
      <alignment horizontal="left" wrapText="1"/>
    </xf>
    <xf numFmtId="0" fontId="10" fillId="4" borderId="17" xfId="0" applyFont="1" applyFill="1" applyBorder="1" applyAlignment="1">
      <alignment horizontal="left" wrapText="1"/>
    </xf>
    <xf numFmtId="0" fontId="10" fillId="3" borderId="17" xfId="0" applyFont="1" applyFill="1" applyBorder="1" applyAlignment="1">
      <alignment horizontal="left" wrapText="1"/>
    </xf>
    <xf numFmtId="0" fontId="10" fillId="10" borderId="30" xfId="0" applyFont="1" applyFill="1" applyBorder="1" applyAlignment="1">
      <alignment horizontal="left" wrapText="1"/>
    </xf>
    <xf numFmtId="0" fontId="10" fillId="4" borderId="29" xfId="0" applyFont="1" applyFill="1" applyBorder="1" applyAlignment="1">
      <alignment horizontal="left" wrapText="1"/>
    </xf>
    <xf numFmtId="0" fontId="10" fillId="4" borderId="31" xfId="0" applyFont="1" applyFill="1" applyBorder="1" applyAlignment="1">
      <alignment horizontal="left" wrapText="1"/>
    </xf>
    <xf numFmtId="0" fontId="10" fillId="4" borderId="32" xfId="0" applyFont="1" applyFill="1" applyBorder="1" applyAlignment="1">
      <alignment horizontal="left" wrapText="1"/>
    </xf>
    <xf numFmtId="0" fontId="10" fillId="4" borderId="33" xfId="0" applyFont="1" applyFill="1" applyBorder="1" applyAlignment="1">
      <alignment horizontal="left" wrapText="1"/>
    </xf>
    <xf numFmtId="165" fontId="10" fillId="4" borderId="34" xfId="0" applyNumberFormat="1" applyFont="1" applyFill="1" applyBorder="1" applyAlignment="1">
      <alignment horizontal="left" wrapText="1"/>
    </xf>
    <xf numFmtId="0" fontId="10" fillId="3" borderId="28" xfId="0" applyFont="1" applyFill="1" applyBorder="1" applyAlignment="1">
      <alignment horizontal="left" vertical="center"/>
    </xf>
    <xf numFmtId="0" fontId="10" fillId="3" borderId="36" xfId="0" applyFont="1" applyFill="1" applyBorder="1" applyAlignment="1">
      <alignment horizontal="left" vertical="center"/>
    </xf>
    <xf numFmtId="0" fontId="10" fillId="3" borderId="22" xfId="0" applyFont="1" applyFill="1" applyBorder="1" applyAlignment="1">
      <alignment horizontal="left" wrapText="1"/>
    </xf>
    <xf numFmtId="0" fontId="10" fillId="3" borderId="19" xfId="0" applyFont="1" applyFill="1" applyBorder="1" applyAlignment="1">
      <alignment horizontal="left" wrapText="1"/>
    </xf>
    <xf numFmtId="0" fontId="10" fillId="3" borderId="27" xfId="0" applyFont="1" applyFill="1" applyBorder="1" applyAlignment="1">
      <alignment horizontal="left" wrapText="1"/>
    </xf>
    <xf numFmtId="0" fontId="10" fillId="3" borderId="38" xfId="0" applyFont="1" applyFill="1" applyBorder="1" applyAlignment="1">
      <alignment horizontal="left" vertical="center"/>
    </xf>
    <xf numFmtId="0" fontId="10" fillId="3" borderId="40" xfId="0" applyFont="1" applyFill="1" applyBorder="1" applyAlignment="1">
      <alignment horizontal="left" vertical="center"/>
    </xf>
    <xf numFmtId="0" fontId="10" fillId="3" borderId="41" xfId="0" applyFont="1" applyFill="1" applyBorder="1" applyAlignment="1">
      <alignment horizontal="left" vertical="center"/>
    </xf>
    <xf numFmtId="0" fontId="10" fillId="3" borderId="39" xfId="0" applyFont="1" applyFill="1" applyBorder="1" applyAlignment="1">
      <alignment horizontal="left" wrapText="1"/>
    </xf>
    <xf numFmtId="0" fontId="8" fillId="0" borderId="35" xfId="0" applyFont="1" applyBorder="1"/>
    <xf numFmtId="0" fontId="2" fillId="0" borderId="10" xfId="0" applyFont="1" applyBorder="1" applyAlignment="1">
      <alignment vertical="center" wrapText="1"/>
    </xf>
    <xf numFmtId="0" fontId="1" fillId="0" borderId="9" xfId="0" applyFont="1" applyFill="1" applyBorder="1" applyAlignment="1">
      <alignment vertical="center" wrapText="1"/>
    </xf>
    <xf numFmtId="0" fontId="1" fillId="0" borderId="0" xfId="0" applyFont="1" applyFill="1" applyBorder="1" applyAlignment="1">
      <alignment vertical="center" wrapText="1"/>
    </xf>
    <xf numFmtId="0" fontId="1" fillId="0" borderId="10" xfId="0" applyFont="1" applyFill="1" applyBorder="1" applyAlignment="1">
      <alignment vertical="center" wrapText="1"/>
    </xf>
    <xf numFmtId="0" fontId="2" fillId="0" borderId="11" xfId="0" applyFont="1" applyFill="1" applyBorder="1" applyAlignment="1">
      <alignment vertical="center" wrapText="1"/>
    </xf>
    <xf numFmtId="0" fontId="2" fillId="11" borderId="0" xfId="0" applyFont="1" applyFill="1" applyBorder="1" applyAlignment="1">
      <alignment horizontal="right"/>
    </xf>
    <xf numFmtId="3" fontId="2" fillId="11" borderId="0" xfId="0" applyNumberFormat="1" applyFont="1" applyFill="1" applyBorder="1"/>
    <xf numFmtId="0" fontId="13" fillId="0" borderId="0" xfId="0" applyFont="1" applyAlignment="1">
      <alignment horizontal="left" wrapText="1"/>
    </xf>
    <xf numFmtId="0" fontId="37" fillId="12" borderId="43" xfId="298" applyFont="1" applyAlignment="1">
      <alignment horizontal="left" vertical="center" wrapText="1"/>
    </xf>
    <xf numFmtId="0" fontId="4" fillId="0" borderId="0" xfId="128" applyAlignment="1">
      <alignment vertical="center"/>
    </xf>
    <xf numFmtId="0" fontId="1" fillId="9" borderId="8" xfId="0" applyFont="1" applyFill="1" applyBorder="1"/>
    <xf numFmtId="49" fontId="1" fillId="4" borderId="0" xfId="0" applyNumberFormat="1" applyFont="1" applyFill="1" applyBorder="1" applyAlignment="1">
      <alignment vertical="center"/>
    </xf>
    <xf numFmtId="49" fontId="23" fillId="4" borderId="0" xfId="0" applyNumberFormat="1" applyFont="1" applyFill="1" applyBorder="1" applyAlignment="1">
      <alignment vertical="center"/>
    </xf>
    <xf numFmtId="49" fontId="23" fillId="4" borderId="8" xfId="0" applyNumberFormat="1" applyFont="1" applyFill="1" applyBorder="1" applyAlignment="1">
      <alignment vertical="center"/>
    </xf>
    <xf numFmtId="0" fontId="2" fillId="0" borderId="35" xfId="0" applyFont="1" applyBorder="1" applyAlignment="1">
      <alignment vertical="center" wrapText="1"/>
    </xf>
    <xf numFmtId="0" fontId="0" fillId="4" borderId="40" xfId="0" applyFill="1" applyBorder="1" applyAlignment="1">
      <alignment vertical="center" wrapText="1"/>
    </xf>
    <xf numFmtId="49" fontId="24" fillId="13" borderId="2" xfId="0" applyNumberFormat="1" applyFont="1" applyFill="1" applyBorder="1" applyAlignment="1">
      <alignment horizontal="left" vertical="center" wrapText="1"/>
    </xf>
    <xf numFmtId="49" fontId="24" fillId="13" borderId="0" xfId="0" applyNumberFormat="1" applyFont="1" applyFill="1" applyBorder="1" applyAlignment="1">
      <alignment vertical="center" wrapText="1"/>
    </xf>
    <xf numFmtId="49" fontId="25" fillId="13" borderId="2" xfId="0" applyNumberFormat="1" applyFont="1" applyFill="1" applyBorder="1" applyAlignment="1">
      <alignment horizontal="left" vertical="center" wrapText="1"/>
    </xf>
    <xf numFmtId="49" fontId="25" fillId="13" borderId="0" xfId="0" applyNumberFormat="1" applyFont="1" applyFill="1" applyBorder="1" applyAlignment="1">
      <alignment horizontal="left" vertical="center" wrapText="1" indent="2"/>
    </xf>
    <xf numFmtId="49" fontId="1" fillId="13" borderId="2" xfId="0" applyNumberFormat="1" applyFont="1" applyFill="1" applyBorder="1" applyAlignment="1">
      <alignment horizontal="left" vertical="center"/>
    </xf>
    <xf numFmtId="49" fontId="1" fillId="13" borderId="0" xfId="0" applyNumberFormat="1" applyFont="1" applyFill="1" applyBorder="1" applyAlignment="1">
      <alignment horizontal="left" vertical="center" wrapText="1" indent="6"/>
    </xf>
    <xf numFmtId="49" fontId="1" fillId="13" borderId="0" xfId="0" applyNumberFormat="1" applyFont="1" applyFill="1" applyBorder="1" applyAlignment="1">
      <alignment horizontal="left" vertical="center" wrapText="1" indent="2"/>
    </xf>
    <xf numFmtId="49" fontId="25" fillId="13" borderId="2" xfId="0" applyNumberFormat="1" applyFont="1" applyFill="1" applyBorder="1" applyAlignment="1">
      <alignment horizontal="left" vertical="center"/>
    </xf>
    <xf numFmtId="49" fontId="1" fillId="13" borderId="0" xfId="0" applyNumberFormat="1" applyFont="1" applyFill="1" applyBorder="1" applyAlignment="1">
      <alignment horizontal="left" vertical="center" wrapText="1" indent="4"/>
    </xf>
    <xf numFmtId="49" fontId="25" fillId="13" borderId="0" xfId="0" applyNumberFormat="1" applyFont="1" applyFill="1" applyBorder="1" applyAlignment="1">
      <alignment horizontal="left" vertical="center" wrapText="1" indent="4"/>
    </xf>
    <xf numFmtId="49" fontId="2" fillId="13" borderId="2" xfId="0" applyNumberFormat="1" applyFont="1" applyFill="1" applyBorder="1" applyAlignment="1">
      <alignment horizontal="left" vertical="center"/>
    </xf>
    <xf numFmtId="49" fontId="1" fillId="13" borderId="0" xfId="0" applyNumberFormat="1" applyFont="1" applyFill="1" applyBorder="1" applyAlignment="1">
      <alignment vertical="center" wrapText="1"/>
    </xf>
    <xf numFmtId="49" fontId="24" fillId="13" borderId="2" xfId="0" applyNumberFormat="1" applyFont="1" applyFill="1" applyBorder="1" applyAlignment="1">
      <alignment horizontal="left" vertical="center"/>
    </xf>
    <xf numFmtId="49" fontId="3" fillId="13" borderId="0" xfId="0" applyNumberFormat="1" applyFont="1" applyFill="1" applyBorder="1" applyAlignment="1">
      <alignment vertical="center" wrapText="1"/>
    </xf>
    <xf numFmtId="49" fontId="25" fillId="13" borderId="0" xfId="0" applyNumberFormat="1" applyFont="1" applyFill="1" applyBorder="1" applyAlignment="1">
      <alignment horizontal="left" vertical="center" wrapText="1" indent="6"/>
    </xf>
    <xf numFmtId="49" fontId="1" fillId="13" borderId="0" xfId="0" applyNumberFormat="1" applyFont="1" applyFill="1" applyBorder="1" applyAlignment="1">
      <alignment horizontal="left" vertical="center" wrapText="1" indent="8"/>
    </xf>
    <xf numFmtId="49" fontId="1" fillId="13" borderId="2" xfId="0" applyNumberFormat="1" applyFont="1" applyFill="1" applyBorder="1" applyAlignment="1">
      <alignment horizontal="left" vertical="center" wrapText="1"/>
    </xf>
    <xf numFmtId="49" fontId="1" fillId="13" borderId="1" xfId="0" applyNumberFormat="1" applyFont="1" applyFill="1" applyBorder="1" applyAlignment="1">
      <alignment vertical="center" wrapText="1"/>
    </xf>
    <xf numFmtId="49" fontId="1" fillId="13" borderId="5" xfId="0" applyNumberFormat="1" applyFont="1" applyFill="1" applyBorder="1" applyAlignment="1">
      <alignment vertical="center" wrapText="1"/>
    </xf>
    <xf numFmtId="3" fontId="3" fillId="0" borderId="40" xfId="0" applyNumberFormat="1" applyFont="1" applyBorder="1" applyAlignment="1">
      <alignment vertical="center" wrapText="1"/>
    </xf>
    <xf numFmtId="3" fontId="3" fillId="0" borderId="37" xfId="0" applyNumberFormat="1" applyFont="1" applyBorder="1" applyAlignment="1">
      <alignment vertical="center" wrapText="1"/>
    </xf>
    <xf numFmtId="3" fontId="9" fillId="0" borderId="8" xfId="0" applyNumberFormat="1" applyFont="1" applyBorder="1"/>
    <xf numFmtId="3" fontId="13" fillId="0" borderId="0" xfId="0" applyNumberFormat="1" applyFont="1" applyBorder="1"/>
    <xf numFmtId="0" fontId="3" fillId="0" borderId="37" xfId="0" applyFont="1" applyBorder="1" applyAlignment="1">
      <alignment horizontal="right"/>
    </xf>
    <xf numFmtId="3" fontId="9" fillId="0" borderId="11" xfId="0" applyNumberFormat="1" applyFont="1" applyBorder="1"/>
    <xf numFmtId="0" fontId="1" fillId="0" borderId="11" xfId="0" applyFont="1" applyBorder="1"/>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3" fontId="9" fillId="0" borderId="0" xfId="0" applyNumberFormat="1" applyFont="1" applyBorder="1"/>
    <xf numFmtId="166" fontId="2" fillId="0" borderId="7" xfId="299" applyNumberFormat="1" applyFont="1" applyBorder="1" applyAlignment="1">
      <alignment vertical="center" wrapText="1"/>
    </xf>
    <xf numFmtId="166" fontId="1" fillId="0" borderId="8" xfId="299" applyNumberFormat="1" applyFont="1" applyBorder="1" applyAlignment="1">
      <alignment vertical="center" wrapText="1"/>
    </xf>
    <xf numFmtId="166" fontId="3" fillId="0" borderId="8" xfId="299" applyNumberFormat="1" applyFont="1" applyBorder="1" applyAlignment="1">
      <alignment vertical="center" wrapText="1"/>
    </xf>
    <xf numFmtId="166" fontId="3" fillId="0" borderId="11" xfId="299" applyNumberFormat="1" applyFont="1" applyBorder="1" applyAlignment="1">
      <alignment vertical="center" wrapText="1"/>
    </xf>
    <xf numFmtId="166" fontId="2" fillId="11" borderId="0" xfId="299" applyNumberFormat="1" applyFont="1" applyFill="1" applyBorder="1" applyAlignment="1">
      <alignment horizontal="right"/>
    </xf>
    <xf numFmtId="0" fontId="10" fillId="4" borderId="18" xfId="0" applyFont="1" applyFill="1" applyBorder="1" applyAlignment="1">
      <alignment horizontal="left" wrapText="1"/>
    </xf>
    <xf numFmtId="0" fontId="10" fillId="4" borderId="25" xfId="0" applyFont="1" applyFill="1" applyBorder="1" applyAlignment="1">
      <alignment horizontal="left" wrapText="1"/>
    </xf>
    <xf numFmtId="0" fontId="0" fillId="0" borderId="0" xfId="0" applyBorder="1" applyAlignment="1">
      <alignment vertical="center"/>
    </xf>
    <xf numFmtId="0" fontId="4" fillId="3" borderId="16" xfId="128" applyFill="1" applyBorder="1" applyAlignment="1">
      <alignment horizontal="left" wrapText="1"/>
    </xf>
    <xf numFmtId="167" fontId="10" fillId="3" borderId="20" xfId="0" applyNumberFormat="1" applyFont="1" applyFill="1" applyBorder="1" applyAlignment="1">
      <alignment horizontal="left" wrapText="1"/>
    </xf>
    <xf numFmtId="168" fontId="10" fillId="3" borderId="28" xfId="0" applyNumberFormat="1" applyFont="1" applyFill="1" applyBorder="1" applyAlignment="1">
      <alignment horizontal="left" wrapText="1"/>
    </xf>
    <xf numFmtId="3" fontId="10" fillId="3" borderId="28" xfId="0" applyNumberFormat="1" applyFont="1" applyFill="1" applyBorder="1" applyAlignment="1">
      <alignment horizontal="left" wrapText="1"/>
    </xf>
    <xf numFmtId="0" fontId="4" fillId="4" borderId="17" xfId="128" applyFill="1" applyBorder="1" applyAlignment="1">
      <alignment horizontal="left" wrapText="1"/>
    </xf>
    <xf numFmtId="0" fontId="10" fillId="4" borderId="18" xfId="0" applyFont="1" applyFill="1" applyBorder="1" applyAlignment="1">
      <alignment horizontal="left"/>
    </xf>
    <xf numFmtId="165" fontId="4" fillId="3" borderId="17" xfId="128" applyNumberFormat="1" applyFill="1" applyBorder="1" applyAlignment="1">
      <alignment horizontal="left" wrapText="1"/>
    </xf>
    <xf numFmtId="3" fontId="10" fillId="3" borderId="36" xfId="0" applyNumberFormat="1" applyFont="1" applyFill="1" applyBorder="1" applyAlignment="1">
      <alignment horizontal="left" vertical="center"/>
    </xf>
    <xf numFmtId="169" fontId="10" fillId="3" borderId="28" xfId="0" applyNumberFormat="1" applyFont="1" applyFill="1" applyBorder="1" applyAlignment="1">
      <alignment horizontal="left" wrapText="1"/>
    </xf>
    <xf numFmtId="4" fontId="10" fillId="3" borderId="28" xfId="0" applyNumberFormat="1" applyFont="1" applyFill="1" applyBorder="1" applyAlignment="1">
      <alignment horizontal="left" wrapText="1"/>
    </xf>
    <xf numFmtId="0" fontId="1" fillId="0" borderId="37" xfId="0" applyFont="1" applyFill="1" applyBorder="1"/>
    <xf numFmtId="0" fontId="0" fillId="0" borderId="0" xfId="0" applyBorder="1" applyAlignment="1"/>
    <xf numFmtId="0" fontId="23" fillId="6" borderId="0" xfId="0" applyFont="1" applyFill="1" applyAlignment="1">
      <alignment wrapText="1"/>
    </xf>
    <xf numFmtId="3" fontId="3" fillId="0" borderId="8" xfId="0" applyNumberFormat="1" applyFont="1" applyFill="1" applyBorder="1" applyAlignment="1">
      <alignment vertical="center" wrapText="1"/>
    </xf>
    <xf numFmtId="3" fontId="1" fillId="0" borderId="0" xfId="0" applyNumberFormat="1" applyFont="1"/>
    <xf numFmtId="3" fontId="1" fillId="0" borderId="8" xfId="0" applyNumberFormat="1" applyFont="1" applyBorder="1"/>
    <xf numFmtId="3" fontId="2" fillId="0" borderId="0" xfId="0" applyNumberFormat="1" applyFont="1"/>
    <xf numFmtId="3" fontId="1" fillId="0" borderId="0" xfId="0" applyNumberFormat="1" applyFont="1" applyFill="1"/>
    <xf numFmtId="0" fontId="37" fillId="12" borderId="43" xfId="298" applyFont="1" applyAlignment="1">
      <alignment horizontal="left" vertical="center"/>
    </xf>
    <xf numFmtId="0" fontId="0" fillId="4" borderId="37" xfId="0" applyNumberFormat="1" applyFill="1" applyBorder="1" applyAlignment="1">
      <alignment vertical="center" wrapText="1"/>
    </xf>
    <xf numFmtId="0" fontId="10" fillId="9" borderId="42" xfId="0" applyFont="1" applyFill="1" applyBorder="1" applyAlignment="1">
      <alignment horizontal="left" wrapText="1"/>
    </xf>
    <xf numFmtId="0" fontId="10" fillId="9" borderId="21" xfId="0" applyFont="1" applyFill="1" applyBorder="1" applyAlignment="1">
      <alignment horizontal="left" wrapText="1"/>
    </xf>
    <xf numFmtId="0" fontId="10" fillId="4" borderId="18" xfId="0" applyFont="1" applyFill="1" applyBorder="1" applyAlignment="1">
      <alignment horizontal="left" wrapText="1"/>
    </xf>
    <xf numFmtId="0" fontId="10" fillId="4" borderId="25" xfId="0" applyFont="1" applyFill="1" applyBorder="1" applyAlignment="1">
      <alignment horizontal="left" wrapText="1"/>
    </xf>
    <xf numFmtId="0" fontId="35" fillId="0" borderId="2" xfId="0" applyFont="1" applyBorder="1" applyAlignment="1">
      <alignment horizontal="left" vertical="center" wrapText="1"/>
    </xf>
    <xf numFmtId="0" fontId="26" fillId="0" borderId="0" xfId="0" applyFont="1" applyBorder="1" applyAlignment="1">
      <alignment horizontal="left" vertical="center" wrapText="1"/>
    </xf>
    <xf numFmtId="0" fontId="26" fillId="0" borderId="8" xfId="0" applyFont="1" applyBorder="1" applyAlignment="1">
      <alignment horizontal="left" vertical="center" wrapText="1"/>
    </xf>
    <xf numFmtId="0" fontId="26" fillId="0" borderId="2" xfId="0" applyFont="1" applyBorder="1" applyAlignment="1">
      <alignment horizontal="left" vertical="center" wrapText="1"/>
    </xf>
    <xf numFmtId="3" fontId="13" fillId="0" borderId="2" xfId="0" applyNumberFormat="1" applyFont="1" applyBorder="1" applyAlignment="1">
      <alignment vertical="center"/>
    </xf>
    <xf numFmtId="0" fontId="0" fillId="0" borderId="0" xfId="0" applyBorder="1" applyAlignment="1">
      <alignment vertical="center"/>
    </xf>
    <xf numFmtId="0" fontId="8" fillId="0" borderId="3" xfId="0" applyFont="1" applyBorder="1" applyAlignment="1">
      <alignment horizontal="left"/>
    </xf>
    <xf numFmtId="0" fontId="0" fillId="0" borderId="4" xfId="0" applyBorder="1" applyAlignment="1"/>
    <xf numFmtId="0" fontId="34" fillId="0" borderId="3" xfId="0" applyFont="1" applyBorder="1" applyAlignment="1">
      <alignment vertical="center" wrapText="1"/>
    </xf>
    <xf numFmtId="0" fontId="0" fillId="0" borderId="7" xfId="0" applyBorder="1" applyAlignment="1"/>
    <xf numFmtId="0" fontId="8" fillId="0" borderId="3" xfId="0" applyFont="1" applyBorder="1" applyAlignment="1"/>
  </cellXfs>
  <cellStyles count="300">
    <cellStyle name="Entrée" xfId="27" builtinId="20"/>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8" builtinId="8" hidden="1"/>
    <cellStyle name="Lien hypertexte" xfId="30" builtinId="8" hidden="1"/>
    <cellStyle name="Lien hypertexte" xfId="32" builtinId="8" hidden="1"/>
    <cellStyle name="Lien hypertexte" xfId="34" builtinId="8" hidden="1"/>
    <cellStyle name="Lien hypertexte" xfId="36" builtinId="8" hidden="1"/>
    <cellStyle name="Lien hypertexte" xfId="38" builtinId="8" hidden="1"/>
    <cellStyle name="Lien hypertexte" xfId="40" builtinId="8" hidden="1"/>
    <cellStyle name="Lien hypertexte" xfId="42" builtinId="8" hidden="1"/>
    <cellStyle name="Lien hypertexte" xfId="44" builtinId="8" hidden="1"/>
    <cellStyle name="Lien hypertexte" xfId="46" builtinId="8" hidden="1"/>
    <cellStyle name="Lien hypertexte" xfId="48" builtinId="8" hidden="1"/>
    <cellStyle name="Lien hypertexte" xfId="50" builtinId="8" hidden="1"/>
    <cellStyle name="Lien hypertexte" xfId="52" builtinId="8" hidden="1"/>
    <cellStyle name="Lien hypertexte" xfId="54" builtinId="8" hidden="1"/>
    <cellStyle name="Lien hypertexte" xfId="56" builtinId="8" hidden="1"/>
    <cellStyle name="Lien hypertexte" xfId="58" builtinId="8" hidden="1"/>
    <cellStyle name="Lien hypertexte" xfId="60" builtinId="8" hidden="1"/>
    <cellStyle name="Lien hypertexte" xfId="62" builtinId="8" hidden="1"/>
    <cellStyle name="Lien hypertexte" xfId="64" builtinId="8" hidden="1"/>
    <cellStyle name="Lien hypertexte" xfId="66" builtinId="8" hidden="1"/>
    <cellStyle name="Lien hypertexte" xfId="68" builtinId="8" hidden="1"/>
    <cellStyle name="Lien hypertexte" xfId="70" builtinId="8" hidden="1"/>
    <cellStyle name="Lien hypertexte" xfId="72" builtinId="8" hidden="1"/>
    <cellStyle name="Lien hypertexte" xfId="74" builtinId="8" hidden="1"/>
    <cellStyle name="Lien hypertexte" xfId="76" builtinId="8" hidden="1"/>
    <cellStyle name="Lien hypertexte" xfId="78" builtinId="8" hidden="1"/>
    <cellStyle name="Lien hypertexte" xfId="80" builtinId="8" hidden="1"/>
    <cellStyle name="Lien hypertexte" xfId="82" builtinId="8" hidden="1"/>
    <cellStyle name="Lien hypertexte" xfId="84" builtinId="8" hidden="1"/>
    <cellStyle name="Lien hypertexte" xfId="86" builtinId="8" hidden="1"/>
    <cellStyle name="Lien hypertexte" xfId="88" builtinId="8" hidden="1"/>
    <cellStyle name="Lien hypertexte" xfId="90" builtinId="8" hidden="1"/>
    <cellStyle name="Lien hypertexte" xfId="92" builtinId="8" hidden="1"/>
    <cellStyle name="Lien hypertexte" xfId="94" builtinId="8" hidden="1"/>
    <cellStyle name="Lien hypertexte" xfId="96" builtinId="8" hidden="1"/>
    <cellStyle name="Lien hypertexte" xfId="98" builtinId="8" hidden="1"/>
    <cellStyle name="Lien hypertexte" xfId="100" builtinId="8" hidden="1"/>
    <cellStyle name="Lien hypertexte" xfId="102" builtinId="8" hidden="1"/>
    <cellStyle name="Lien hypertexte" xfId="104" builtinId="8" hidden="1"/>
    <cellStyle name="Lien hypertexte" xfId="106" builtinId="8" hidden="1"/>
    <cellStyle name="Lien hypertexte" xfId="108" builtinId="8" hidden="1"/>
    <cellStyle name="Lien hypertexte" xfId="110" builtinId="8" hidden="1"/>
    <cellStyle name="Lien hypertexte" xfId="112" builtinId="8" hidden="1"/>
    <cellStyle name="Lien hypertexte" xfId="114" builtinId="8" hidden="1"/>
    <cellStyle name="Lien hypertexte" xfId="116" builtinId="8" hidden="1"/>
    <cellStyle name="Lien hypertexte" xfId="118" builtinId="8" hidden="1"/>
    <cellStyle name="Lien hypertexte" xfId="120" builtinId="8" hidden="1"/>
    <cellStyle name="Lien hypertexte" xfId="122" builtinId="8" hidden="1"/>
    <cellStyle name="Lien hypertexte" xfId="124" builtinId="8" hidden="1"/>
    <cellStyle name="Lien hypertexte" xfId="126" builtinId="8" hidden="1"/>
    <cellStyle name="Lien hypertexte" xfId="128" builtinId="8"/>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9" builtinId="9" hidden="1"/>
    <cellStyle name="Lien hypertexte visité" xfId="31" builtinId="9" hidden="1"/>
    <cellStyle name="Lien hypertexte visité" xfId="33" builtinId="9" hidden="1"/>
    <cellStyle name="Lien hypertexte visité" xfId="35" builtinId="9" hidden="1"/>
    <cellStyle name="Lien hypertexte visité" xfId="37" builtinId="9" hidden="1"/>
    <cellStyle name="Lien hypertexte visité" xfId="39" builtinId="9" hidden="1"/>
    <cellStyle name="Lien hypertexte visité" xfId="41" builtinId="9" hidden="1"/>
    <cellStyle name="Lien hypertexte visité" xfId="43" builtinId="9" hidden="1"/>
    <cellStyle name="Lien hypertexte visité" xfId="45" builtinId="9" hidden="1"/>
    <cellStyle name="Lien hypertexte visité" xfId="47" builtinId="9" hidden="1"/>
    <cellStyle name="Lien hypertexte visité" xfId="49" builtinId="9" hidden="1"/>
    <cellStyle name="Lien hypertexte visité" xfId="51" builtinId="9" hidden="1"/>
    <cellStyle name="Lien hypertexte visité" xfId="53" builtinId="9" hidden="1"/>
    <cellStyle name="Lien hypertexte visité" xfId="55" builtinId="9" hidden="1"/>
    <cellStyle name="Lien hypertexte visité" xfId="57" builtinId="9" hidden="1"/>
    <cellStyle name="Lien hypertexte visité" xfId="59" builtinId="9" hidden="1"/>
    <cellStyle name="Lien hypertexte visité" xfId="61" builtinId="9" hidden="1"/>
    <cellStyle name="Lien hypertexte visité" xfId="63" builtinId="9" hidden="1"/>
    <cellStyle name="Lien hypertexte visité" xfId="65" builtinId="9" hidden="1"/>
    <cellStyle name="Lien hypertexte visité" xfId="67" builtinId="9" hidden="1"/>
    <cellStyle name="Lien hypertexte visité" xfId="69" builtinId="9" hidden="1"/>
    <cellStyle name="Lien hypertexte visité" xfId="71" builtinId="9" hidden="1"/>
    <cellStyle name="Lien hypertexte visité" xfId="73" builtinId="9" hidden="1"/>
    <cellStyle name="Lien hypertexte visité" xfId="75" builtinId="9" hidden="1"/>
    <cellStyle name="Lien hypertexte visité" xfId="77" builtinId="9" hidden="1"/>
    <cellStyle name="Lien hypertexte visité" xfId="79" builtinId="9" hidden="1"/>
    <cellStyle name="Lien hypertexte visité" xfId="81" builtinId="9" hidden="1"/>
    <cellStyle name="Lien hypertexte visité" xfId="83"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Lien hypertexte visité" xfId="93" builtinId="9" hidden="1"/>
    <cellStyle name="Lien hypertexte visité" xfId="95" builtinId="9" hidden="1"/>
    <cellStyle name="Lien hypertexte visité" xfId="97" builtinId="9" hidden="1"/>
    <cellStyle name="Lien hypertexte visité" xfId="99" builtinId="9" hidden="1"/>
    <cellStyle name="Lien hypertexte visité" xfId="101" builtinId="9" hidden="1"/>
    <cellStyle name="Lien hypertexte visité" xfId="103" builtinId="9" hidden="1"/>
    <cellStyle name="Lien hypertexte visité" xfId="105" builtinId="9" hidden="1"/>
    <cellStyle name="Lien hypertexte visité" xfId="107" builtinId="9" hidden="1"/>
    <cellStyle name="Lien hypertexte visité" xfId="109" builtinId="9" hidden="1"/>
    <cellStyle name="Lien hypertexte visité" xfId="111" builtinId="9" hidden="1"/>
    <cellStyle name="Lien hypertexte visité" xfId="113" builtinId="9" hidden="1"/>
    <cellStyle name="Lien hypertexte visité" xfId="115" builtinId="9" hidden="1"/>
    <cellStyle name="Lien hypertexte visité" xfId="117" builtinId="9" hidden="1"/>
    <cellStyle name="Lien hypertexte visité" xfId="119" builtinId="9" hidden="1"/>
    <cellStyle name="Lien hypertexte visité" xfId="121" builtinId="9" hidden="1"/>
    <cellStyle name="Lien hypertexte visité" xfId="123" builtinId="9" hidden="1"/>
    <cellStyle name="Lien hypertexte visité" xfId="125" builtinId="9" hidden="1"/>
    <cellStyle name="Lien hypertexte visité" xfId="127" builtinId="9" hidden="1"/>
    <cellStyle name="Lien hypertexte visité" xfId="129" builtinId="9" hidden="1"/>
    <cellStyle name="Lien hypertexte visité" xfId="130" builtinId="9" hidden="1"/>
    <cellStyle name="Lien hypertexte visité" xfId="131" builtinId="9" hidden="1"/>
    <cellStyle name="Lien hypertexte visité" xfId="132" builtinId="9" hidden="1"/>
    <cellStyle name="Lien hypertexte visité" xfId="133" builtinId="9" hidden="1"/>
    <cellStyle name="Lien hypertexte visité" xfId="134" builtinId="9" hidden="1"/>
    <cellStyle name="Lien hypertexte visité" xfId="135" builtinId="9" hidden="1"/>
    <cellStyle name="Lien hypertexte visité" xfId="136" builtinId="9" hidden="1"/>
    <cellStyle name="Lien hypertexte visité" xfId="137" builtinId="9" hidden="1"/>
    <cellStyle name="Lien hypertexte visité" xfId="138" builtinId="9" hidden="1"/>
    <cellStyle name="Lien hypertexte visité" xfId="139" builtinId="9" hidden="1"/>
    <cellStyle name="Lien hypertexte visité" xfId="140" builtinId="9" hidden="1"/>
    <cellStyle name="Lien hypertexte visité" xfId="141" builtinId="9" hidden="1"/>
    <cellStyle name="Lien hypertexte visité" xfId="142" builtinId="9" hidden="1"/>
    <cellStyle name="Lien hypertexte visité" xfId="143" builtinId="9" hidden="1"/>
    <cellStyle name="Lien hypertexte visité" xfId="144" builtinId="9" hidden="1"/>
    <cellStyle name="Lien hypertexte visité" xfId="145" builtinId="9" hidden="1"/>
    <cellStyle name="Lien hypertexte visité" xfId="146" builtinId="9" hidden="1"/>
    <cellStyle name="Lien hypertexte visité" xfId="147" builtinId="9" hidden="1"/>
    <cellStyle name="Lien hypertexte visité" xfId="148" builtinId="9" hidden="1"/>
    <cellStyle name="Lien hypertexte visité" xfId="149" builtinId="9" hidden="1"/>
    <cellStyle name="Lien hypertexte visité" xfId="150" builtinId="9" hidden="1"/>
    <cellStyle name="Lien hypertexte visité" xfId="151" builtinId="9" hidden="1"/>
    <cellStyle name="Lien hypertexte visité" xfId="152" builtinId="9" hidden="1"/>
    <cellStyle name="Lien hypertexte visité" xfId="153" builtinId="9" hidden="1"/>
    <cellStyle name="Lien hypertexte visité" xfId="154" builtinId="9" hidden="1"/>
    <cellStyle name="Lien hypertexte visité" xfId="155" builtinId="9" hidden="1"/>
    <cellStyle name="Lien hypertexte visité" xfId="156" builtinId="9" hidden="1"/>
    <cellStyle name="Lien hypertexte visité" xfId="157" builtinId="9" hidden="1"/>
    <cellStyle name="Lien hypertexte visité" xfId="158" builtinId="9" hidden="1"/>
    <cellStyle name="Lien hypertexte visité" xfId="159" builtinId="9" hidden="1"/>
    <cellStyle name="Lien hypertexte visité" xfId="160" builtinId="9" hidden="1"/>
    <cellStyle name="Lien hypertexte visité" xfId="161" builtinId="9" hidden="1"/>
    <cellStyle name="Lien hypertexte visité" xfId="162" builtinId="9" hidden="1"/>
    <cellStyle name="Lien hypertexte visité" xfId="163" builtinId="9" hidden="1"/>
    <cellStyle name="Lien hypertexte visité" xfId="164" builtinId="9" hidden="1"/>
    <cellStyle name="Lien hypertexte visité" xfId="165" builtinId="9" hidden="1"/>
    <cellStyle name="Lien hypertexte visité" xfId="166" builtinId="9" hidden="1"/>
    <cellStyle name="Lien hypertexte visité" xfId="167" builtinId="9" hidden="1"/>
    <cellStyle name="Lien hypertexte visité" xfId="168" builtinId="9" hidden="1"/>
    <cellStyle name="Lien hypertexte visité" xfId="169" builtinId="9" hidden="1"/>
    <cellStyle name="Lien hypertexte visité" xfId="170" builtinId="9" hidden="1"/>
    <cellStyle name="Lien hypertexte visité" xfId="171" builtinId="9" hidden="1"/>
    <cellStyle name="Lien hypertexte visité" xfId="172" builtinId="9" hidden="1"/>
    <cellStyle name="Lien hypertexte visité" xfId="173" builtinId="9" hidden="1"/>
    <cellStyle name="Lien hypertexte visité" xfId="174" builtinId="9" hidden="1"/>
    <cellStyle name="Lien hypertexte visité" xfId="175" builtinId="9" hidden="1"/>
    <cellStyle name="Lien hypertexte visité" xfId="176" builtinId="9" hidden="1"/>
    <cellStyle name="Lien hypertexte visité" xfId="177" builtinId="9" hidden="1"/>
    <cellStyle name="Lien hypertexte visité" xfId="178" builtinId="9" hidden="1"/>
    <cellStyle name="Lien hypertexte visité" xfId="179" builtinId="9" hidden="1"/>
    <cellStyle name="Lien hypertexte visité" xfId="180" builtinId="9" hidden="1"/>
    <cellStyle name="Lien hypertexte visité" xfId="181" builtinId="9" hidden="1"/>
    <cellStyle name="Lien hypertexte visité" xfId="182" builtinId="9" hidden="1"/>
    <cellStyle name="Lien hypertexte visité" xfId="183" builtinId="9" hidden="1"/>
    <cellStyle name="Lien hypertexte visité" xfId="184" builtinId="9" hidden="1"/>
    <cellStyle name="Lien hypertexte visité" xfId="185" builtinId="9" hidden="1"/>
    <cellStyle name="Lien hypertexte visité" xfId="186" builtinId="9" hidden="1"/>
    <cellStyle name="Lien hypertexte visité" xfId="187" builtinId="9" hidden="1"/>
    <cellStyle name="Lien hypertexte visité" xfId="188" builtinId="9" hidden="1"/>
    <cellStyle name="Lien hypertexte visité" xfId="189" builtinId="9" hidden="1"/>
    <cellStyle name="Lien hypertexte visité" xfId="190" builtinId="9" hidden="1"/>
    <cellStyle name="Lien hypertexte visité" xfId="191" builtinId="9" hidden="1"/>
    <cellStyle name="Lien hypertexte visité" xfId="192" builtinId="9" hidden="1"/>
    <cellStyle name="Lien hypertexte visité" xfId="193" builtinId="9" hidden="1"/>
    <cellStyle name="Lien hypertexte visité" xfId="194" builtinId="9" hidden="1"/>
    <cellStyle name="Lien hypertexte visité" xfId="195" builtinId="9" hidden="1"/>
    <cellStyle name="Lien hypertexte visité" xfId="196" builtinId="9" hidden="1"/>
    <cellStyle name="Lien hypertexte visité" xfId="197" builtinId="9" hidden="1"/>
    <cellStyle name="Lien hypertexte visité" xfId="198" builtinId="9" hidden="1"/>
    <cellStyle name="Lien hypertexte visité" xfId="199" builtinId="9" hidden="1"/>
    <cellStyle name="Lien hypertexte visité" xfId="200" builtinId="9" hidden="1"/>
    <cellStyle name="Lien hypertexte visité" xfId="201" builtinId="9" hidden="1"/>
    <cellStyle name="Lien hypertexte visité" xfId="202" builtinId="9" hidden="1"/>
    <cellStyle name="Lien hypertexte visité" xfId="203" builtinId="9" hidden="1"/>
    <cellStyle name="Lien hypertexte visité" xfId="204" builtinId="9" hidden="1"/>
    <cellStyle name="Lien hypertexte visité" xfId="205" builtinId="9" hidden="1"/>
    <cellStyle name="Lien hypertexte visité" xfId="206" builtinId="9" hidden="1"/>
    <cellStyle name="Lien hypertexte visité" xfId="207" builtinId="9" hidden="1"/>
    <cellStyle name="Lien hypertexte visité" xfId="208" builtinId="9" hidden="1"/>
    <cellStyle name="Lien hypertexte visité" xfId="209" builtinId="9" hidden="1"/>
    <cellStyle name="Lien hypertexte visité" xfId="210" builtinId="9" hidden="1"/>
    <cellStyle name="Lien hypertexte visité" xfId="211" builtinId="9" hidden="1"/>
    <cellStyle name="Lien hypertexte visité" xfId="212" builtinId="9" hidden="1"/>
    <cellStyle name="Lien hypertexte visité" xfId="213" builtinId="9" hidden="1"/>
    <cellStyle name="Lien hypertexte visité" xfId="214" builtinId="9" hidden="1"/>
    <cellStyle name="Lien hypertexte visité" xfId="215" builtinId="9" hidden="1"/>
    <cellStyle name="Lien hypertexte visité" xfId="216" builtinId="9" hidden="1"/>
    <cellStyle name="Lien hypertexte visité" xfId="217" builtinId="9" hidden="1"/>
    <cellStyle name="Lien hypertexte visité" xfId="218" builtinId="9" hidden="1"/>
    <cellStyle name="Lien hypertexte visité" xfId="219" builtinId="9" hidden="1"/>
    <cellStyle name="Lien hypertexte visité" xfId="220" builtinId="9" hidden="1"/>
    <cellStyle name="Lien hypertexte visité" xfId="221" builtinId="9" hidden="1"/>
    <cellStyle name="Lien hypertexte visité" xfId="222" builtinId="9" hidden="1"/>
    <cellStyle name="Lien hypertexte visité" xfId="223" builtinId="9" hidden="1"/>
    <cellStyle name="Lien hypertexte visité" xfId="224" builtinId="9" hidden="1"/>
    <cellStyle name="Lien hypertexte visité" xfId="225" builtinId="9" hidden="1"/>
    <cellStyle name="Lien hypertexte visité" xfId="226" builtinId="9" hidden="1"/>
    <cellStyle name="Lien hypertexte visité" xfId="227" builtinId="9" hidden="1"/>
    <cellStyle name="Lien hypertexte visité" xfId="228" builtinId="9" hidden="1"/>
    <cellStyle name="Lien hypertexte visité" xfId="229" builtinId="9" hidden="1"/>
    <cellStyle name="Lien hypertexte visité" xfId="230" builtinId="9" hidden="1"/>
    <cellStyle name="Lien hypertexte visité" xfId="231" builtinId="9" hidden="1"/>
    <cellStyle name="Lien hypertexte visité" xfId="232" builtinId="9" hidden="1"/>
    <cellStyle name="Lien hypertexte visité" xfId="233" builtinId="9" hidden="1"/>
    <cellStyle name="Lien hypertexte visité" xfId="234" builtinId="9" hidden="1"/>
    <cellStyle name="Lien hypertexte visité" xfId="235" builtinId="9" hidden="1"/>
    <cellStyle name="Lien hypertexte visité" xfId="236" builtinId="9" hidden="1"/>
    <cellStyle name="Lien hypertexte visité" xfId="237" builtinId="9" hidden="1"/>
    <cellStyle name="Lien hypertexte visité" xfId="238" builtinId="9" hidden="1"/>
    <cellStyle name="Lien hypertexte visité" xfId="239" builtinId="9" hidden="1"/>
    <cellStyle name="Lien hypertexte visité" xfId="240" builtinId="9" hidden="1"/>
    <cellStyle name="Lien hypertexte visité" xfId="241" builtinId="9" hidden="1"/>
    <cellStyle name="Lien hypertexte visité" xfId="242" builtinId="9" hidden="1"/>
    <cellStyle name="Lien hypertexte visité" xfId="243" builtinId="9" hidden="1"/>
    <cellStyle name="Lien hypertexte visité" xfId="244" builtinId="9" hidden="1"/>
    <cellStyle name="Lien hypertexte visité" xfId="245" builtinId="9" hidden="1"/>
    <cellStyle name="Lien hypertexte visité" xfId="246" builtinId="9" hidden="1"/>
    <cellStyle name="Lien hypertexte visité" xfId="247" builtinId="9" hidden="1"/>
    <cellStyle name="Lien hypertexte visité" xfId="248" builtinId="9" hidden="1"/>
    <cellStyle name="Lien hypertexte visité" xfId="249" builtinId="9" hidden="1"/>
    <cellStyle name="Lien hypertexte visité" xfId="250" builtinId="9" hidden="1"/>
    <cellStyle name="Lien hypertexte visité" xfId="251" builtinId="9" hidden="1"/>
    <cellStyle name="Lien hypertexte visité" xfId="252" builtinId="9" hidden="1"/>
    <cellStyle name="Lien hypertexte visité" xfId="253" builtinId="9" hidden="1"/>
    <cellStyle name="Lien hypertexte visité" xfId="254" builtinId="9" hidden="1"/>
    <cellStyle name="Lien hypertexte visité" xfId="255" builtinId="9" hidden="1"/>
    <cellStyle name="Lien hypertexte visité" xfId="256" builtinId="9" hidden="1"/>
    <cellStyle name="Lien hypertexte visité" xfId="257" builtinId="9" hidden="1"/>
    <cellStyle name="Lien hypertexte visité" xfId="258" builtinId="9" hidden="1"/>
    <cellStyle name="Lien hypertexte visité" xfId="259" builtinId="9" hidden="1"/>
    <cellStyle name="Lien hypertexte visité" xfId="260" builtinId="9" hidden="1"/>
    <cellStyle name="Lien hypertexte visité" xfId="261" builtinId="9" hidden="1"/>
    <cellStyle name="Lien hypertexte visité" xfId="262" builtinId="9" hidden="1"/>
    <cellStyle name="Lien hypertexte visité" xfId="263" builtinId="9" hidden="1"/>
    <cellStyle name="Lien hypertexte visité" xfId="264" builtinId="9" hidden="1"/>
    <cellStyle name="Lien hypertexte visité" xfId="265" builtinId="9" hidden="1"/>
    <cellStyle name="Lien hypertexte visité" xfId="266" builtinId="9" hidden="1"/>
    <cellStyle name="Lien hypertexte visité" xfId="267" builtinId="9" hidden="1"/>
    <cellStyle name="Lien hypertexte visité" xfId="268" builtinId="9" hidden="1"/>
    <cellStyle name="Lien hypertexte visité" xfId="269" builtinId="9" hidden="1"/>
    <cellStyle name="Lien hypertexte visité" xfId="270" builtinId="9" hidden="1"/>
    <cellStyle name="Lien hypertexte visité" xfId="271" builtinId="9" hidden="1"/>
    <cellStyle name="Lien hypertexte visité" xfId="272" builtinId="9" hidden="1"/>
    <cellStyle name="Lien hypertexte visité" xfId="273" builtinId="9" hidden="1"/>
    <cellStyle name="Lien hypertexte visité" xfId="274" builtinId="9" hidden="1"/>
    <cellStyle name="Lien hypertexte visité" xfId="275" builtinId="9" hidden="1"/>
    <cellStyle name="Lien hypertexte visité" xfId="276" builtinId="9" hidden="1"/>
    <cellStyle name="Lien hypertexte visité" xfId="277" builtinId="9" hidden="1"/>
    <cellStyle name="Lien hypertexte visité" xfId="278" builtinId="9" hidden="1"/>
    <cellStyle name="Lien hypertexte visité" xfId="279" builtinId="9" hidden="1"/>
    <cellStyle name="Lien hypertexte visité" xfId="280" builtinId="9" hidden="1"/>
    <cellStyle name="Lien hypertexte visité" xfId="281" builtinId="9" hidden="1"/>
    <cellStyle name="Lien hypertexte visité" xfId="282" builtinId="9" hidden="1"/>
    <cellStyle name="Lien hypertexte visité" xfId="283" builtinId="9" hidden="1"/>
    <cellStyle name="Lien hypertexte visité" xfId="284" builtinId="9" hidden="1"/>
    <cellStyle name="Lien hypertexte visité" xfId="285" builtinId="9" hidden="1"/>
    <cellStyle name="Lien hypertexte visité" xfId="286" builtinId="9" hidden="1"/>
    <cellStyle name="Lien hypertexte visité" xfId="287" builtinId="9" hidden="1"/>
    <cellStyle name="Lien hypertexte visité" xfId="288" builtinId="9" hidden="1"/>
    <cellStyle name="Lien hypertexte visité" xfId="289" builtinId="9" hidden="1"/>
    <cellStyle name="Lien hypertexte visité" xfId="290" builtinId="9" hidden="1"/>
    <cellStyle name="Lien hypertexte visité" xfId="291" builtinId="9" hidden="1"/>
    <cellStyle name="Lien hypertexte visité" xfId="292" builtinId="9" hidden="1"/>
    <cellStyle name="Lien hypertexte visité" xfId="293" builtinId="9" hidden="1"/>
    <cellStyle name="Lien hypertexte visité" xfId="294" builtinId="9" hidden="1"/>
    <cellStyle name="Lien hypertexte visité" xfId="295" builtinId="9" hidden="1"/>
    <cellStyle name="Lien hypertexte visité" xfId="296" builtinId="9" hidden="1"/>
    <cellStyle name="Lien hypertexte visité" xfId="297" builtinId="9" hidden="1"/>
    <cellStyle name="Milliers" xfId="299" builtinId="3"/>
    <cellStyle name="Normal" xfId="0" builtinId="0"/>
    <cellStyle name="Sortie" xfId="298" builtinId="21"/>
  </cellStyles>
  <dxfs count="12">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eiti.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tie.sn/wp-content/uploads/2017/03/Politique-de-Donn&#233;es-Ouvertes-CN-ITIE-S&#233;n&#233;gal-vf.pdf" TargetMode="External"/><Relationship Id="rId2" Type="http://schemas.openxmlformats.org/officeDocument/2006/relationships/hyperlink" Target="mailto:sami.sakka@moorestephens.com" TargetMode="External"/><Relationship Id="rId1" Type="http://schemas.openxmlformats.org/officeDocument/2006/relationships/hyperlink" Target="http://itie.sn/rapports-2015-2016/"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dirmingeol.sn/pages_utiles/carte_des_permis_m.php" TargetMode="External"/><Relationship Id="rId2" Type="http://schemas.openxmlformats.org/officeDocument/2006/relationships/hyperlink" Target="http://www.dpee.sn/-TOFE-.html?lang=fr" TargetMode="External"/><Relationship Id="rId1" Type="http://schemas.openxmlformats.org/officeDocument/2006/relationships/hyperlink" Target="http://www.dgf.finances.gouv.sn/dgf/documentation/DB/LFR_2016.pdf"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3"/>
  <dimension ref="B1:Y46"/>
  <sheetViews>
    <sheetView showGridLines="0" zoomScaleNormal="100" zoomScalePageLayoutView="150" workbookViewId="0"/>
  </sheetViews>
  <sheetFormatPr baseColWidth="10" defaultColWidth="3.5" defaultRowHeight="24" customHeight="1"/>
  <cols>
    <col min="1" max="1" width="3.5" style="42"/>
    <col min="2" max="2" width="3.5" style="42" customWidth="1"/>
    <col min="3" max="16384" width="3.5" style="42"/>
  </cols>
  <sheetData>
    <row r="1" spans="2:25" ht="15.95" customHeight="1"/>
    <row r="2" spans="2:25" ht="21">
      <c r="B2" s="77" t="s">
        <v>107</v>
      </c>
      <c r="C2" s="48"/>
      <c r="D2" s="48"/>
      <c r="E2" s="48"/>
      <c r="F2" s="48"/>
      <c r="G2" s="48"/>
      <c r="H2" s="48"/>
      <c r="I2" s="48"/>
      <c r="J2" s="48"/>
      <c r="K2" s="48"/>
      <c r="L2" s="48"/>
      <c r="M2" s="48"/>
      <c r="N2" s="48"/>
      <c r="O2" s="48"/>
      <c r="P2" s="48"/>
      <c r="Q2" s="48"/>
      <c r="R2" s="48"/>
      <c r="S2" s="38"/>
      <c r="T2" s="38"/>
      <c r="U2" s="38"/>
      <c r="V2" s="38"/>
      <c r="W2" s="38"/>
      <c r="X2" s="38"/>
      <c r="Y2" s="38"/>
    </row>
    <row r="3" spans="2:25" ht="15.95" customHeight="1">
      <c r="B3" s="78" t="s">
        <v>191</v>
      </c>
      <c r="C3" s="43"/>
      <c r="D3" s="43"/>
      <c r="E3" s="43"/>
      <c r="F3" s="43"/>
      <c r="G3" s="43"/>
      <c r="H3" s="43"/>
      <c r="I3" s="43"/>
      <c r="J3" s="40"/>
      <c r="K3" s="40"/>
      <c r="L3" s="40"/>
      <c r="M3" s="40"/>
      <c r="N3" s="40"/>
      <c r="O3" s="40"/>
      <c r="P3" s="40"/>
      <c r="Q3" s="40"/>
      <c r="R3" s="40"/>
      <c r="S3" s="40"/>
      <c r="T3" s="40"/>
      <c r="U3" s="40"/>
      <c r="V3" s="40"/>
      <c r="W3" s="40"/>
      <c r="X3" s="40"/>
      <c r="Y3" s="40"/>
    </row>
    <row r="4" spans="2:25" ht="15.95" customHeight="1">
      <c r="B4" s="39"/>
      <c r="C4" s="40"/>
      <c r="D4" s="40"/>
      <c r="E4" s="40"/>
      <c r="F4" s="40"/>
      <c r="G4" s="40"/>
      <c r="H4" s="40"/>
      <c r="I4" s="40"/>
      <c r="J4" s="40"/>
      <c r="K4" s="40"/>
      <c r="L4" s="40"/>
      <c r="M4" s="40"/>
      <c r="N4" s="40"/>
      <c r="O4" s="40"/>
      <c r="P4" s="40"/>
      <c r="Q4" s="40"/>
      <c r="R4" s="40"/>
      <c r="S4" s="40"/>
      <c r="T4" s="40"/>
      <c r="U4" s="40"/>
      <c r="V4" s="40"/>
      <c r="W4" s="40"/>
      <c r="X4" s="40"/>
      <c r="Y4" s="40"/>
    </row>
    <row r="5" spans="2:25" ht="15.95" customHeight="1">
      <c r="B5" s="79" t="s">
        <v>108</v>
      </c>
      <c r="C5" s="40"/>
      <c r="D5" s="40"/>
      <c r="E5" s="40"/>
      <c r="F5" s="40"/>
      <c r="G5" s="40"/>
      <c r="H5" s="40"/>
      <c r="I5" s="40"/>
      <c r="J5" s="40"/>
      <c r="K5" s="40"/>
      <c r="L5" s="40"/>
      <c r="M5" s="40"/>
      <c r="N5" s="40"/>
      <c r="O5" s="40"/>
      <c r="P5" s="40"/>
      <c r="Q5" s="40"/>
      <c r="R5" s="40"/>
      <c r="S5" s="40"/>
      <c r="T5" s="40"/>
      <c r="U5" s="40"/>
      <c r="V5" s="40"/>
      <c r="W5" s="40"/>
      <c r="X5" s="40"/>
      <c r="Y5" s="40"/>
    </row>
    <row r="6" spans="2:25" ht="15.95" customHeight="1">
      <c r="B6" s="39"/>
      <c r="C6" s="39"/>
      <c r="D6" s="39"/>
      <c r="E6" s="39"/>
      <c r="F6" s="39"/>
      <c r="G6" s="39"/>
      <c r="H6" s="39"/>
      <c r="I6" s="39"/>
      <c r="J6" s="39"/>
      <c r="K6" s="39"/>
      <c r="L6" s="39"/>
      <c r="M6" s="39"/>
      <c r="N6" s="39"/>
      <c r="O6" s="39"/>
      <c r="P6" s="39"/>
      <c r="Q6" s="39"/>
      <c r="R6" s="39"/>
      <c r="S6" s="39"/>
      <c r="T6" s="39"/>
      <c r="U6" s="39"/>
      <c r="V6" s="39"/>
      <c r="W6" s="39"/>
      <c r="X6" s="39"/>
      <c r="Y6" s="39"/>
    </row>
    <row r="7" spans="2:25" ht="15.95" customHeight="1">
      <c r="B7" s="73" t="s">
        <v>109</v>
      </c>
      <c r="C7" s="43"/>
      <c r="D7" s="43"/>
      <c r="E7" s="43"/>
      <c r="F7" s="43"/>
      <c r="G7" s="43"/>
      <c r="H7" s="43"/>
      <c r="I7" s="43"/>
      <c r="J7" s="43"/>
      <c r="K7" s="43"/>
      <c r="L7" s="43"/>
      <c r="M7" s="43"/>
      <c r="N7" s="43"/>
      <c r="O7" s="43"/>
      <c r="P7" s="43"/>
      <c r="Q7" s="43"/>
      <c r="R7" s="43"/>
      <c r="S7" s="43"/>
      <c r="T7" s="43"/>
      <c r="U7" s="43"/>
      <c r="V7" s="43"/>
      <c r="W7" s="43"/>
      <c r="X7" s="43"/>
      <c r="Y7" s="43"/>
    </row>
    <row r="8" spans="2:25" ht="15.95" customHeight="1">
      <c r="B8" s="43"/>
      <c r="C8" s="43"/>
      <c r="D8" s="43"/>
      <c r="E8" s="43"/>
      <c r="F8" s="43"/>
      <c r="G8" s="43"/>
      <c r="H8" s="43"/>
      <c r="I8" s="43"/>
      <c r="J8" s="43"/>
      <c r="K8" s="43"/>
      <c r="L8" s="43"/>
      <c r="M8" s="43"/>
      <c r="N8" s="43"/>
      <c r="O8" s="43"/>
      <c r="P8" s="43"/>
      <c r="Q8" s="43"/>
      <c r="R8" s="43"/>
      <c r="S8" s="43"/>
      <c r="T8" s="43"/>
      <c r="U8" s="43"/>
      <c r="V8" s="43"/>
      <c r="W8" s="43"/>
      <c r="X8" s="43"/>
      <c r="Y8" s="43"/>
    </row>
    <row r="9" spans="2:25" ht="15.95" customHeight="1">
      <c r="B9" s="79" t="s">
        <v>192</v>
      </c>
      <c r="C9" s="44"/>
      <c r="D9" s="44"/>
      <c r="E9" s="44"/>
      <c r="F9" s="44"/>
      <c r="G9" s="44"/>
      <c r="H9" s="44"/>
      <c r="I9" s="44"/>
      <c r="J9" s="44"/>
      <c r="K9" s="44"/>
      <c r="L9" s="44"/>
      <c r="M9" s="44"/>
      <c r="N9" s="44"/>
      <c r="O9" s="44"/>
      <c r="P9" s="44"/>
      <c r="Q9" s="44"/>
      <c r="R9" s="44"/>
      <c r="S9" s="44"/>
      <c r="T9" s="44"/>
      <c r="U9" s="44"/>
      <c r="V9" s="44"/>
      <c r="W9" s="44"/>
      <c r="X9" s="44"/>
      <c r="Y9" s="44"/>
    </row>
    <row r="10" spans="2:25" ht="15.95" customHeight="1">
      <c r="B10" s="79" t="s">
        <v>40</v>
      </c>
      <c r="C10" s="44"/>
      <c r="D10" s="44"/>
      <c r="E10" s="44"/>
      <c r="F10" s="44"/>
      <c r="G10" s="44"/>
      <c r="H10" s="44"/>
      <c r="I10" s="44"/>
      <c r="J10" s="44"/>
      <c r="K10" s="44"/>
      <c r="L10" s="44"/>
      <c r="M10" s="44"/>
      <c r="N10" s="44"/>
      <c r="O10" s="44"/>
      <c r="P10" s="44"/>
      <c r="Q10" s="44"/>
      <c r="R10" s="44"/>
      <c r="S10" s="44"/>
      <c r="T10" s="44"/>
      <c r="U10" s="44"/>
      <c r="V10" s="44"/>
      <c r="W10" s="44"/>
      <c r="X10" s="44"/>
      <c r="Y10" s="44"/>
    </row>
    <row r="11" spans="2:25" ht="15.95" customHeight="1">
      <c r="B11" s="44"/>
      <c r="C11" s="44"/>
      <c r="D11" s="44"/>
      <c r="E11" s="44"/>
      <c r="F11" s="44"/>
      <c r="G11" s="44"/>
      <c r="H11" s="44"/>
      <c r="I11" s="44"/>
      <c r="J11" s="44"/>
      <c r="K11" s="44"/>
      <c r="L11" s="44"/>
      <c r="M11" s="44"/>
      <c r="N11" s="44"/>
      <c r="O11" s="44"/>
      <c r="P11" s="44"/>
      <c r="Q11" s="44"/>
      <c r="R11" s="44"/>
      <c r="S11" s="44"/>
      <c r="T11" s="44"/>
      <c r="U11" s="44"/>
      <c r="V11" s="44"/>
      <c r="W11" s="44"/>
      <c r="X11" s="44"/>
      <c r="Y11" s="44"/>
    </row>
    <row r="12" spans="2:25" ht="15.95" customHeight="1">
      <c r="B12" s="75" t="s">
        <v>135</v>
      </c>
      <c r="C12" s="74"/>
      <c r="D12" s="74"/>
      <c r="E12" s="44"/>
      <c r="F12" s="44"/>
      <c r="G12" s="44"/>
      <c r="H12" s="44"/>
      <c r="I12" s="44"/>
      <c r="J12" s="44"/>
      <c r="K12" s="44"/>
      <c r="L12" s="44"/>
      <c r="M12" s="44"/>
      <c r="N12" s="44"/>
      <c r="O12" s="44"/>
      <c r="P12" s="44"/>
      <c r="Q12" s="44"/>
      <c r="R12" s="44"/>
      <c r="S12" s="44"/>
      <c r="T12" s="44"/>
      <c r="U12" s="44"/>
      <c r="V12" s="44"/>
      <c r="W12" s="44"/>
      <c r="X12" s="44"/>
      <c r="Y12" s="44"/>
    </row>
    <row r="13" spans="2:25" ht="15.95" customHeight="1">
      <c r="B13" s="79" t="s">
        <v>133</v>
      </c>
      <c r="C13" s="44"/>
      <c r="D13" s="44"/>
      <c r="E13" s="44"/>
      <c r="F13" s="44"/>
      <c r="G13" s="44"/>
      <c r="H13" s="44"/>
      <c r="I13" s="44"/>
      <c r="J13" s="44"/>
      <c r="K13" s="44"/>
      <c r="L13" s="44"/>
      <c r="M13" s="44"/>
      <c r="N13" s="44"/>
      <c r="O13" s="44"/>
      <c r="P13" s="44"/>
      <c r="Q13" s="44"/>
      <c r="R13" s="44"/>
      <c r="S13" s="44"/>
      <c r="T13" s="44"/>
      <c r="U13" s="44"/>
      <c r="V13" s="44"/>
      <c r="W13" s="44"/>
      <c r="X13" s="44"/>
      <c r="Y13" s="44"/>
    </row>
    <row r="14" spans="2:25" ht="15.95" customHeight="1">
      <c r="B14" s="79" t="s">
        <v>134</v>
      </c>
      <c r="C14" s="44"/>
      <c r="D14" s="44"/>
      <c r="E14" s="44"/>
      <c r="F14" s="44"/>
      <c r="G14" s="44"/>
      <c r="H14" s="44"/>
      <c r="I14" s="44"/>
      <c r="J14" s="44"/>
      <c r="K14" s="44"/>
      <c r="L14" s="44"/>
      <c r="M14" s="44"/>
      <c r="N14" s="44"/>
      <c r="O14" s="44"/>
      <c r="P14" s="44"/>
      <c r="Q14" s="44"/>
      <c r="R14" s="44"/>
      <c r="S14" s="44"/>
      <c r="T14" s="44"/>
      <c r="U14" s="44"/>
      <c r="V14" s="44"/>
      <c r="W14" s="44"/>
      <c r="X14" s="44"/>
      <c r="Y14" s="44"/>
    </row>
    <row r="15" spans="2:25" ht="15.95" customHeight="1">
      <c r="B15" s="79" t="s">
        <v>139</v>
      </c>
      <c r="C15" s="44"/>
      <c r="D15" s="44"/>
      <c r="E15" s="44"/>
      <c r="F15" s="44"/>
      <c r="G15" s="44"/>
      <c r="H15" s="44"/>
      <c r="I15" s="44"/>
      <c r="J15" s="44"/>
      <c r="K15" s="44"/>
      <c r="L15" s="44"/>
      <c r="M15" s="44"/>
      <c r="N15" s="44"/>
      <c r="O15" s="44"/>
      <c r="P15" s="44"/>
      <c r="Q15" s="44"/>
      <c r="R15" s="44"/>
      <c r="S15" s="44"/>
      <c r="T15" s="44"/>
      <c r="U15" s="44"/>
      <c r="V15" s="44"/>
      <c r="W15" s="44"/>
      <c r="X15" s="44"/>
      <c r="Y15" s="44"/>
    </row>
    <row r="16" spans="2:25" ht="15.95" customHeight="1">
      <c r="B16" s="44"/>
      <c r="C16" s="44"/>
      <c r="D16" s="44"/>
      <c r="E16" s="44"/>
      <c r="F16" s="44"/>
      <c r="G16" s="44"/>
      <c r="H16" s="44"/>
      <c r="I16" s="44"/>
      <c r="J16" s="44"/>
      <c r="K16" s="44"/>
      <c r="L16" s="44"/>
      <c r="M16" s="44"/>
      <c r="N16" s="44"/>
      <c r="O16" s="44"/>
      <c r="P16" s="44"/>
      <c r="Q16" s="44"/>
      <c r="R16" s="44"/>
      <c r="S16" s="44"/>
      <c r="T16" s="44"/>
      <c r="U16" s="44"/>
      <c r="V16" s="44"/>
      <c r="W16" s="44"/>
      <c r="X16" s="44"/>
      <c r="Y16" s="44"/>
    </row>
    <row r="17" spans="2:25" ht="15.95" customHeight="1">
      <c r="B17" s="76" t="s">
        <v>41</v>
      </c>
      <c r="C17" s="45"/>
      <c r="D17" s="45"/>
      <c r="E17" s="45"/>
      <c r="F17" s="45"/>
      <c r="G17" s="45"/>
      <c r="H17" s="45"/>
      <c r="I17" s="45"/>
      <c r="J17" s="45"/>
      <c r="K17" s="45"/>
      <c r="L17" s="45"/>
      <c r="M17" s="45"/>
      <c r="N17" s="45"/>
      <c r="O17" s="45"/>
      <c r="P17" s="45"/>
      <c r="Q17" s="45"/>
      <c r="R17" s="45"/>
      <c r="S17" s="45"/>
      <c r="T17" s="45"/>
      <c r="U17" s="45"/>
      <c r="V17" s="45"/>
      <c r="W17" s="45"/>
      <c r="X17" s="45"/>
      <c r="Y17" s="45"/>
    </row>
    <row r="18" spans="2:25" ht="15.95" customHeight="1">
      <c r="B18" s="80" t="s">
        <v>42</v>
      </c>
      <c r="C18" s="80"/>
      <c r="D18" s="80"/>
      <c r="E18" s="80"/>
      <c r="F18" s="80"/>
      <c r="G18" s="80"/>
      <c r="H18" s="80"/>
      <c r="I18" s="80"/>
      <c r="J18" s="80"/>
      <c r="K18" s="80"/>
      <c r="L18" s="80"/>
      <c r="M18" s="80"/>
      <c r="N18" s="80"/>
      <c r="O18" s="80"/>
      <c r="P18" s="80"/>
      <c r="Q18" s="80"/>
      <c r="R18" s="41"/>
      <c r="S18" s="41"/>
      <c r="T18" s="41"/>
      <c r="U18" s="41"/>
      <c r="V18" s="41"/>
      <c r="W18" s="41"/>
      <c r="X18" s="41"/>
      <c r="Y18" s="41"/>
    </row>
    <row r="19" spans="2:25" ht="15.95" customHeight="1">
      <c r="B19" s="46"/>
      <c r="C19" s="46"/>
      <c r="D19" s="46"/>
      <c r="E19" s="46"/>
      <c r="F19" s="46"/>
      <c r="G19" s="46"/>
      <c r="H19" s="46"/>
      <c r="I19" s="46"/>
      <c r="J19" s="46"/>
      <c r="K19" s="47"/>
      <c r="L19" s="47"/>
      <c r="M19" s="47"/>
      <c r="N19" s="47"/>
      <c r="O19" s="47"/>
      <c r="P19" s="47"/>
      <c r="Q19" s="47"/>
      <c r="R19" s="47"/>
      <c r="S19" s="47"/>
      <c r="T19" s="47"/>
      <c r="U19" s="47"/>
      <c r="V19" s="47"/>
      <c r="W19" s="47"/>
      <c r="X19" s="47"/>
      <c r="Y19" s="47"/>
    </row>
    <row r="20" spans="2:25" ht="15.95" customHeight="1">
      <c r="B20" s="44"/>
      <c r="C20" s="44"/>
      <c r="D20" s="44"/>
      <c r="E20" s="44"/>
      <c r="F20" s="44"/>
      <c r="G20" s="44"/>
      <c r="H20" s="44"/>
      <c r="I20" s="44"/>
      <c r="J20" s="44"/>
      <c r="K20" s="44"/>
      <c r="L20" s="44"/>
      <c r="M20" s="44"/>
      <c r="N20" s="44"/>
      <c r="O20" s="44"/>
      <c r="P20" s="44"/>
      <c r="Q20" s="44"/>
      <c r="R20" s="44"/>
      <c r="S20" s="44"/>
      <c r="T20" s="44"/>
      <c r="U20" s="44"/>
      <c r="V20" s="44"/>
      <c r="W20" s="44"/>
      <c r="X20" s="44"/>
      <c r="Y20" s="44"/>
    </row>
    <row r="21" spans="2:25" ht="15.95" customHeight="1">
      <c r="B21" s="44" t="s">
        <v>205</v>
      </c>
      <c r="C21" s="44"/>
      <c r="D21" s="44"/>
      <c r="E21" s="44"/>
      <c r="F21" s="44"/>
      <c r="G21" s="44"/>
      <c r="H21" s="44"/>
      <c r="I21" s="44"/>
      <c r="J21" s="44"/>
      <c r="K21" s="44"/>
      <c r="L21" s="44"/>
      <c r="M21" s="44"/>
      <c r="N21" s="44"/>
      <c r="O21" s="44"/>
      <c r="P21" s="44"/>
      <c r="Q21" s="44"/>
      <c r="R21" s="44"/>
      <c r="S21" s="44"/>
      <c r="T21" s="44"/>
      <c r="U21" s="44"/>
      <c r="V21" s="44"/>
      <c r="W21" s="44"/>
      <c r="X21" s="118" t="s">
        <v>206</v>
      </c>
      <c r="Y21" s="44"/>
    </row>
    <row r="22" spans="2:25" ht="15.95" customHeight="1"/>
    <row r="23" spans="2:25" ht="12.75"/>
    <row r="24" spans="2:25" ht="12.75"/>
    <row r="25" spans="2:25" ht="12.75"/>
    <row r="26" spans="2:25" ht="12.75"/>
    <row r="27" spans="2:25" ht="12.75"/>
    <row r="28" spans="2:25" ht="12.75"/>
    <row r="29" spans="2:25" ht="12.75"/>
    <row r="30" spans="2:25" ht="12.75"/>
    <row r="31" spans="2:25" ht="12.75"/>
    <row r="32" spans="2:25" ht="12.75"/>
    <row r="33" ht="12.75"/>
    <row r="34" ht="12.75"/>
    <row r="35" ht="12.75"/>
    <row r="36" ht="12.75"/>
    <row r="37" ht="12.75"/>
    <row r="38" ht="12.75"/>
    <row r="39" ht="12.75"/>
    <row r="40" ht="12.75"/>
    <row r="41" ht="12.75"/>
    <row r="42" ht="12.75"/>
    <row r="43" ht="12.75"/>
    <row r="44" ht="12.75"/>
    <row r="45" ht="12.75"/>
    <row r="46" ht="12.75"/>
  </sheetData>
  <customSheetViews>
    <customSheetView guid="{219EA9BF-B677-D74C-A618-845A184D319B}" scale="150" showPageBreaks="1" showGridLines="0" showRowCol="0" topLeftCell="A3">
      <selection activeCell="B21" sqref="B21"/>
      <pageMargins left="0.7" right="0.7" top="0.75" bottom="0.75" header="0.3" footer="0.3"/>
      <pageSetup paperSize="9" orientation="portrait" horizontalDpi="4294967292" verticalDpi="4294967292"/>
    </customSheetView>
  </customSheetViews>
  <phoneticPr fontId="7" type="noConversion"/>
  <dataValidations count="1">
    <dataValidation type="list" showDropDown="1" showInputMessage="1" showErrorMessage="1" errorTitle="Veuillez ne pas modifier" error="Veuillez ne pas modifier ces cellules" sqref="A1:AH29">
      <formula1>"#ERROR!"</formula1>
    </dataValidation>
  </dataValidations>
  <hyperlinks>
    <hyperlink ref="X21" r:id="rId1"/>
  </hyperlinks>
  <pageMargins left="0.75" right="0.75" top="1" bottom="1" header="0.5" footer="0.5"/>
  <pageSetup paperSize="9" orientation="portrait" horizontalDpi="4294967292" verticalDpi="4294967292"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sheetPr codeName="Sheet4"/>
  <dimension ref="B1:E37"/>
  <sheetViews>
    <sheetView showGridLines="0" topLeftCell="C4" zoomScale="85" zoomScaleNormal="85" zoomScalePageLayoutView="150" workbookViewId="0">
      <selection activeCell="E28" sqref="E28"/>
    </sheetView>
  </sheetViews>
  <sheetFormatPr baseColWidth="10" defaultColWidth="3.5" defaultRowHeight="24" customHeight="1"/>
  <cols>
    <col min="1" max="1" width="7" style="17" customWidth="1"/>
    <col min="2" max="2" width="53.375" style="17" customWidth="1"/>
    <col min="3" max="3" width="40" style="17" customWidth="1"/>
    <col min="4" max="4" width="60.375" style="17" customWidth="1"/>
    <col min="5" max="5" width="27.25" style="18" customWidth="1"/>
    <col min="6" max="16384" width="3.5" style="17"/>
  </cols>
  <sheetData>
    <row r="1" spans="2:5" ht="15.95" customHeight="1"/>
    <row r="2" spans="2:5" ht="24.95" customHeight="1">
      <c r="B2" s="19" t="s">
        <v>43</v>
      </c>
    </row>
    <row r="3" spans="2:5" ht="15.95" customHeight="1">
      <c r="B3" s="37" t="s">
        <v>1</v>
      </c>
    </row>
    <row r="4" spans="2:5" ht="15.95" customHeight="1" thickBot="1">
      <c r="D4" s="49" t="s">
        <v>188</v>
      </c>
      <c r="E4" s="116" t="s">
        <v>203</v>
      </c>
    </row>
    <row r="5" spans="2:5" ht="15.95" customHeight="1" thickTop="1">
      <c r="B5" s="21" t="s">
        <v>44</v>
      </c>
      <c r="C5" s="29"/>
      <c r="D5" s="53" t="s">
        <v>221</v>
      </c>
      <c r="E5" s="117"/>
    </row>
    <row r="6" spans="2:5" ht="15.95" customHeight="1">
      <c r="B6" s="23" t="s">
        <v>136</v>
      </c>
      <c r="C6" s="21" t="s">
        <v>45</v>
      </c>
      <c r="D6" s="54">
        <v>42005</v>
      </c>
      <c r="E6" s="117"/>
    </row>
    <row r="7" spans="2:5" ht="15.95" customHeight="1">
      <c r="B7" s="22"/>
      <c r="C7" s="21" t="s">
        <v>46</v>
      </c>
      <c r="D7" s="54">
        <v>42369</v>
      </c>
      <c r="E7" s="117"/>
    </row>
    <row r="8" spans="2:5" ht="15.95" customHeight="1">
      <c r="B8" s="21" t="s">
        <v>47</v>
      </c>
      <c r="C8" s="20"/>
      <c r="D8" s="55" t="s">
        <v>222</v>
      </c>
      <c r="E8" s="117"/>
    </row>
    <row r="9" spans="2:5" ht="15.95" customHeight="1">
      <c r="B9" s="21" t="s">
        <v>110</v>
      </c>
      <c r="C9" s="21"/>
      <c r="D9" s="54" t="s">
        <v>223</v>
      </c>
      <c r="E9" s="117"/>
    </row>
    <row r="10" spans="2:5" ht="15.95" customHeight="1">
      <c r="B10" s="23" t="s">
        <v>114</v>
      </c>
      <c r="C10" s="21" t="s">
        <v>137</v>
      </c>
      <c r="D10" s="55" t="s">
        <v>225</v>
      </c>
      <c r="E10" s="117"/>
    </row>
    <row r="11" spans="2:5" ht="15.95" customHeight="1">
      <c r="B11" s="32" t="s">
        <v>48</v>
      </c>
      <c r="C11" s="21" t="s">
        <v>138</v>
      </c>
      <c r="D11" s="55" t="s">
        <v>225</v>
      </c>
      <c r="E11" s="117"/>
    </row>
    <row r="12" spans="2:5" ht="15.95" customHeight="1">
      <c r="B12" s="24"/>
      <c r="C12" s="21" t="s">
        <v>111</v>
      </c>
      <c r="D12" s="55" t="s">
        <v>225</v>
      </c>
      <c r="E12" s="117"/>
    </row>
    <row r="13" spans="2:5" ht="15.95" customHeight="1">
      <c r="B13" s="24"/>
      <c r="C13" s="21" t="s">
        <v>224</v>
      </c>
      <c r="D13" s="56" t="s">
        <v>225</v>
      </c>
      <c r="E13" s="117"/>
    </row>
    <row r="14" spans="2:5" ht="15.95" customHeight="1">
      <c r="B14" s="23" t="s">
        <v>112</v>
      </c>
      <c r="C14" s="21" t="s">
        <v>0</v>
      </c>
      <c r="D14" s="162" t="s">
        <v>226</v>
      </c>
      <c r="E14" s="117"/>
    </row>
    <row r="15" spans="2:5" ht="15.95" customHeight="1">
      <c r="B15" s="32" t="s">
        <v>51</v>
      </c>
      <c r="C15" s="21" t="s">
        <v>193</v>
      </c>
      <c r="D15" s="55" t="s">
        <v>227</v>
      </c>
      <c r="E15" s="117"/>
    </row>
    <row r="16" spans="2:5" ht="31.5">
      <c r="B16" s="32"/>
      <c r="C16" s="21" t="s">
        <v>207</v>
      </c>
      <c r="D16" s="162" t="s">
        <v>405</v>
      </c>
      <c r="E16" s="117"/>
    </row>
    <row r="17" spans="2:5" ht="15.95" customHeight="1">
      <c r="C17" s="21" t="s">
        <v>50</v>
      </c>
      <c r="D17" s="56" t="s">
        <v>227</v>
      </c>
      <c r="E17" s="117"/>
    </row>
    <row r="18" spans="2:5" ht="15.95" customHeight="1">
      <c r="B18" s="21" t="s">
        <v>113</v>
      </c>
      <c r="C18" s="21"/>
      <c r="D18" s="55">
        <v>24</v>
      </c>
      <c r="E18" s="117"/>
    </row>
    <row r="19" spans="2:5" ht="15.95" customHeight="1">
      <c r="B19" s="21" t="s">
        <v>52</v>
      </c>
      <c r="C19" s="21"/>
      <c r="D19" s="55">
        <v>9</v>
      </c>
      <c r="E19" s="117"/>
    </row>
    <row r="20" spans="2:5" ht="15.95" customHeight="1">
      <c r="B20" s="23" t="s">
        <v>53</v>
      </c>
      <c r="C20" s="21" t="s">
        <v>55</v>
      </c>
      <c r="D20" s="54" t="s">
        <v>228</v>
      </c>
      <c r="E20" s="117"/>
    </row>
    <row r="21" spans="2:5" ht="15.95" customHeight="1">
      <c r="B21" s="22"/>
      <c r="C21" s="21" t="s">
        <v>56</v>
      </c>
      <c r="D21" s="55">
        <v>591.15200000000004</v>
      </c>
      <c r="E21" s="117"/>
    </row>
    <row r="22" spans="2:5" ht="15.95" customHeight="1">
      <c r="B22" s="23" t="s">
        <v>54</v>
      </c>
      <c r="C22" s="21" t="s">
        <v>57</v>
      </c>
      <c r="D22" s="55" t="s">
        <v>225</v>
      </c>
      <c r="E22" s="117"/>
    </row>
    <row r="23" spans="2:5" ht="15.95" customHeight="1">
      <c r="B23" s="24"/>
      <c r="C23" s="21" t="s">
        <v>58</v>
      </c>
      <c r="D23" s="55" t="s">
        <v>225</v>
      </c>
      <c r="E23" s="117"/>
    </row>
    <row r="24" spans="2:5" ht="15.95" customHeight="1">
      <c r="B24" s="24"/>
      <c r="C24" s="21" t="s">
        <v>59</v>
      </c>
      <c r="D24" s="55" t="s">
        <v>229</v>
      </c>
      <c r="E24" s="117"/>
    </row>
    <row r="25" spans="2:5" ht="15.95" customHeight="1">
      <c r="B25" s="23" t="s">
        <v>143</v>
      </c>
      <c r="C25" s="21" t="s">
        <v>140</v>
      </c>
      <c r="D25" s="55" t="s">
        <v>230</v>
      </c>
      <c r="E25" s="117"/>
    </row>
    <row r="26" spans="2:5" ht="15.95" customHeight="1">
      <c r="B26" s="24"/>
      <c r="C26" s="21" t="s">
        <v>141</v>
      </c>
      <c r="D26" s="55" t="s">
        <v>222</v>
      </c>
      <c r="E26" s="117"/>
    </row>
    <row r="27" spans="2:5" ht="15.95" customHeight="1">
      <c r="B27" s="20"/>
      <c r="C27" s="21" t="s">
        <v>142</v>
      </c>
      <c r="D27" s="162" t="s">
        <v>231</v>
      </c>
      <c r="E27" s="117"/>
    </row>
    <row r="28" spans="2:5" ht="15.95" customHeight="1">
      <c r="B28" s="24"/>
      <c r="C28" s="24"/>
      <c r="D28" s="31"/>
    </row>
    <row r="29" spans="2:5" ht="15.95" customHeight="1">
      <c r="B29" s="24"/>
      <c r="C29" s="24"/>
      <c r="D29" s="31"/>
    </row>
    <row r="30" spans="2:5" ht="15.95" customHeight="1"/>
    <row r="31" spans="2:5" ht="15.95" customHeight="1">
      <c r="E31" s="17"/>
    </row>
    <row r="32" spans="2:5" ht="15.95" customHeight="1">
      <c r="E32" s="17"/>
    </row>
    <row r="33" spans="5:5" ht="15.95" customHeight="1">
      <c r="E33" s="17"/>
    </row>
    <row r="34" spans="5:5" ht="15.95" customHeight="1">
      <c r="E34" s="17"/>
    </row>
    <row r="35" spans="5:5" ht="15.95" customHeight="1">
      <c r="E35" s="17"/>
    </row>
    <row r="36" spans="5:5" ht="15.95" customHeight="1">
      <c r="E36" s="17"/>
    </row>
    <row r="37" spans="5:5" ht="15.95" customHeight="1"/>
  </sheetData>
  <customSheetViews>
    <customSheetView guid="{219EA9BF-B677-D74C-A618-845A184D319B}" scale="150" showGridLines="0">
      <selection activeCell="D4" sqref="D4"/>
      <pageMargins left="0.7" right="0.7" top="0.75" bottom="0.75" header="0.3" footer="0.3"/>
      <pageSetup paperSize="9" orientation="portrait" horizontalDpi="4294967292" verticalDpi="4294967292"/>
    </customSheetView>
  </customSheetViews>
  <dataValidations count="8">
    <dataValidation type="list" showInputMessage="1" showErrorMessage="1" errorTitle="Saisie erronée" error="_x000a_Veuillez choisir parmi les réponses suivantes :_x000a__x000a_Oui_x000a_Non_x000a_En partie_x000a_Sans objet" promptTitle="Choisir parmi les suivants" prompt="_x000a_Oui_x000a_Non_x000a_Sans objet" sqref="D10:D12 D22:D24">
      <formula1>"Oui,Non,Sans objet,&lt;sélectionner l'option&gt;"</formula1>
    </dataValidation>
    <dataValidation allowBlank="1" showInputMessage="1" promptTitle="Politique de données" prompt="Veuillez indiquer l’URL directe vers la politique relative aux données ouvertes sur le site Internet national de l’ITIE" sqref="D16"/>
    <dataValidation allowBlank="1" showInputMessage="1" showErrorMessage="1" promptTitle="Fichiers supplémentaires" prompt="Si des fichiers pertinents sur le rapport existent, veuillez en donner la liste ici. S’il en existe plusieurs, copiez-les sur plusieurs lignes" sqref="D17"/>
    <dataValidation allowBlank="1" showInputMessage="1" showErrorMessage="1" promptTitle="Fichiers de données (CSV, Excel)" prompt="Veuillez insérer l'URL directe dans les fichiers de données accompagnant le rapport sur le site Internet national de l'ITIE._x000a__x000a_Les fichiers de données font référence aux fichiers Excel, CSV ou similaire. Les PDF ne doivent pas être inclus ici" sqref="D15"/>
    <dataValidation allowBlank="1" showInputMessage="1" showErrorMessage="1" promptTitle="URL du Rapport ITIE" prompt="Veuillez insérer l'URL directe vers le Rapport ITIE (ou le dossier de rapport) sur le site Internet national de l'ITIE." sqref="D14"/>
    <dataValidation allowBlank="1" showInputMessage="1" promptTitle="Secteurs supplémentaires" prompt="Si le rapport couvre des secteurs autres que le pétrole, le gaz et l'exploitation minière, par exemple le secteur forestier, l’hydroélectricité ou un autre secteur similaire, veuillez l’indiquer dans cette cellule." sqref="D13"/>
    <dataValidation type="list" showDropDown="1" showErrorMessage="1" errorTitle="Veuillez ne pas modifier" error="Veuillez ne pas modifier ces cellules" sqref="A1:F4 A5:C12 C14:C16 A13:B28 C18:C28 D28:F28 F5:F27">
      <formula1>"#ERROR!"</formula1>
    </dataValidation>
    <dataValidation allowBlank="1" sqref="D6:D7 D9 D20"/>
  </dataValidations>
  <hyperlinks>
    <hyperlink ref="D14" r:id="rId1"/>
    <hyperlink ref="D27" r:id="rId2"/>
    <hyperlink ref="D16" r:id="rId3"/>
  </hyperlinks>
  <pageMargins left="0.75" right="0.75" top="1" bottom="1" header="0.5" footer="0.5"/>
  <pageSetup paperSize="9" orientation="portrait" horizontalDpi="4294967292" verticalDpi="4294967292" r:id="rId4"/>
  <legacyDrawing r:id="rId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sheetPr codeName="Sheet5"/>
  <dimension ref="B1:H97"/>
  <sheetViews>
    <sheetView showGridLines="0" topLeftCell="A58" zoomScale="80" zoomScaleNormal="80" workbookViewId="0">
      <selection activeCell="D80" sqref="D80:F81"/>
    </sheetView>
  </sheetViews>
  <sheetFormatPr baseColWidth="10" defaultColWidth="3.5" defaultRowHeight="24" customHeight="1"/>
  <cols>
    <col min="1" max="1" width="3.5" style="17"/>
    <col min="2" max="2" width="50.125" style="17" customWidth="1"/>
    <col min="3" max="3" width="76.375" style="17" bestFit="1" customWidth="1"/>
    <col min="4" max="4" width="58.375" style="17" bestFit="1" customWidth="1"/>
    <col min="5" max="5" width="14.875" style="17" bestFit="1" customWidth="1"/>
    <col min="6" max="6" width="72" style="17" bestFit="1" customWidth="1"/>
    <col min="7" max="7" width="64" style="18" customWidth="1"/>
    <col min="8" max="8" width="46.5" style="18" customWidth="1"/>
    <col min="9" max="16384" width="3.5" style="17"/>
  </cols>
  <sheetData>
    <row r="1" spans="2:8" ht="15.95" customHeight="1"/>
    <row r="2" spans="2:8" ht="21" customHeight="1">
      <c r="B2" s="19" t="s">
        <v>60</v>
      </c>
      <c r="C2" s="35"/>
    </row>
    <row r="3" spans="2:8" ht="15.95" customHeight="1">
      <c r="B3" s="34"/>
    </row>
    <row r="4" spans="2:8" ht="15.95" customHeight="1" thickBot="1">
      <c r="D4" s="49" t="s">
        <v>188</v>
      </c>
      <c r="E4" s="49" t="s">
        <v>149</v>
      </c>
      <c r="F4" s="49" t="s">
        <v>150</v>
      </c>
      <c r="G4" s="116" t="s">
        <v>203</v>
      </c>
      <c r="H4" s="25"/>
    </row>
    <row r="5" spans="2:8" ht="15.95" customHeight="1" thickTop="1">
      <c r="B5" s="23" t="s">
        <v>144</v>
      </c>
      <c r="C5" s="21" t="s">
        <v>194</v>
      </c>
      <c r="D5" s="163">
        <f>182.7/591.152</f>
        <v>0.30905756895011771</v>
      </c>
      <c r="E5" s="82" t="s">
        <v>232</v>
      </c>
      <c r="F5" s="88" t="s">
        <v>233</v>
      </c>
      <c r="G5" s="117"/>
    </row>
    <row r="6" spans="2:8" ht="15.95" customHeight="1">
      <c r="B6" s="32" t="s">
        <v>145</v>
      </c>
      <c r="C6" s="21" t="s">
        <v>195</v>
      </c>
      <c r="D6" s="164">
        <f>8067.8/591.152</f>
        <v>13.647589790781389</v>
      </c>
      <c r="E6" s="81" t="s">
        <v>232</v>
      </c>
      <c r="F6" s="89" t="s">
        <v>233</v>
      </c>
      <c r="G6" s="117"/>
    </row>
    <row r="7" spans="2:8" ht="15.95" customHeight="1">
      <c r="B7" s="24"/>
      <c r="C7" s="21" t="s">
        <v>196</v>
      </c>
      <c r="D7" s="164">
        <f>102.5/591.152</f>
        <v>0.17339026172625652</v>
      </c>
      <c r="E7" s="81" t="s">
        <v>232</v>
      </c>
      <c r="F7" s="89" t="s">
        <v>234</v>
      </c>
      <c r="G7" s="117"/>
    </row>
    <row r="8" spans="2:8" ht="15.95" customHeight="1">
      <c r="B8" s="24"/>
      <c r="C8" s="21" t="s">
        <v>197</v>
      </c>
      <c r="D8" s="164">
        <f>2026.1/591.152</f>
        <v>3.4273757003274956</v>
      </c>
      <c r="E8" s="81" t="s">
        <v>232</v>
      </c>
      <c r="F8" s="89" t="s">
        <v>234</v>
      </c>
      <c r="G8" s="117"/>
    </row>
    <row r="9" spans="2:8" ht="15.95" customHeight="1">
      <c r="B9" s="24"/>
      <c r="C9" s="21" t="s">
        <v>198</v>
      </c>
      <c r="D9" s="164">
        <f>421.55/591.152</f>
        <v>0.71309916908003357</v>
      </c>
      <c r="E9" s="81" t="s">
        <v>232</v>
      </c>
      <c r="F9" s="89" t="s">
        <v>235</v>
      </c>
      <c r="G9" s="117"/>
    </row>
    <row r="10" spans="2:8" ht="15.95" customHeight="1">
      <c r="B10" s="24"/>
      <c r="C10" s="21" t="s">
        <v>199</v>
      </c>
      <c r="D10" s="164">
        <f>1342.6/591.152</f>
        <v>2.2711586867675315</v>
      </c>
      <c r="E10" s="81" t="s">
        <v>232</v>
      </c>
      <c r="F10" s="89" t="s">
        <v>235</v>
      </c>
      <c r="G10" s="117"/>
    </row>
    <row r="11" spans="2:8" ht="15.95" customHeight="1">
      <c r="B11" s="23" t="s">
        <v>181</v>
      </c>
      <c r="C11" s="21" t="s">
        <v>147</v>
      </c>
      <c r="D11" s="165">
        <v>0</v>
      </c>
      <c r="E11" s="81" t="s">
        <v>212</v>
      </c>
      <c r="F11" s="89"/>
      <c r="G11" s="117"/>
    </row>
    <row r="12" spans="2:8" ht="15.95" customHeight="1">
      <c r="B12" s="24" t="s">
        <v>148</v>
      </c>
      <c r="C12" s="21" t="s">
        <v>208</v>
      </c>
      <c r="D12" s="165">
        <v>0</v>
      </c>
      <c r="E12" s="81" t="s">
        <v>146</v>
      </c>
      <c r="F12" s="89"/>
      <c r="G12" s="117"/>
    </row>
    <row r="13" spans="2:8" ht="15.95" customHeight="1">
      <c r="B13" s="32" t="s">
        <v>145</v>
      </c>
      <c r="C13" s="21" t="s">
        <v>151</v>
      </c>
      <c r="D13" s="165">
        <v>22675044</v>
      </c>
      <c r="E13" s="81" t="s">
        <v>236</v>
      </c>
      <c r="F13" s="89" t="s">
        <v>237</v>
      </c>
      <c r="G13" s="117"/>
    </row>
    <row r="14" spans="2:8" ht="15.95" customHeight="1">
      <c r="B14" s="32"/>
      <c r="C14" s="21" t="s">
        <v>210</v>
      </c>
      <c r="D14" s="170">
        <v>3.7</v>
      </c>
      <c r="E14" s="81" t="s">
        <v>292</v>
      </c>
      <c r="F14" s="89" t="s">
        <v>237</v>
      </c>
      <c r="G14" s="117"/>
    </row>
    <row r="15" spans="2:8" ht="15.95" customHeight="1">
      <c r="B15" s="32"/>
      <c r="C15" s="21" t="s">
        <v>209</v>
      </c>
      <c r="D15" s="165">
        <v>182282</v>
      </c>
      <c r="E15" s="81" t="s">
        <v>238</v>
      </c>
      <c r="F15" s="89" t="s">
        <v>237</v>
      </c>
      <c r="G15" s="117"/>
    </row>
    <row r="16" spans="2:8" ht="15.95" customHeight="1">
      <c r="B16" s="32"/>
      <c r="C16" s="21" t="s">
        <v>211</v>
      </c>
      <c r="D16" s="165">
        <f>125343600170/591.152</f>
        <v>212032776.96768343</v>
      </c>
      <c r="E16" s="81" t="s">
        <v>146</v>
      </c>
      <c r="F16" s="89" t="s">
        <v>291</v>
      </c>
      <c r="G16" s="117"/>
    </row>
    <row r="17" spans="2:7" ht="15.95" customHeight="1">
      <c r="B17" s="32"/>
      <c r="C17" s="21" t="s">
        <v>239</v>
      </c>
      <c r="D17" s="165">
        <v>17887</v>
      </c>
      <c r="E17" s="81" t="s">
        <v>238</v>
      </c>
      <c r="F17" s="89" t="s">
        <v>237</v>
      </c>
      <c r="G17" s="117"/>
    </row>
    <row r="18" spans="2:7" ht="15.95" customHeight="1">
      <c r="B18" s="32"/>
      <c r="C18" s="21" t="s">
        <v>240</v>
      </c>
      <c r="D18" s="165">
        <v>0</v>
      </c>
      <c r="E18" s="81" t="s">
        <v>146</v>
      </c>
      <c r="F18" s="89"/>
      <c r="G18" s="180" t="s">
        <v>293</v>
      </c>
    </row>
    <row r="19" spans="2:7" ht="15.95" customHeight="1">
      <c r="B19" s="32"/>
      <c r="C19" s="21" t="s">
        <v>241</v>
      </c>
      <c r="D19" s="165">
        <v>1836552</v>
      </c>
      <c r="E19" s="81" t="s">
        <v>243</v>
      </c>
      <c r="F19" s="89" t="s">
        <v>237</v>
      </c>
      <c r="G19" s="117"/>
    </row>
    <row r="20" spans="2:7" ht="15.95" customHeight="1">
      <c r="B20" s="32"/>
      <c r="C20" s="21" t="s">
        <v>242</v>
      </c>
      <c r="D20" s="165">
        <f>(138607499+21666437542+8588721008)/591.152</f>
        <v>51414468.781294823</v>
      </c>
      <c r="E20" s="81" t="s">
        <v>146</v>
      </c>
      <c r="F20" s="89" t="s">
        <v>291</v>
      </c>
      <c r="G20" s="117"/>
    </row>
    <row r="21" spans="2:7" ht="15.95" customHeight="1">
      <c r="B21" s="32"/>
      <c r="C21" s="21" t="s">
        <v>244</v>
      </c>
      <c r="D21" s="165">
        <v>181247</v>
      </c>
      <c r="E21" s="81" t="s">
        <v>243</v>
      </c>
      <c r="F21" s="89" t="s">
        <v>237</v>
      </c>
      <c r="G21" s="117"/>
    </row>
    <row r="22" spans="2:7" ht="15.95" customHeight="1">
      <c r="B22" s="32"/>
      <c r="C22" s="21" t="s">
        <v>245</v>
      </c>
      <c r="D22" s="165">
        <f>2705941826/591.152</f>
        <v>4577404.5017186776</v>
      </c>
      <c r="E22" s="81" t="s">
        <v>146</v>
      </c>
      <c r="F22" s="89" t="s">
        <v>291</v>
      </c>
      <c r="G22" s="117"/>
    </row>
    <row r="23" spans="2:7" ht="15.95" customHeight="1">
      <c r="B23" s="32"/>
      <c r="C23" s="21" t="s">
        <v>246</v>
      </c>
      <c r="D23" s="165">
        <v>320646</v>
      </c>
      <c r="E23" s="81" t="s">
        <v>243</v>
      </c>
      <c r="F23" s="89" t="s">
        <v>237</v>
      </c>
      <c r="G23" s="117"/>
    </row>
    <row r="24" spans="2:7" ht="15.95" customHeight="1">
      <c r="B24" s="32"/>
      <c r="C24" s="21" t="s">
        <v>247</v>
      </c>
      <c r="D24" s="165">
        <v>32064633</v>
      </c>
      <c r="E24" s="81" t="s">
        <v>146</v>
      </c>
      <c r="F24" s="89" t="s">
        <v>291</v>
      </c>
      <c r="G24" s="117"/>
    </row>
    <row r="25" spans="2:7" ht="15.95" customHeight="1">
      <c r="B25" s="32"/>
      <c r="C25" s="21" t="s">
        <v>248</v>
      </c>
      <c r="D25" s="165">
        <v>23516</v>
      </c>
      <c r="E25" s="81" t="s">
        <v>243</v>
      </c>
      <c r="F25" s="89" t="s">
        <v>237</v>
      </c>
      <c r="G25" s="117"/>
    </row>
    <row r="26" spans="2:7" ht="15.95" customHeight="1">
      <c r="B26" s="32"/>
      <c r="C26" s="21" t="s">
        <v>249</v>
      </c>
      <c r="D26" s="165">
        <v>25703452</v>
      </c>
      <c r="E26" s="81" t="s">
        <v>146</v>
      </c>
      <c r="F26" s="89" t="s">
        <v>291</v>
      </c>
      <c r="G26" s="117"/>
    </row>
    <row r="27" spans="2:7" ht="15.95" customHeight="1">
      <c r="B27" s="32"/>
      <c r="C27" s="21" t="s">
        <v>250</v>
      </c>
      <c r="D27" s="165">
        <v>21732</v>
      </c>
      <c r="E27" s="81" t="s">
        <v>243</v>
      </c>
      <c r="F27" s="89" t="s">
        <v>237</v>
      </c>
      <c r="G27" s="117"/>
    </row>
    <row r="28" spans="2:7" ht="15.95" customHeight="1">
      <c r="B28" s="32"/>
      <c r="C28" s="21" t="s">
        <v>251</v>
      </c>
      <c r="D28" s="165">
        <v>22166267</v>
      </c>
      <c r="E28" s="81" t="s">
        <v>146</v>
      </c>
      <c r="F28" s="89" t="s">
        <v>291</v>
      </c>
      <c r="G28" s="117"/>
    </row>
    <row r="29" spans="2:7" ht="15.95" customHeight="1">
      <c r="B29" s="32"/>
      <c r="C29" s="21" t="s">
        <v>252</v>
      </c>
      <c r="D29" s="165">
        <v>107043</v>
      </c>
      <c r="E29" s="81" t="s">
        <v>243</v>
      </c>
      <c r="F29" s="89" t="s">
        <v>237</v>
      </c>
      <c r="G29" s="117"/>
    </row>
    <row r="30" spans="2:7" ht="15.95" customHeight="1">
      <c r="B30" s="32"/>
      <c r="C30" s="21" t="s">
        <v>253</v>
      </c>
      <c r="D30" s="165">
        <v>16912780</v>
      </c>
      <c r="E30" s="81" t="s">
        <v>146</v>
      </c>
      <c r="F30" s="89" t="s">
        <v>291</v>
      </c>
      <c r="G30" s="117"/>
    </row>
    <row r="31" spans="2:7" ht="15.95" customHeight="1">
      <c r="B31" s="32"/>
      <c r="C31" s="21" t="s">
        <v>254</v>
      </c>
      <c r="D31" s="165">
        <v>2535402</v>
      </c>
      <c r="E31" s="81" t="s">
        <v>243</v>
      </c>
      <c r="F31" s="89" t="s">
        <v>237</v>
      </c>
      <c r="G31" s="117"/>
    </row>
    <row r="32" spans="2:7" ht="25.5">
      <c r="B32" s="32"/>
      <c r="C32" s="21" t="s">
        <v>255</v>
      </c>
      <c r="D32" s="165">
        <f>8489794090/591.152</f>
        <v>14361440.187971959</v>
      </c>
      <c r="E32" s="81" t="s">
        <v>146</v>
      </c>
      <c r="F32" s="89" t="s">
        <v>291</v>
      </c>
      <c r="G32" s="117" t="s">
        <v>294</v>
      </c>
    </row>
    <row r="33" spans="2:7" ht="15.95" customHeight="1">
      <c r="B33" s="32"/>
      <c r="C33" s="21" t="s">
        <v>256</v>
      </c>
      <c r="D33" s="165">
        <v>2084</v>
      </c>
      <c r="E33" s="81" t="s">
        <v>243</v>
      </c>
      <c r="F33" s="89" t="s">
        <v>237</v>
      </c>
      <c r="G33" s="117"/>
    </row>
    <row r="34" spans="2:7" ht="15.95" customHeight="1">
      <c r="B34" s="32"/>
      <c r="C34" s="21" t="s">
        <v>257</v>
      </c>
      <c r="D34" s="165">
        <v>1716817</v>
      </c>
      <c r="E34" s="81" t="s">
        <v>146</v>
      </c>
      <c r="F34" s="89" t="s">
        <v>291</v>
      </c>
      <c r="G34" s="117"/>
    </row>
    <row r="35" spans="2:7" ht="15.95" customHeight="1">
      <c r="B35" s="32"/>
      <c r="C35" s="21" t="s">
        <v>258</v>
      </c>
      <c r="D35" s="165">
        <v>4992067</v>
      </c>
      <c r="E35" s="81" t="s">
        <v>243</v>
      </c>
      <c r="F35" s="89" t="s">
        <v>237</v>
      </c>
      <c r="G35" s="117"/>
    </row>
    <row r="36" spans="2:7" ht="25.5">
      <c r="B36" s="32"/>
      <c r="C36" s="21" t="s">
        <v>259</v>
      </c>
      <c r="D36" s="165">
        <f>(3997595441+3625194272)/591.152</f>
        <v>12894804.911427179</v>
      </c>
      <c r="E36" s="81" t="s">
        <v>146</v>
      </c>
      <c r="F36" s="89" t="s">
        <v>291</v>
      </c>
      <c r="G36" s="117" t="s">
        <v>295</v>
      </c>
    </row>
    <row r="37" spans="2:7" ht="15.95" customHeight="1">
      <c r="B37" s="32"/>
      <c r="C37" s="21" t="s">
        <v>260</v>
      </c>
      <c r="D37" s="165">
        <v>751411</v>
      </c>
      <c r="E37" s="81" t="s">
        <v>243</v>
      </c>
      <c r="F37" s="89" t="s">
        <v>237</v>
      </c>
      <c r="G37" s="117"/>
    </row>
    <row r="38" spans="2:7" ht="25.5">
      <c r="B38" s="32"/>
      <c r="C38" s="21" t="s">
        <v>261</v>
      </c>
      <c r="D38" s="165">
        <f>310886049/591.152</f>
        <v>525898.66734782257</v>
      </c>
      <c r="E38" s="81" t="s">
        <v>146</v>
      </c>
      <c r="F38" s="89" t="s">
        <v>291</v>
      </c>
      <c r="G38" s="117" t="s">
        <v>296</v>
      </c>
    </row>
    <row r="39" spans="2:7" ht="15.95" customHeight="1">
      <c r="B39" s="32"/>
      <c r="C39" s="21" t="s">
        <v>262</v>
      </c>
      <c r="D39" s="165">
        <v>102713</v>
      </c>
      <c r="E39" s="81" t="s">
        <v>243</v>
      </c>
      <c r="F39" s="89" t="s">
        <v>237</v>
      </c>
      <c r="G39" s="117"/>
    </row>
    <row r="40" spans="2:7" ht="15.95" customHeight="1">
      <c r="B40" s="32"/>
      <c r="C40" s="21" t="s">
        <v>263</v>
      </c>
      <c r="D40" s="165">
        <f>81977363/591.152</f>
        <v>138673.91635315452</v>
      </c>
      <c r="E40" s="81" t="s">
        <v>146</v>
      </c>
      <c r="F40" s="89" t="s">
        <v>291</v>
      </c>
      <c r="G40" s="117"/>
    </row>
    <row r="41" spans="2:7" ht="15.95" customHeight="1">
      <c r="B41" s="32"/>
      <c r="C41" s="21" t="s">
        <v>264</v>
      </c>
      <c r="D41" s="165">
        <v>3227</v>
      </c>
      <c r="E41" s="81" t="s">
        <v>243</v>
      </c>
      <c r="F41" s="89" t="s">
        <v>237</v>
      </c>
      <c r="G41" s="117"/>
    </row>
    <row r="42" spans="2:7" ht="15.95" customHeight="1">
      <c r="B42" s="33"/>
      <c r="C42" s="21" t="s">
        <v>265</v>
      </c>
      <c r="D42" s="165">
        <v>1564960</v>
      </c>
      <c r="E42" s="81" t="s">
        <v>146</v>
      </c>
      <c r="F42" s="89" t="s">
        <v>291</v>
      </c>
      <c r="G42" s="117"/>
    </row>
    <row r="43" spans="2:7" ht="15.95" customHeight="1">
      <c r="B43" s="23" t="s">
        <v>152</v>
      </c>
      <c r="C43" s="21" t="s">
        <v>147</v>
      </c>
      <c r="D43" s="165">
        <v>0</v>
      </c>
      <c r="E43" s="81" t="s">
        <v>212</v>
      </c>
      <c r="F43" s="89"/>
      <c r="G43" s="117"/>
    </row>
    <row r="44" spans="2:7" ht="15.95" customHeight="1">
      <c r="B44" s="32" t="s">
        <v>153</v>
      </c>
      <c r="C44" s="21" t="s">
        <v>208</v>
      </c>
      <c r="D44" s="165">
        <v>0</v>
      </c>
      <c r="E44" s="81" t="s">
        <v>146</v>
      </c>
      <c r="F44" s="89"/>
      <c r="G44" s="117"/>
    </row>
    <row r="45" spans="2:7" ht="15.95" customHeight="1">
      <c r="B45" s="32" t="s">
        <v>145</v>
      </c>
      <c r="C45" s="21" t="s">
        <v>151</v>
      </c>
      <c r="D45" s="165">
        <v>0</v>
      </c>
      <c r="E45" s="81" t="s">
        <v>213</v>
      </c>
      <c r="F45" s="89"/>
      <c r="G45" s="117"/>
    </row>
    <row r="46" spans="2:7" ht="15.95" customHeight="1">
      <c r="B46" s="32"/>
      <c r="C46" s="21" t="s">
        <v>210</v>
      </c>
      <c r="D46" s="165">
        <v>0</v>
      </c>
      <c r="E46" s="81" t="s">
        <v>146</v>
      </c>
      <c r="F46" s="89"/>
      <c r="G46" s="117"/>
    </row>
    <row r="47" spans="2:7" ht="15.95" customHeight="1">
      <c r="B47" s="32"/>
      <c r="C47" s="21" t="s">
        <v>209</v>
      </c>
      <c r="D47" s="165">
        <v>193218</v>
      </c>
      <c r="E47" s="81" t="s">
        <v>238</v>
      </c>
      <c r="F47" s="89" t="s">
        <v>237</v>
      </c>
      <c r="G47" s="117"/>
    </row>
    <row r="48" spans="2:7" ht="15.95" customHeight="1">
      <c r="B48" s="32"/>
      <c r="C48" s="21" t="s">
        <v>211</v>
      </c>
      <c r="D48" s="165">
        <f>132762/591.152</f>
        <v>224.58183343708555</v>
      </c>
      <c r="E48" s="81" t="s">
        <v>297</v>
      </c>
      <c r="F48" s="89" t="s">
        <v>237</v>
      </c>
      <c r="G48" s="117"/>
    </row>
    <row r="49" spans="2:7" ht="15.95" customHeight="1">
      <c r="B49" s="32"/>
      <c r="C49" s="21" t="s">
        <v>239</v>
      </c>
      <c r="D49" s="165">
        <v>17887</v>
      </c>
      <c r="E49" s="81" t="s">
        <v>238</v>
      </c>
      <c r="F49" s="89" t="s">
        <v>237</v>
      </c>
      <c r="G49" s="117"/>
    </row>
    <row r="50" spans="2:7" ht="15.95" customHeight="1">
      <c r="B50" s="32"/>
      <c r="C50" s="21" t="s">
        <v>240</v>
      </c>
      <c r="D50" s="164">
        <f>165/591.152</f>
        <v>0.27911603107153488</v>
      </c>
      <c r="E50" s="81" t="s">
        <v>297</v>
      </c>
      <c r="F50" s="89" t="s">
        <v>237</v>
      </c>
      <c r="G50" s="117"/>
    </row>
    <row r="51" spans="2:7" ht="15.95" customHeight="1">
      <c r="B51" s="32"/>
      <c r="C51" s="21" t="s">
        <v>241</v>
      </c>
      <c r="D51" s="165">
        <v>941525</v>
      </c>
      <c r="E51" s="81" t="s">
        <v>243</v>
      </c>
      <c r="F51" s="89" t="s">
        <v>237</v>
      </c>
      <c r="G51" s="117"/>
    </row>
    <row r="52" spans="2:7" ht="15.95" customHeight="1">
      <c r="B52" s="32"/>
      <c r="C52" s="21" t="s">
        <v>242</v>
      </c>
      <c r="D52" s="165">
        <f>38895/591.152</f>
        <v>65.795260778953633</v>
      </c>
      <c r="E52" s="81" t="s">
        <v>297</v>
      </c>
      <c r="F52" s="89" t="s">
        <v>237</v>
      </c>
      <c r="G52" s="117"/>
    </row>
    <row r="53" spans="2:7" ht="15.95" customHeight="1">
      <c r="B53" s="32"/>
      <c r="C53" s="21" t="s">
        <v>244</v>
      </c>
      <c r="D53" s="165">
        <v>183215</v>
      </c>
      <c r="E53" s="81" t="s">
        <v>243</v>
      </c>
      <c r="F53" s="89" t="s">
        <v>237</v>
      </c>
      <c r="G53" s="117"/>
    </row>
    <row r="54" spans="2:7" ht="15.95" customHeight="1">
      <c r="B54" s="32"/>
      <c r="C54" s="21" t="s">
        <v>245</v>
      </c>
      <c r="D54" s="170">
        <f>4983/591.152</f>
        <v>8.4293041383603526</v>
      </c>
      <c r="E54" s="81" t="s">
        <v>297</v>
      </c>
      <c r="F54" s="89" t="s">
        <v>237</v>
      </c>
      <c r="G54" s="117"/>
    </row>
    <row r="55" spans="2:7" ht="15.95" customHeight="1">
      <c r="B55" s="32"/>
      <c r="C55" s="21" t="s">
        <v>246</v>
      </c>
      <c r="D55" s="165">
        <v>340021</v>
      </c>
      <c r="E55" s="81" t="s">
        <v>243</v>
      </c>
      <c r="F55" s="89" t="s">
        <v>237</v>
      </c>
      <c r="G55" s="117"/>
    </row>
    <row r="56" spans="2:7" ht="15.95" customHeight="1">
      <c r="B56" s="32"/>
      <c r="C56" s="21" t="s">
        <v>247</v>
      </c>
      <c r="D56" s="171">
        <f>16972/591.152</f>
        <v>28.71004411724903</v>
      </c>
      <c r="E56" s="81" t="s">
        <v>297</v>
      </c>
      <c r="F56" s="89" t="s">
        <v>237</v>
      </c>
      <c r="G56" s="117"/>
    </row>
    <row r="57" spans="2:7" ht="15.95" customHeight="1">
      <c r="B57" s="32"/>
      <c r="C57" s="21" t="s">
        <v>248</v>
      </c>
      <c r="D57" s="165">
        <v>22427</v>
      </c>
      <c r="E57" s="81" t="s">
        <v>243</v>
      </c>
      <c r="F57" s="89" t="s">
        <v>237</v>
      </c>
      <c r="G57" s="117"/>
    </row>
    <row r="58" spans="2:7" ht="15.95" customHeight="1">
      <c r="B58" s="32"/>
      <c r="C58" s="21" t="s">
        <v>249</v>
      </c>
      <c r="D58" s="171">
        <f>14246/591.152</f>
        <v>24.098708961485368</v>
      </c>
      <c r="E58" s="81" t="s">
        <v>297</v>
      </c>
      <c r="F58" s="89" t="s">
        <v>237</v>
      </c>
      <c r="G58" s="117"/>
    </row>
    <row r="59" spans="2:7" ht="15.95" customHeight="1">
      <c r="B59" s="32"/>
      <c r="C59" s="21" t="s">
        <v>250</v>
      </c>
      <c r="D59" s="165">
        <v>19409</v>
      </c>
      <c r="E59" s="81" t="s">
        <v>243</v>
      </c>
      <c r="F59" s="89" t="s">
        <v>237</v>
      </c>
      <c r="G59" s="117"/>
    </row>
    <row r="60" spans="2:7" ht="15.95" customHeight="1">
      <c r="B60" s="32"/>
      <c r="C60" s="21" t="s">
        <v>251</v>
      </c>
      <c r="D60" s="171">
        <f>11594/591.152</f>
        <v>19.612553116626518</v>
      </c>
      <c r="E60" s="81" t="s">
        <v>297</v>
      </c>
      <c r="F60" s="89" t="s">
        <v>237</v>
      </c>
      <c r="G60" s="117"/>
    </row>
    <row r="61" spans="2:7" ht="15.95" customHeight="1">
      <c r="B61" s="32"/>
      <c r="C61" s="21" t="s">
        <v>252</v>
      </c>
      <c r="D61" s="165">
        <v>80398</v>
      </c>
      <c r="E61" s="81" t="s">
        <v>243</v>
      </c>
      <c r="F61" s="89" t="s">
        <v>237</v>
      </c>
      <c r="G61" s="117"/>
    </row>
    <row r="62" spans="2:7" ht="15.95" customHeight="1">
      <c r="B62" s="32"/>
      <c r="C62" s="21" t="s">
        <v>253</v>
      </c>
      <c r="D62" s="171">
        <f>7630/591.152</f>
        <v>12.907001921671583</v>
      </c>
      <c r="E62" s="81" t="s">
        <v>297</v>
      </c>
      <c r="F62" s="89" t="s">
        <v>237</v>
      </c>
      <c r="G62" s="117"/>
    </row>
    <row r="63" spans="2:7" ht="15.95" customHeight="1">
      <c r="B63" s="32"/>
      <c r="C63" s="21" t="s">
        <v>254</v>
      </c>
      <c r="D63" s="165">
        <v>92099</v>
      </c>
      <c r="E63" s="81" t="s">
        <v>243</v>
      </c>
      <c r="F63" s="89" t="s">
        <v>237</v>
      </c>
      <c r="G63" s="117"/>
    </row>
    <row r="64" spans="2:7" ht="15.95" customHeight="1">
      <c r="B64" s="32"/>
      <c r="C64" s="21" t="s">
        <v>255</v>
      </c>
      <c r="D64" s="171">
        <f>549/591.152</f>
        <v>0.9286951579289251</v>
      </c>
      <c r="E64" s="81" t="s">
        <v>297</v>
      </c>
      <c r="F64" s="89" t="s">
        <v>237</v>
      </c>
      <c r="G64" s="117"/>
    </row>
    <row r="65" spans="2:8" ht="15.95" customHeight="1">
      <c r="B65" s="32"/>
      <c r="C65" s="21" t="s">
        <v>256</v>
      </c>
      <c r="D65" s="165">
        <v>1971</v>
      </c>
      <c r="E65" s="81" t="s">
        <v>243</v>
      </c>
      <c r="F65" s="89" t="s">
        <v>237</v>
      </c>
      <c r="G65" s="117"/>
    </row>
    <row r="66" spans="2:8" ht="15.95" customHeight="1">
      <c r="B66" s="32"/>
      <c r="C66" s="21" t="s">
        <v>257</v>
      </c>
      <c r="D66" s="171">
        <f>950/591.152</f>
        <v>1.6070316940482312</v>
      </c>
      <c r="E66" s="81" t="s">
        <v>297</v>
      </c>
      <c r="F66" s="89" t="s">
        <v>237</v>
      </c>
      <c r="G66" s="117"/>
    </row>
    <row r="67" spans="2:8" ht="15.95" customHeight="1">
      <c r="B67" s="32"/>
      <c r="C67" s="21" t="s">
        <v>264</v>
      </c>
      <c r="D67" s="165">
        <v>2638</v>
      </c>
      <c r="E67" s="81" t="s">
        <v>243</v>
      </c>
      <c r="F67" s="89" t="s">
        <v>237</v>
      </c>
      <c r="G67" s="117"/>
    </row>
    <row r="68" spans="2:8" ht="15.95" customHeight="1">
      <c r="B68" s="24"/>
      <c r="C68" s="21" t="s">
        <v>265</v>
      </c>
      <c r="D68" s="171">
        <f>628/591.152</f>
        <v>1.0623325303813571</v>
      </c>
      <c r="E68" s="81" t="s">
        <v>297</v>
      </c>
      <c r="F68" s="89" t="s">
        <v>237</v>
      </c>
      <c r="G68" s="117"/>
    </row>
    <row r="69" spans="2:8" ht="15.95" customHeight="1">
      <c r="B69" s="23" t="s">
        <v>154</v>
      </c>
      <c r="C69" s="21" t="s">
        <v>155</v>
      </c>
      <c r="D69" s="182" t="s">
        <v>225</v>
      </c>
      <c r="E69" s="183"/>
      <c r="F69" s="89" t="s">
        <v>266</v>
      </c>
      <c r="G69" s="117"/>
      <c r="H69" s="17"/>
    </row>
    <row r="70" spans="2:8" ht="15.95" customHeight="1">
      <c r="B70" s="32" t="s">
        <v>61</v>
      </c>
      <c r="C70" s="21" t="s">
        <v>115</v>
      </c>
      <c r="D70" s="184" t="s">
        <v>104</v>
      </c>
      <c r="E70" s="185"/>
      <c r="F70" s="90"/>
      <c r="G70" s="117"/>
      <c r="H70" s="17"/>
    </row>
    <row r="71" spans="2:8" ht="15.95" customHeight="1">
      <c r="B71" s="24"/>
      <c r="C71" s="21" t="s">
        <v>182</v>
      </c>
      <c r="D71" s="159" t="s">
        <v>267</v>
      </c>
      <c r="E71" s="160"/>
      <c r="F71" s="166" t="s">
        <v>268</v>
      </c>
      <c r="G71" s="117"/>
      <c r="H71" s="17"/>
    </row>
    <row r="72" spans="2:8" ht="15.95" customHeight="1">
      <c r="B72" s="32"/>
      <c r="C72" s="21" t="s">
        <v>183</v>
      </c>
      <c r="D72" s="167" t="s">
        <v>269</v>
      </c>
      <c r="E72" s="160"/>
      <c r="F72" s="166" t="s">
        <v>270</v>
      </c>
      <c r="G72" s="117"/>
      <c r="H72" s="17"/>
    </row>
    <row r="73" spans="2:8" ht="15.95" customHeight="1">
      <c r="B73" s="27" t="s">
        <v>156</v>
      </c>
      <c r="C73" s="28" t="s">
        <v>116</v>
      </c>
      <c r="D73" s="52" t="s">
        <v>271</v>
      </c>
      <c r="E73" s="83"/>
      <c r="F73" s="89"/>
      <c r="G73" s="117"/>
      <c r="H73" s="17"/>
    </row>
    <row r="74" spans="2:8" ht="15.95" customHeight="1">
      <c r="B74" s="32" t="s">
        <v>157</v>
      </c>
      <c r="C74" s="28" t="s">
        <v>117</v>
      </c>
      <c r="D74" s="52" t="s">
        <v>272</v>
      </c>
      <c r="E74" s="83"/>
      <c r="F74" s="168" t="s">
        <v>273</v>
      </c>
      <c r="G74" s="117"/>
      <c r="H74" s="17"/>
    </row>
    <row r="75" spans="2:8" ht="26.25" thickBot="1">
      <c r="B75" s="26"/>
      <c r="C75" s="21" t="s">
        <v>184</v>
      </c>
      <c r="D75" s="159" t="s">
        <v>274</v>
      </c>
      <c r="E75" s="84"/>
      <c r="F75" s="91" t="s">
        <v>275</v>
      </c>
      <c r="G75" s="117"/>
      <c r="H75" s="17"/>
    </row>
    <row r="76" spans="2:8" ht="51.75" thickTop="1">
      <c r="B76" s="27" t="s">
        <v>158</v>
      </c>
      <c r="C76" s="28" t="s">
        <v>62</v>
      </c>
      <c r="D76" s="52" t="s">
        <v>276</v>
      </c>
      <c r="E76" s="85"/>
      <c r="F76" s="88" t="s">
        <v>277</v>
      </c>
      <c r="G76" s="117"/>
      <c r="H76" s="17"/>
    </row>
    <row r="77" spans="2:8" ht="15.95" customHeight="1">
      <c r="B77" s="27" t="s">
        <v>159</v>
      </c>
      <c r="C77" s="28" t="s">
        <v>105</v>
      </c>
      <c r="D77" s="159" t="s">
        <v>278</v>
      </c>
      <c r="E77" s="160"/>
      <c r="F77" s="91" t="s">
        <v>279</v>
      </c>
      <c r="G77" s="117"/>
      <c r="H77" s="17"/>
    </row>
    <row r="78" spans="2:8" ht="25.5">
      <c r="B78" s="27" t="s">
        <v>160</v>
      </c>
      <c r="C78" s="28" t="s">
        <v>162</v>
      </c>
      <c r="D78" s="182" t="s">
        <v>225</v>
      </c>
      <c r="E78" s="183"/>
      <c r="F78" s="92" t="s">
        <v>281</v>
      </c>
      <c r="G78" s="117"/>
      <c r="H78" s="17"/>
    </row>
    <row r="79" spans="2:8" ht="15.95" customHeight="1">
      <c r="B79" s="86" t="s">
        <v>64</v>
      </c>
      <c r="C79" s="28" t="s">
        <v>161</v>
      </c>
      <c r="D79" s="182" t="s">
        <v>280</v>
      </c>
      <c r="E79" s="183"/>
      <c r="F79" s="93"/>
      <c r="G79" s="117"/>
      <c r="H79" s="17"/>
    </row>
    <row r="80" spans="2:8" ht="15.95" customHeight="1">
      <c r="B80" s="70"/>
      <c r="C80" s="28" t="s">
        <v>106</v>
      </c>
      <c r="D80" s="94" t="s">
        <v>409</v>
      </c>
      <c r="E80" s="87"/>
      <c r="F80" s="95" t="s">
        <v>407</v>
      </c>
      <c r="G80" s="117"/>
      <c r="H80" s="17"/>
    </row>
    <row r="81" spans="2:8" ht="15.95" customHeight="1" thickBot="1">
      <c r="B81" s="72"/>
      <c r="C81" s="30" t="s">
        <v>63</v>
      </c>
      <c r="D81" s="96" t="s">
        <v>409</v>
      </c>
      <c r="E81" s="97"/>
      <c r="F81" s="98" t="s">
        <v>408</v>
      </c>
      <c r="G81" s="117"/>
    </row>
    <row r="82" spans="2:8" ht="15.95" customHeight="1" thickTop="1">
      <c r="B82" s="70"/>
      <c r="C82" s="70"/>
      <c r="D82" s="71"/>
      <c r="E82" s="71"/>
      <c r="F82" s="71"/>
      <c r="G82" s="17"/>
      <c r="H82" s="17"/>
    </row>
    <row r="83" spans="2:8" ht="15.95" customHeight="1" thickBot="1">
      <c r="D83" s="50" t="s">
        <v>187</v>
      </c>
      <c r="E83" s="50"/>
      <c r="G83" s="17"/>
      <c r="H83" s="17"/>
    </row>
    <row r="84" spans="2:8" ht="15.95" customHeight="1" thickTop="1">
      <c r="B84" s="23" t="s">
        <v>163</v>
      </c>
      <c r="C84" s="21" t="s">
        <v>164</v>
      </c>
      <c r="D84" s="182" t="s">
        <v>225</v>
      </c>
      <c r="E84" s="183"/>
      <c r="F84" s="103" t="s">
        <v>282</v>
      </c>
      <c r="G84" s="117"/>
    </row>
    <row r="85" spans="2:8" ht="15.95" customHeight="1">
      <c r="B85" s="32" t="s">
        <v>145</v>
      </c>
      <c r="C85" s="20" t="s">
        <v>185</v>
      </c>
      <c r="D85" s="100">
        <v>0</v>
      </c>
      <c r="E85" s="81" t="s">
        <v>212</v>
      </c>
      <c r="F85" s="101" t="s">
        <v>406</v>
      </c>
      <c r="G85" s="117"/>
    </row>
    <row r="86" spans="2:8" ht="12.75">
      <c r="B86" s="20"/>
      <c r="C86" s="20" t="s">
        <v>165</v>
      </c>
      <c r="D86" s="169">
        <v>321685475</v>
      </c>
      <c r="E86" s="105" t="s">
        <v>228</v>
      </c>
      <c r="F86" s="101" t="s">
        <v>283</v>
      </c>
      <c r="G86" s="117"/>
    </row>
    <row r="87" spans="2:8" ht="25.5">
      <c r="B87" s="23" t="s">
        <v>166</v>
      </c>
      <c r="C87" s="20" t="s">
        <v>164</v>
      </c>
      <c r="D87" s="182" t="s">
        <v>225</v>
      </c>
      <c r="E87" s="183"/>
      <c r="F87" s="92" t="s">
        <v>284</v>
      </c>
      <c r="G87" s="117"/>
    </row>
    <row r="88" spans="2:8" ht="12.75">
      <c r="B88" s="72" t="s">
        <v>168</v>
      </c>
      <c r="C88" s="20" t="s">
        <v>186</v>
      </c>
      <c r="D88" s="169">
        <v>5627324117</v>
      </c>
      <c r="E88" s="105" t="s">
        <v>228</v>
      </c>
      <c r="F88" s="102" t="s">
        <v>289</v>
      </c>
      <c r="G88" s="117"/>
    </row>
    <row r="89" spans="2:8" ht="38.25">
      <c r="B89" s="23" t="s">
        <v>167</v>
      </c>
      <c r="C89" s="20" t="s">
        <v>169</v>
      </c>
      <c r="D89" s="182" t="s">
        <v>225</v>
      </c>
      <c r="E89" s="183"/>
      <c r="F89" s="102" t="s">
        <v>285</v>
      </c>
      <c r="G89" s="117"/>
    </row>
    <row r="90" spans="2:8" ht="15.95" customHeight="1">
      <c r="B90" s="72" t="s">
        <v>168</v>
      </c>
      <c r="C90" s="20" t="s">
        <v>186</v>
      </c>
      <c r="D90" s="169">
        <v>1752179626</v>
      </c>
      <c r="E90" s="105" t="s">
        <v>228</v>
      </c>
      <c r="F90" s="102" t="s">
        <v>286</v>
      </c>
      <c r="G90" s="117"/>
    </row>
    <row r="91" spans="2:8" ht="15.95" customHeight="1">
      <c r="B91" s="24" t="s">
        <v>171</v>
      </c>
      <c r="C91" s="20" t="s">
        <v>170</v>
      </c>
      <c r="D91" s="182" t="s">
        <v>287</v>
      </c>
      <c r="E91" s="183"/>
      <c r="F91" s="92"/>
      <c r="G91" s="117"/>
    </row>
    <row r="92" spans="2:8" ht="15.95" customHeight="1">
      <c r="B92" s="72" t="s">
        <v>168</v>
      </c>
      <c r="C92" s="20" t="s">
        <v>186</v>
      </c>
      <c r="D92" s="99"/>
      <c r="E92" s="105"/>
      <c r="F92" s="102"/>
      <c r="G92" s="117"/>
    </row>
    <row r="93" spans="2:8" ht="25.5">
      <c r="B93" s="24" t="s">
        <v>175</v>
      </c>
      <c r="C93" s="20" t="s">
        <v>174</v>
      </c>
      <c r="D93" s="182" t="s">
        <v>225</v>
      </c>
      <c r="E93" s="183"/>
      <c r="F93" s="92" t="s">
        <v>288</v>
      </c>
      <c r="G93" s="117"/>
    </row>
    <row r="94" spans="2:8" ht="12.75">
      <c r="B94" s="72" t="s">
        <v>168</v>
      </c>
      <c r="C94" s="20" t="s">
        <v>186</v>
      </c>
      <c r="D94" s="169">
        <v>1483692527</v>
      </c>
      <c r="E94" s="105" t="s">
        <v>228</v>
      </c>
      <c r="F94" s="92" t="s">
        <v>289</v>
      </c>
      <c r="G94" s="117"/>
    </row>
    <row r="95" spans="2:8" ht="25.5">
      <c r="B95" s="24" t="s">
        <v>172</v>
      </c>
      <c r="C95" s="20" t="s">
        <v>173</v>
      </c>
      <c r="D95" s="182" t="s">
        <v>225</v>
      </c>
      <c r="E95" s="183"/>
      <c r="F95" s="92" t="s">
        <v>290</v>
      </c>
      <c r="G95" s="117"/>
    </row>
    <row r="96" spans="2:8" ht="26.25" thickBot="1">
      <c r="B96" s="72" t="s">
        <v>168</v>
      </c>
      <c r="C96" s="20" t="s">
        <v>186</v>
      </c>
      <c r="D96" s="104">
        <v>0</v>
      </c>
      <c r="E96" s="106" t="s">
        <v>146</v>
      </c>
      <c r="F96" s="107" t="s">
        <v>290</v>
      </c>
      <c r="G96" s="117"/>
    </row>
    <row r="97" ht="15.95" customHeight="1" thickTop="1"/>
  </sheetData>
  <customSheetViews>
    <customSheetView guid="{219EA9BF-B677-D74C-A618-845A184D319B}" showGridLines="0" topLeftCell="A3">
      <selection activeCell="D4" sqref="D4"/>
      <pageMargins left="0.7" right="0.7" top="0.75" bottom="0.75" header="0.3" footer="0.3"/>
      <pageSetup paperSize="9" orientation="portrait" horizontalDpi="4294967292" verticalDpi="4294967292"/>
    </customSheetView>
  </customSheetViews>
  <mergeCells count="10">
    <mergeCell ref="D93:E93"/>
    <mergeCell ref="D95:E95"/>
    <mergeCell ref="D78:E78"/>
    <mergeCell ref="D69:E69"/>
    <mergeCell ref="D79:E79"/>
    <mergeCell ref="D84:E84"/>
    <mergeCell ref="D89:E89"/>
    <mergeCell ref="D91:E91"/>
    <mergeCell ref="D87:E87"/>
    <mergeCell ref="D70:E70"/>
  </mergeCells>
  <dataValidations count="14">
    <dataValidation allowBlank="1" sqref="F79 F5:F10 F13 F15 F17 F19 F21 F23 F25 F27 F29 F31 F33 F35 F37 F39 F41 F47:F70 D73 D74:F74 D76:F76 F84:F87 F89:F90 F93:F96"/>
    <dataValidation type="list" showDropDown="1" showErrorMessage="1" errorTitle="Veuillez ne pas modifier " error="Veuillez ne pas modifier ces cellules" sqref="C4:C10 C69:C80 C84:C96 B4:B97 B1:H3 D4:H4">
      <formula1>"#ERROR!"</formula1>
    </dataValidation>
    <dataValidation allowBlank="1" showInputMessage="1" promptTitle="Nom du registre" prompt="Veuillez saisir le nom du registre." sqref="D80:E81 E73"/>
    <dataValidation type="list" allowBlank="1" showInputMessage="1" showErrorMessage="1" errorTitle="Saisie erronée" error="_x000a_Veuillez choisir parmi les réponses suivantes :_x000a__x000a_Oui_x000a_Non_x000a_En partie_x000a_Sans objet_x000a_" promptTitle="Choisir parmi les suivants" prompt="_x000a_Oui_x000a_Non_x000a_En partie_x000a_Sans objet" sqref="D69:E69 D78:E79 D84:E84 D87:E87 D91:E91 D93:E93 D95:E95 D89:E89">
      <formula1>"Oui,Non,En partie,Sans objet,&lt;sélectionner l'option&gt;"</formula1>
    </dataValidation>
    <dataValidation type="decimal" errorStyle="warning" operator="greaterThan" allowBlank="1" showInputMessage="1" showErrorMessage="1" errorTitle="Valeur non numérique" error="Veuillez ne saisir que des chiffres dans cette cellule. _x000a__x000a_Si des informations supplémentaires sont appropriées, veuillez les inclure dans les colonnes appropriées à droite." promptTitle="Infrastructures et troc" prompt="_x000a_Veuillez entrer uniquement les chiffres dans cette cellule. Ajoutez des informations supplémentaires à la section des commentaires." sqref="D88">
      <formula1>2</formula1>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E11 E85 E43 E45">
      <formula1>"&lt;Selectionner unité&gt;,Sm3,Sm3 o.e.,Barils,Tonnes,oz,carats,Scf"</formula1>
    </dataValidation>
    <dataValidation type="decimal" errorStyle="warning" operator="greaterThan" allowBlank="1" showInputMessage="1" showErrorMessage="1" errorTitle="Valeur non numérique" error="Veuillez ne saisir que des chiffres dans cette cellule. _x000a__x000a_Si des informations supplémentaires sont appropriées, veuillez les inclure dans les colonnes appropriées à droite." promptTitle="Revenus provenant du transport" prompt="Veuillez entrer uniquement les chiffres dans cette cellule. Ajoutez des informations supplémentaires à la section des commentaires." sqref="D92">
      <formula1>2</formula1>
    </dataValidation>
    <dataValidation allowBlank="1" showInputMessage="1" promptTitle="Source" prompt="Veuillez indiquer la source d'information, en tant que section du Rapport ITIE." sqref="F40 F42:F46 F88 F11:F12 F14 F16 F18 F91:F92 F20 F22 F24 F26 F28 F30 F32 F34 F36 F38"/>
    <dataValidation allowBlank="1" showInputMessage="1" promptTitle="Si non, donner une explication" prompt="Si les registres sont incomplets ou manquants, veuillez préciser pourquoi ou insérer tout commentaire supplémentaire y afférent ici." sqref="E75"/>
    <dataValidation allowBlank="1" showInputMessage="1" showErrorMessage="1" promptTitle="URL du registre" prompt="Veuillez indiquer l’URL directe vers le registre._x000a_Veuillez fournir toute information supplémentaire dans la section des commentaires." sqref="F80:F81 F73"/>
    <dataValidation type="custom" allowBlank="1" showInputMessage="1" showErrorMessage="1" errorTitle="Volume ou valeur non précisé(e)" error="Veuillez indiquer s’il s’agit d’un volume ou d’une valeur, en incluant « , volume » ou « , valeur » à la fin" promptTitle="Materières premières" prompt="Veuillez indiquer la matière première et préciser s’il s’agit d’un volume ou d’une valeur, en incluant « , volume » ou « , valeur » à la fin." sqref="C11:C68">
      <formula1>OR(ISNUMBER(SEARCH(", volume",C11)),ISNUMBER(SEARCH(", valeur",C11)))</formula1>
    </dataValidation>
    <dataValidation allowBlank="1" showInputMessage="1" showErrorMessage="1" promptTitle=" Si non, donner une explication" prompt="Si les revenus des industries extractives ne sont pas comptabilisés dans les comptes ou les budgets du gouvernement, veuillez préciser pourquoi ou insérer tout commentaire supplémentaire y afférent ici." sqref="D70"/>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Matières premières" prompt="Veuillez saisir le nom de la matière première à gauche, en indiquant s’il s’agit d’un volume ou d’une valeur._x000a__x000a_Veuillez entrer uniquement les chiffres dans cette cellule. Ajoutez des informations supplémentaires à la section des commentaires." sqref="D58 D14 D16 D18 D20 D22 D24 D26 D28 D30 D32 D34 D36 D38 D40 D42 D68 D48 D50 D52 D54 D56 D62 D64 D66 D60">
      <formula1>0</formula1>
    </dataValidation>
    <dataValidation type="textLength" operator="equal" showInputMessage="1" showErrorMessage="1" errorTitle="Saisie erronée" error="Saisie erronée" promptTitle="Veuillez saisir l’unité" prompt="Saisissez les 3 lettres du code-devise de l’ISO 4217" sqref="E24 E38 E28 E92 E20 E30 E12 E16 E26 E18 E36 E34 E32 E40 E42 E44 E46 E22">
      <formula1>3</formula1>
    </dataValidation>
  </dataValidations>
  <hyperlinks>
    <hyperlink ref="F72" r:id="rId1"/>
    <hyperlink ref="F71" r:id="rId2"/>
    <hyperlink ref="F74" r:id="rId3"/>
  </hyperlinks>
  <pageMargins left="0.75" right="0.75" top="1" bottom="1" header="0.5" footer="0.5"/>
  <pageSetup paperSize="9" orientation="portrait" horizontalDpi="4294967292" verticalDpi="4294967292" r:id="rId4"/>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sheetPr codeName="Sheet6"/>
  <dimension ref="B1:AF95"/>
  <sheetViews>
    <sheetView showGridLines="0" tabSelected="1" topLeftCell="F1" zoomScale="85" zoomScaleNormal="85" zoomScalePageLayoutView="75" workbookViewId="0">
      <selection activeCell="F4" sqref="F4"/>
    </sheetView>
  </sheetViews>
  <sheetFormatPr baseColWidth="10" defaultColWidth="10.875" defaultRowHeight="15.75"/>
  <cols>
    <col min="1" max="1" width="3.625" style="1" customWidth="1"/>
    <col min="2" max="2" width="7.375" style="2" customWidth="1"/>
    <col min="3" max="3" width="59.5" style="1" customWidth="1"/>
    <col min="4" max="4" width="33.875" style="1" customWidth="1"/>
    <col min="5" max="5" width="43.125" style="1" customWidth="1"/>
    <col min="6" max="6" width="40.875" style="1" customWidth="1"/>
    <col min="7" max="7" width="42.875" style="1" customWidth="1"/>
    <col min="8" max="8" width="18" style="1" customWidth="1"/>
    <col min="9" max="9" width="11.5" style="1" bestFit="1" customWidth="1"/>
    <col min="10" max="10" width="15.125" style="1" bestFit="1" customWidth="1"/>
    <col min="11" max="29" width="24.5" style="1" customWidth="1"/>
    <col min="30" max="31" width="11.5" style="1" customWidth="1"/>
    <col min="32" max="32" width="12.5" style="1" bestFit="1" customWidth="1"/>
    <col min="33" max="16384" width="10.875" style="1"/>
  </cols>
  <sheetData>
    <row r="1" spans="2:32" ht="15.95" customHeight="1"/>
    <row r="2" spans="2:32" ht="26.25">
      <c r="B2" s="36" t="s">
        <v>65</v>
      </c>
      <c r="G2" s="108" t="s">
        <v>176</v>
      </c>
      <c r="H2" s="14" t="s">
        <v>98</v>
      </c>
      <c r="I2" s="16"/>
      <c r="J2" s="13"/>
      <c r="K2" s="13"/>
      <c r="L2" s="13"/>
      <c r="M2" s="13"/>
      <c r="N2" s="13"/>
      <c r="O2" s="13"/>
      <c r="P2" s="13"/>
      <c r="Q2" s="13"/>
      <c r="R2" s="13"/>
      <c r="S2" s="13"/>
      <c r="T2" s="13"/>
      <c r="U2" s="13"/>
      <c r="V2" s="13"/>
      <c r="W2" s="13"/>
      <c r="X2" s="13"/>
      <c r="Y2" s="13"/>
      <c r="Z2" s="13"/>
      <c r="AA2" s="13"/>
      <c r="AB2" s="13"/>
      <c r="AC2" s="13"/>
      <c r="AD2" s="13"/>
      <c r="AE2" s="13"/>
      <c r="AF2" s="11"/>
    </row>
    <row r="3" spans="2:32">
      <c r="B3" s="67" t="s">
        <v>119</v>
      </c>
      <c r="G3" s="172" t="s">
        <v>228</v>
      </c>
      <c r="H3" s="69" t="s">
        <v>132</v>
      </c>
      <c r="I3" s="3"/>
      <c r="J3" s="3"/>
      <c r="K3" s="3"/>
      <c r="L3" s="3"/>
      <c r="M3" s="3"/>
      <c r="N3" s="3"/>
      <c r="O3" s="3"/>
      <c r="P3" s="3"/>
      <c r="Q3" s="3"/>
      <c r="R3" s="3"/>
      <c r="S3" s="3"/>
      <c r="T3" s="3"/>
      <c r="U3" s="3"/>
      <c r="V3" s="3"/>
      <c r="W3" s="3"/>
      <c r="X3" s="3"/>
      <c r="Y3" s="3"/>
      <c r="Z3" s="3"/>
      <c r="AA3" s="3"/>
      <c r="AB3" s="3"/>
      <c r="AC3" s="3"/>
      <c r="AD3" s="3"/>
      <c r="AE3" s="3"/>
      <c r="AF3" s="4"/>
    </row>
    <row r="4" spans="2:32" ht="157.5">
      <c r="B4" s="68" t="s">
        <v>118</v>
      </c>
      <c r="G4" s="123" t="s">
        <v>214</v>
      </c>
      <c r="H4" s="15" t="s">
        <v>100</v>
      </c>
      <c r="I4" s="61" t="s">
        <v>298</v>
      </c>
      <c r="J4" s="61" t="s">
        <v>299</v>
      </c>
      <c r="K4" s="174" t="s">
        <v>300</v>
      </c>
      <c r="L4" s="174" t="s">
        <v>301</v>
      </c>
      <c r="M4" s="61" t="s">
        <v>302</v>
      </c>
      <c r="N4" s="61" t="s">
        <v>303</v>
      </c>
      <c r="O4" s="61" t="s">
        <v>304</v>
      </c>
      <c r="P4" s="174" t="s">
        <v>305</v>
      </c>
      <c r="Q4" s="174" t="s">
        <v>306</v>
      </c>
      <c r="R4" s="174" t="s">
        <v>307</v>
      </c>
      <c r="S4" s="174" t="s">
        <v>308</v>
      </c>
      <c r="T4" s="61" t="s">
        <v>309</v>
      </c>
      <c r="U4" s="61" t="s">
        <v>310</v>
      </c>
      <c r="V4" s="174" t="s">
        <v>311</v>
      </c>
      <c r="W4" s="174" t="s">
        <v>312</v>
      </c>
      <c r="X4" s="174" t="s">
        <v>313</v>
      </c>
      <c r="Y4" s="174" t="s">
        <v>314</v>
      </c>
      <c r="Z4" s="61" t="s">
        <v>315</v>
      </c>
      <c r="AA4" s="61" t="s">
        <v>316</v>
      </c>
      <c r="AB4" s="174" t="s">
        <v>317</v>
      </c>
      <c r="AC4" s="174" t="s">
        <v>318</v>
      </c>
      <c r="AD4" s="174" t="s">
        <v>319</v>
      </c>
      <c r="AE4" s="174" t="s">
        <v>320</v>
      </c>
      <c r="AF4" s="174" t="s">
        <v>321</v>
      </c>
    </row>
    <row r="5" spans="2:32">
      <c r="B5" s="68"/>
      <c r="G5" s="124" t="s">
        <v>215</v>
      </c>
      <c r="H5" s="9" t="s">
        <v>101</v>
      </c>
      <c r="I5" s="120" t="s">
        <v>322</v>
      </c>
      <c r="J5" s="120" t="s">
        <v>323</v>
      </c>
      <c r="K5" s="120"/>
      <c r="L5" s="120" t="s">
        <v>324</v>
      </c>
      <c r="M5" s="120" t="s">
        <v>325</v>
      </c>
      <c r="N5" s="120" t="s">
        <v>326</v>
      </c>
      <c r="O5" s="120" t="s">
        <v>327</v>
      </c>
      <c r="P5" s="120" t="s">
        <v>328</v>
      </c>
      <c r="Q5" s="120" t="s">
        <v>329</v>
      </c>
      <c r="R5" s="120" t="s">
        <v>330</v>
      </c>
      <c r="S5" s="120" t="s">
        <v>331</v>
      </c>
      <c r="T5" s="120" t="s">
        <v>332</v>
      </c>
      <c r="U5" s="120" t="s">
        <v>333</v>
      </c>
      <c r="V5" s="120" t="s">
        <v>334</v>
      </c>
      <c r="W5" s="120" t="s">
        <v>335</v>
      </c>
      <c r="X5" s="120" t="s">
        <v>336</v>
      </c>
      <c r="Y5" s="120" t="s">
        <v>337</v>
      </c>
      <c r="Z5" s="120" t="s">
        <v>338</v>
      </c>
      <c r="AA5" s="120" t="s">
        <v>339</v>
      </c>
      <c r="AB5" s="120" t="s">
        <v>340</v>
      </c>
      <c r="AC5" s="120" t="s">
        <v>341</v>
      </c>
      <c r="AD5" s="121" t="s">
        <v>342</v>
      </c>
      <c r="AE5" s="121" t="s">
        <v>343</v>
      </c>
      <c r="AF5" s="122" t="s">
        <v>344</v>
      </c>
    </row>
    <row r="6" spans="2:32">
      <c r="G6" s="124" t="s">
        <v>410</v>
      </c>
      <c r="H6" s="9" t="s">
        <v>216</v>
      </c>
      <c r="I6" s="62" t="s">
        <v>358</v>
      </c>
      <c r="J6" s="62" t="s">
        <v>358</v>
      </c>
      <c r="K6" s="62" t="s">
        <v>219</v>
      </c>
      <c r="L6" s="62" t="s">
        <v>219</v>
      </c>
      <c r="M6" s="62" t="s">
        <v>219</v>
      </c>
      <c r="N6" s="62" t="s">
        <v>219</v>
      </c>
      <c r="O6" s="62" t="s">
        <v>219</v>
      </c>
      <c r="P6" s="62" t="s">
        <v>49</v>
      </c>
      <c r="Q6" s="62" t="s">
        <v>218</v>
      </c>
      <c r="R6" s="62" t="s">
        <v>49</v>
      </c>
      <c r="S6" s="62"/>
      <c r="T6" s="62" t="s">
        <v>49</v>
      </c>
      <c r="U6" s="62" t="s">
        <v>218</v>
      </c>
      <c r="V6" s="62" t="s">
        <v>49</v>
      </c>
      <c r="W6" s="62" t="s">
        <v>218</v>
      </c>
      <c r="X6" s="62" t="s">
        <v>218</v>
      </c>
      <c r="Y6" s="62" t="s">
        <v>218</v>
      </c>
      <c r="Z6" s="62" t="s">
        <v>218</v>
      </c>
      <c r="AA6" s="62" t="s">
        <v>218</v>
      </c>
      <c r="AB6" s="62" t="s">
        <v>49</v>
      </c>
      <c r="AC6" s="62" t="s">
        <v>49</v>
      </c>
      <c r="AD6" s="62" t="s">
        <v>49</v>
      </c>
      <c r="AE6" s="62" t="s">
        <v>49</v>
      </c>
      <c r="AF6" s="119" t="s">
        <v>218</v>
      </c>
    </row>
    <row r="7" spans="2:32">
      <c r="G7" s="181" t="s">
        <v>411</v>
      </c>
      <c r="H7" s="10" t="s">
        <v>99</v>
      </c>
      <c r="I7" s="63" t="s">
        <v>345</v>
      </c>
      <c r="J7" s="63" t="s">
        <v>345</v>
      </c>
      <c r="K7" s="63" t="s">
        <v>346</v>
      </c>
      <c r="L7" s="63" t="s">
        <v>346</v>
      </c>
      <c r="M7" s="63" t="s">
        <v>346</v>
      </c>
      <c r="N7" s="63" t="s">
        <v>346</v>
      </c>
      <c r="O7" s="63" t="s">
        <v>346</v>
      </c>
      <c r="P7" s="63" t="s">
        <v>347</v>
      </c>
      <c r="Q7" s="63" t="s">
        <v>348</v>
      </c>
      <c r="R7" s="63" t="s">
        <v>349</v>
      </c>
      <c r="S7" s="63"/>
      <c r="T7" s="63" t="s">
        <v>350</v>
      </c>
      <c r="U7" s="63" t="s">
        <v>351</v>
      </c>
      <c r="V7" s="63" t="s">
        <v>352</v>
      </c>
      <c r="W7" s="63" t="s">
        <v>220</v>
      </c>
      <c r="X7" s="63" t="s">
        <v>353</v>
      </c>
      <c r="Y7" s="63" t="s">
        <v>220</v>
      </c>
      <c r="Z7" s="63" t="s">
        <v>353</v>
      </c>
      <c r="AA7" s="63" t="s">
        <v>354</v>
      </c>
      <c r="AB7" s="63" t="s">
        <v>355</v>
      </c>
      <c r="AC7" s="63" t="s">
        <v>356</v>
      </c>
      <c r="AD7" s="63" t="s">
        <v>356</v>
      </c>
      <c r="AE7" s="63" t="s">
        <v>347</v>
      </c>
      <c r="AF7" s="64" t="s">
        <v>357</v>
      </c>
    </row>
    <row r="8" spans="2:32" ht="21">
      <c r="B8" s="196" t="s">
        <v>66</v>
      </c>
      <c r="C8" s="193"/>
      <c r="D8" s="195"/>
      <c r="E8" s="194" t="s">
        <v>201</v>
      </c>
      <c r="F8" s="193"/>
      <c r="G8" s="195"/>
      <c r="H8" s="192" t="s">
        <v>180</v>
      </c>
      <c r="I8" s="193"/>
      <c r="J8" s="193"/>
      <c r="K8" s="193"/>
      <c r="L8" s="173"/>
      <c r="M8" s="173"/>
      <c r="N8" s="173"/>
      <c r="O8" s="173"/>
      <c r="P8" s="173"/>
      <c r="Q8" s="173"/>
      <c r="R8" s="173"/>
      <c r="S8" s="173"/>
      <c r="T8" s="173"/>
      <c r="U8" s="173"/>
      <c r="V8" s="173"/>
      <c r="W8" s="173"/>
      <c r="X8" s="173"/>
      <c r="Y8" s="173"/>
      <c r="Z8" s="173"/>
      <c r="AA8" s="173"/>
      <c r="AB8" s="173"/>
      <c r="AC8" s="173"/>
      <c r="AD8" s="3"/>
      <c r="AE8" s="153"/>
      <c r="AF8" s="146"/>
    </row>
    <row r="9" spans="2:32" ht="62.25" customHeight="1">
      <c r="B9" s="186" t="s">
        <v>202</v>
      </c>
      <c r="C9" s="187"/>
      <c r="D9" s="188"/>
      <c r="E9" s="189" t="s">
        <v>178</v>
      </c>
      <c r="F9" s="187"/>
      <c r="G9" s="188"/>
      <c r="H9" s="190" t="s">
        <v>102</v>
      </c>
      <c r="I9" s="191"/>
      <c r="J9" s="191"/>
      <c r="K9" s="191"/>
      <c r="L9" s="161"/>
      <c r="M9" s="161"/>
      <c r="N9" s="161"/>
      <c r="O9" s="161"/>
      <c r="P9" s="161"/>
      <c r="Q9" s="161"/>
      <c r="R9" s="161"/>
      <c r="S9" s="161"/>
      <c r="T9" s="161"/>
      <c r="U9" s="161"/>
      <c r="V9" s="161"/>
      <c r="W9" s="161"/>
      <c r="X9" s="161"/>
      <c r="Y9" s="161"/>
      <c r="Z9" s="161"/>
      <c r="AA9" s="161"/>
      <c r="AB9" s="161"/>
      <c r="AC9" s="161"/>
      <c r="AD9" s="147"/>
      <c r="AE9" s="153"/>
      <c r="AF9" s="146"/>
    </row>
    <row r="10" spans="2:32" ht="31.5">
      <c r="B10" s="57" t="s">
        <v>120</v>
      </c>
      <c r="C10" s="5"/>
      <c r="D10" s="58" t="s">
        <v>123</v>
      </c>
      <c r="E10" s="59" t="s">
        <v>97</v>
      </c>
      <c r="F10" s="109" t="s">
        <v>189</v>
      </c>
      <c r="G10" s="113" t="s">
        <v>177</v>
      </c>
      <c r="H10" s="148" t="s">
        <v>103</v>
      </c>
      <c r="I10" s="60">
        <f>SUM(I11:I65)</f>
        <v>239130612</v>
      </c>
      <c r="J10" s="60">
        <f>SUM(J11:J65)</f>
        <v>1045679544</v>
      </c>
      <c r="K10" s="60">
        <f>SUM(K11:K65)</f>
        <v>0</v>
      </c>
      <c r="L10" s="60"/>
      <c r="M10" s="60"/>
      <c r="N10" s="60"/>
      <c r="O10" s="60"/>
      <c r="P10" s="60">
        <f t="shared" ref="P10:AF10" si="0">SUM(P11:P65)</f>
        <v>14343160469</v>
      </c>
      <c r="Q10" s="60">
        <f t="shared" si="0"/>
        <v>15546309089</v>
      </c>
      <c r="R10" s="60">
        <f t="shared" si="0"/>
        <v>6845806391</v>
      </c>
      <c r="S10" s="60">
        <f t="shared" si="0"/>
        <v>983026480</v>
      </c>
      <c r="T10" s="60">
        <f t="shared" si="0"/>
        <v>420916152</v>
      </c>
      <c r="U10" s="60">
        <f t="shared" si="0"/>
        <v>1234760244</v>
      </c>
      <c r="V10" s="60">
        <f t="shared" si="0"/>
        <v>7506573621</v>
      </c>
      <c r="W10" s="60">
        <f t="shared" si="0"/>
        <v>29204274</v>
      </c>
      <c r="X10" s="60">
        <f t="shared" si="0"/>
        <v>598710771</v>
      </c>
      <c r="Y10" s="60">
        <f t="shared" si="0"/>
        <v>110290515</v>
      </c>
      <c r="Z10" s="60">
        <f t="shared" si="0"/>
        <v>1333073264</v>
      </c>
      <c r="AA10" s="60">
        <f t="shared" si="0"/>
        <v>160810678</v>
      </c>
      <c r="AB10" s="60">
        <f t="shared" si="0"/>
        <v>578211533</v>
      </c>
      <c r="AC10" s="60">
        <f t="shared" si="0"/>
        <v>1390562076</v>
      </c>
      <c r="AD10" s="60">
        <f t="shared" si="0"/>
        <v>1083120336</v>
      </c>
      <c r="AE10" s="60">
        <f t="shared" si="0"/>
        <v>539516027</v>
      </c>
      <c r="AF10" s="149">
        <f t="shared" si="0"/>
        <v>15128800</v>
      </c>
    </row>
    <row r="11" spans="2:32">
      <c r="B11" s="125" t="s">
        <v>2</v>
      </c>
      <c r="C11" s="126" t="s">
        <v>67</v>
      </c>
      <c r="D11" s="7"/>
      <c r="E11" s="151"/>
      <c r="F11" s="152"/>
      <c r="G11" s="154"/>
      <c r="H11" s="144"/>
      <c r="I11" s="3"/>
      <c r="J11" s="3"/>
      <c r="K11" s="3"/>
      <c r="L11" s="3"/>
      <c r="M11" s="3"/>
      <c r="N11" s="3"/>
      <c r="O11" s="3"/>
      <c r="P11" s="3"/>
      <c r="Q11" s="3"/>
      <c r="R11" s="3"/>
      <c r="S11" s="3"/>
      <c r="T11" s="3"/>
      <c r="U11" s="3"/>
      <c r="V11" s="3"/>
      <c r="W11" s="3"/>
      <c r="X11" s="3"/>
      <c r="Y11" s="3"/>
      <c r="Z11" s="3"/>
      <c r="AA11" s="3"/>
      <c r="AB11" s="3"/>
      <c r="AC11" s="3"/>
      <c r="AD11" s="3"/>
      <c r="AE11" s="3"/>
      <c r="AF11" s="4"/>
    </row>
    <row r="12" spans="2:32">
      <c r="B12" s="127" t="s">
        <v>3</v>
      </c>
      <c r="C12" s="128" t="s">
        <v>121</v>
      </c>
      <c r="D12" s="6"/>
      <c r="E12" s="65"/>
      <c r="F12" s="111"/>
      <c r="G12" s="155"/>
      <c r="H12" s="144"/>
      <c r="I12" s="3"/>
      <c r="J12" s="3"/>
      <c r="K12" s="3"/>
      <c r="L12" s="3"/>
      <c r="M12" s="3"/>
      <c r="N12" s="3"/>
      <c r="O12" s="3"/>
      <c r="P12" s="3"/>
      <c r="Q12" s="3"/>
      <c r="R12" s="3"/>
      <c r="S12" s="3"/>
      <c r="T12" s="3"/>
      <c r="U12" s="3"/>
      <c r="V12" s="3"/>
      <c r="W12" s="3"/>
      <c r="X12" s="3"/>
      <c r="Y12" s="3"/>
      <c r="Z12" s="3"/>
      <c r="AA12" s="3"/>
      <c r="AB12" s="3"/>
      <c r="AC12" s="3"/>
      <c r="AD12" s="3"/>
      <c r="AE12" s="3"/>
      <c r="AF12" s="4"/>
    </row>
    <row r="13" spans="2:32" ht="31.5">
      <c r="B13" s="129" t="s">
        <v>4</v>
      </c>
      <c r="C13" s="130" t="s">
        <v>122</v>
      </c>
      <c r="D13" s="51" t="s">
        <v>361</v>
      </c>
      <c r="E13" s="65" t="s">
        <v>359</v>
      </c>
      <c r="F13" s="111" t="s">
        <v>360</v>
      </c>
      <c r="G13" s="175">
        <f>2004359682+2632763483</f>
        <v>4637123165</v>
      </c>
      <c r="H13" s="144">
        <f t="shared" ref="H13:H64" si="1">SUM(I13:AF13)</f>
        <v>2004359682</v>
      </c>
      <c r="I13" s="176">
        <v>184114826</v>
      </c>
      <c r="J13" s="176">
        <v>0</v>
      </c>
      <c r="K13" s="176">
        <v>0</v>
      </c>
      <c r="L13" s="176">
        <v>0</v>
      </c>
      <c r="M13" s="176">
        <v>0</v>
      </c>
      <c r="N13" s="176">
        <v>0</v>
      </c>
      <c r="O13" s="176">
        <v>0</v>
      </c>
      <c r="P13" s="176">
        <v>0</v>
      </c>
      <c r="Q13" s="176">
        <v>0</v>
      </c>
      <c r="R13" s="176">
        <v>0</v>
      </c>
      <c r="S13" s="176">
        <v>0</v>
      </c>
      <c r="T13" s="176">
        <v>219185100</v>
      </c>
      <c r="U13" s="176">
        <v>0</v>
      </c>
      <c r="V13" s="176">
        <v>0</v>
      </c>
      <c r="W13" s="176">
        <v>0</v>
      </c>
      <c r="X13" s="176">
        <v>171640800</v>
      </c>
      <c r="Y13" s="176">
        <v>200000</v>
      </c>
      <c r="Z13" s="176">
        <v>391055400</v>
      </c>
      <c r="AA13" s="176">
        <v>20000000</v>
      </c>
      <c r="AB13" s="176">
        <v>220788000</v>
      </c>
      <c r="AC13" s="176">
        <v>642103200</v>
      </c>
      <c r="AD13" s="176">
        <v>94023252</v>
      </c>
      <c r="AE13" s="176">
        <v>61249104</v>
      </c>
      <c r="AF13" s="177">
        <v>0</v>
      </c>
    </row>
    <row r="14" spans="2:32" ht="31.5">
      <c r="B14" s="129" t="s">
        <v>4</v>
      </c>
      <c r="C14" s="130" t="s">
        <v>122</v>
      </c>
      <c r="D14" s="51" t="s">
        <v>361</v>
      </c>
      <c r="E14" s="65" t="s">
        <v>362</v>
      </c>
      <c r="F14" s="111" t="s">
        <v>360</v>
      </c>
      <c r="G14" s="175">
        <f>1447793593+5997013</f>
        <v>1453790606</v>
      </c>
      <c r="H14" s="144">
        <f t="shared" si="1"/>
        <v>1447793593</v>
      </c>
      <c r="I14" s="176">
        <v>0</v>
      </c>
      <c r="J14" s="176">
        <v>0</v>
      </c>
      <c r="K14" s="176">
        <v>0</v>
      </c>
      <c r="L14" s="176">
        <v>0</v>
      </c>
      <c r="M14" s="176">
        <v>0</v>
      </c>
      <c r="N14" s="176">
        <v>0</v>
      </c>
      <c r="O14" s="176">
        <v>0</v>
      </c>
      <c r="P14" s="176">
        <v>250000000</v>
      </c>
      <c r="Q14" s="176">
        <v>0</v>
      </c>
      <c r="R14" s="176">
        <v>156816936</v>
      </c>
      <c r="S14" s="176">
        <v>0</v>
      </c>
      <c r="T14" s="176">
        <v>0</v>
      </c>
      <c r="U14" s="176">
        <v>0</v>
      </c>
      <c r="V14" s="176">
        <v>0</v>
      </c>
      <c r="W14" s="176">
        <v>0</v>
      </c>
      <c r="X14" s="176">
        <v>200000000</v>
      </c>
      <c r="Y14" s="176">
        <v>0</v>
      </c>
      <c r="Z14" s="176">
        <v>200000000</v>
      </c>
      <c r="AA14" s="176">
        <v>0</v>
      </c>
      <c r="AB14" s="176">
        <v>126174194</v>
      </c>
      <c r="AC14" s="176">
        <v>187531448</v>
      </c>
      <c r="AD14" s="176">
        <v>236301509</v>
      </c>
      <c r="AE14" s="176">
        <v>90969506</v>
      </c>
      <c r="AF14" s="177">
        <v>0</v>
      </c>
    </row>
    <row r="15" spans="2:32" ht="31.5">
      <c r="B15" s="129" t="s">
        <v>4</v>
      </c>
      <c r="C15" s="130" t="s">
        <v>122</v>
      </c>
      <c r="D15" s="51" t="s">
        <v>361</v>
      </c>
      <c r="E15" s="65" t="s">
        <v>363</v>
      </c>
      <c r="F15" s="111" t="s">
        <v>360</v>
      </c>
      <c r="G15" s="175">
        <f>23229225+286527930</f>
        <v>309757155</v>
      </c>
      <c r="H15" s="144">
        <f t="shared" si="1"/>
        <v>23229225</v>
      </c>
      <c r="I15" s="176">
        <v>6796685</v>
      </c>
      <c r="J15" s="176">
        <v>0</v>
      </c>
      <c r="K15" s="176">
        <v>0</v>
      </c>
      <c r="L15" s="176">
        <v>0</v>
      </c>
      <c r="M15" s="176">
        <v>0</v>
      </c>
      <c r="N15" s="176">
        <v>0</v>
      </c>
      <c r="O15" s="176">
        <v>0</v>
      </c>
      <c r="P15" s="176">
        <v>6815140</v>
      </c>
      <c r="Q15" s="176">
        <v>0</v>
      </c>
      <c r="R15" s="176">
        <v>0</v>
      </c>
      <c r="S15" s="176">
        <v>7724880</v>
      </c>
      <c r="T15" s="176">
        <v>0</v>
      </c>
      <c r="U15" s="176">
        <v>0</v>
      </c>
      <c r="V15" s="176">
        <v>0</v>
      </c>
      <c r="W15" s="176">
        <v>0</v>
      </c>
      <c r="X15" s="176">
        <v>0</v>
      </c>
      <c r="Y15" s="176">
        <v>0</v>
      </c>
      <c r="Z15" s="176">
        <v>0</v>
      </c>
      <c r="AA15" s="176">
        <v>1892520</v>
      </c>
      <c r="AB15" s="176">
        <v>0</v>
      </c>
      <c r="AC15" s="176">
        <v>0</v>
      </c>
      <c r="AD15" s="176">
        <v>0</v>
      </c>
      <c r="AE15" s="176">
        <v>0</v>
      </c>
      <c r="AF15" s="177">
        <v>0</v>
      </c>
    </row>
    <row r="16" spans="2:32" ht="31.5">
      <c r="B16" s="129" t="s">
        <v>5</v>
      </c>
      <c r="C16" s="130" t="s">
        <v>124</v>
      </c>
      <c r="D16" s="51" t="s">
        <v>200</v>
      </c>
      <c r="E16" s="65"/>
      <c r="F16" s="3"/>
      <c r="G16" s="156"/>
      <c r="H16" s="144">
        <f t="shared" si="1"/>
        <v>0</v>
      </c>
      <c r="I16" s="3"/>
      <c r="J16" s="3"/>
      <c r="K16" s="3"/>
      <c r="L16" s="3"/>
      <c r="M16" s="3"/>
      <c r="N16" s="3"/>
      <c r="O16" s="3"/>
      <c r="P16" s="3"/>
      <c r="Q16" s="3"/>
      <c r="R16" s="3"/>
      <c r="S16" s="3"/>
      <c r="T16" s="3"/>
      <c r="U16" s="3"/>
      <c r="V16" s="3"/>
      <c r="W16" s="3"/>
      <c r="X16" s="3"/>
      <c r="Y16" s="3"/>
      <c r="Z16" s="3"/>
      <c r="AA16" s="3"/>
      <c r="AB16" s="3"/>
      <c r="AC16" s="3"/>
      <c r="AD16" s="3"/>
      <c r="AE16" s="3"/>
      <c r="AF16" s="4"/>
    </row>
    <row r="17" spans="2:32">
      <c r="B17" s="129" t="s">
        <v>6</v>
      </c>
      <c r="C17" s="131" t="s">
        <v>68</v>
      </c>
      <c r="D17" s="51" t="s">
        <v>200</v>
      </c>
      <c r="E17" s="65"/>
      <c r="F17" s="111"/>
      <c r="G17" s="156"/>
      <c r="H17" s="144">
        <f t="shared" si="1"/>
        <v>0</v>
      </c>
      <c r="I17" s="3"/>
      <c r="J17" s="3"/>
      <c r="K17" s="3"/>
      <c r="L17" s="3"/>
      <c r="M17" s="3"/>
      <c r="N17" s="3"/>
      <c r="O17" s="3"/>
      <c r="P17" s="3"/>
      <c r="Q17" s="3"/>
      <c r="R17" s="3"/>
      <c r="S17" s="3"/>
      <c r="T17" s="3"/>
      <c r="U17" s="3"/>
      <c r="V17" s="3"/>
      <c r="W17" s="3"/>
      <c r="X17" s="3"/>
      <c r="Y17" s="3"/>
      <c r="Z17" s="3"/>
      <c r="AA17" s="3"/>
      <c r="AB17" s="3"/>
      <c r="AC17" s="3"/>
      <c r="AD17" s="3"/>
      <c r="AE17" s="3"/>
      <c r="AF17" s="4"/>
    </row>
    <row r="18" spans="2:32" ht="31.5">
      <c r="B18" s="129" t="s">
        <v>7</v>
      </c>
      <c r="C18" s="131" t="s">
        <v>69</v>
      </c>
      <c r="D18" s="51" t="s">
        <v>217</v>
      </c>
      <c r="E18" s="65" t="s">
        <v>364</v>
      </c>
      <c r="F18" s="111" t="s">
        <v>365</v>
      </c>
      <c r="G18" s="175">
        <v>9675450</v>
      </c>
      <c r="H18" s="144">
        <f t="shared" si="1"/>
        <v>9675450</v>
      </c>
      <c r="I18" s="176">
        <v>0</v>
      </c>
      <c r="J18" s="176">
        <v>0</v>
      </c>
      <c r="K18" s="176">
        <v>0</v>
      </c>
      <c r="L18" s="176">
        <v>0</v>
      </c>
      <c r="M18" s="176">
        <v>0</v>
      </c>
      <c r="N18" s="176">
        <v>0</v>
      </c>
      <c r="O18" s="176">
        <v>0</v>
      </c>
      <c r="P18" s="176">
        <v>0</v>
      </c>
      <c r="Q18" s="176">
        <v>0</v>
      </c>
      <c r="R18" s="176">
        <v>0</v>
      </c>
      <c r="S18" s="176">
        <v>0</v>
      </c>
      <c r="T18" s="176">
        <v>0</v>
      </c>
      <c r="U18" s="176">
        <v>0</v>
      </c>
      <c r="V18" s="176">
        <v>0</v>
      </c>
      <c r="W18" s="176">
        <v>0</v>
      </c>
      <c r="X18" s="176">
        <v>0</v>
      </c>
      <c r="Y18" s="176">
        <v>0</v>
      </c>
      <c r="Z18" s="176">
        <v>0</v>
      </c>
      <c r="AA18" s="176">
        <v>0</v>
      </c>
      <c r="AB18" s="176">
        <v>0</v>
      </c>
      <c r="AC18" s="176">
        <v>0</v>
      </c>
      <c r="AD18" s="176">
        <v>0</v>
      </c>
      <c r="AE18" s="176">
        <v>9675450</v>
      </c>
      <c r="AF18" s="177">
        <v>0</v>
      </c>
    </row>
    <row r="19" spans="2:32" ht="31.5">
      <c r="B19" s="129" t="s">
        <v>7</v>
      </c>
      <c r="C19" s="131" t="s">
        <v>69</v>
      </c>
      <c r="D19" s="51" t="s">
        <v>217</v>
      </c>
      <c r="E19" s="65" t="s">
        <v>366</v>
      </c>
      <c r="F19" s="111" t="s">
        <v>360</v>
      </c>
      <c r="G19" s="175">
        <v>1080000</v>
      </c>
      <c r="H19" s="144">
        <f t="shared" si="1"/>
        <v>1080000</v>
      </c>
      <c r="I19" s="176">
        <v>0</v>
      </c>
      <c r="J19" s="176">
        <v>0</v>
      </c>
      <c r="K19" s="176">
        <v>0</v>
      </c>
      <c r="L19" s="176">
        <v>0</v>
      </c>
      <c r="M19" s="176">
        <v>0</v>
      </c>
      <c r="N19" s="176">
        <v>0</v>
      </c>
      <c r="O19" s="176">
        <v>0</v>
      </c>
      <c r="P19" s="176">
        <v>0</v>
      </c>
      <c r="Q19" s="176">
        <v>0</v>
      </c>
      <c r="R19" s="176">
        <v>0</v>
      </c>
      <c r="S19" s="176">
        <v>1080000</v>
      </c>
      <c r="T19" s="176">
        <v>0</v>
      </c>
      <c r="U19" s="176">
        <v>0</v>
      </c>
      <c r="V19" s="176">
        <v>0</v>
      </c>
      <c r="W19" s="176">
        <v>0</v>
      </c>
      <c r="X19" s="176">
        <v>0</v>
      </c>
      <c r="Y19" s="176">
        <v>0</v>
      </c>
      <c r="Z19" s="176">
        <v>0</v>
      </c>
      <c r="AA19" s="176">
        <v>0</v>
      </c>
      <c r="AB19" s="176">
        <v>0</v>
      </c>
      <c r="AC19" s="176">
        <v>0</v>
      </c>
      <c r="AD19" s="176">
        <v>0</v>
      </c>
      <c r="AE19" s="176">
        <v>0</v>
      </c>
      <c r="AF19" s="177">
        <v>0</v>
      </c>
    </row>
    <row r="20" spans="2:32">
      <c r="B20" s="132" t="s">
        <v>8</v>
      </c>
      <c r="C20" s="128" t="s">
        <v>70</v>
      </c>
      <c r="D20" s="6"/>
      <c r="E20" s="65"/>
      <c r="F20" s="111"/>
      <c r="G20" s="155"/>
      <c r="H20" s="144"/>
      <c r="I20" s="3"/>
      <c r="J20" s="3"/>
      <c r="K20" s="3"/>
      <c r="L20" s="3"/>
      <c r="M20" s="3"/>
      <c r="N20" s="3"/>
      <c r="O20" s="3"/>
      <c r="P20" s="3"/>
      <c r="Q20" s="3"/>
      <c r="R20" s="3"/>
      <c r="S20" s="3"/>
      <c r="T20" s="3"/>
      <c r="U20" s="3"/>
      <c r="V20" s="3"/>
      <c r="W20" s="3"/>
      <c r="X20" s="3"/>
      <c r="Y20" s="3"/>
      <c r="Z20" s="3"/>
      <c r="AA20" s="3"/>
      <c r="AB20" s="3"/>
      <c r="AC20" s="3"/>
      <c r="AD20" s="3"/>
      <c r="AE20" s="3"/>
      <c r="AF20" s="4"/>
    </row>
    <row r="21" spans="2:32" ht="31.5">
      <c r="B21" s="129" t="s">
        <v>9</v>
      </c>
      <c r="C21" s="133" t="s">
        <v>125</v>
      </c>
      <c r="D21" s="51" t="s">
        <v>361</v>
      </c>
      <c r="E21" s="65" t="s">
        <v>367</v>
      </c>
      <c r="F21" s="111" t="s">
        <v>360</v>
      </c>
      <c r="G21" s="175">
        <f>18698907704+3729874745</f>
        <v>22428782449</v>
      </c>
      <c r="H21" s="144">
        <f t="shared" si="1"/>
        <v>18698907704</v>
      </c>
      <c r="I21" s="176">
        <v>4637256</v>
      </c>
      <c r="J21" s="176">
        <v>0</v>
      </c>
      <c r="K21" s="176">
        <v>0</v>
      </c>
      <c r="L21" s="176">
        <v>0</v>
      </c>
      <c r="M21" s="176">
        <v>0</v>
      </c>
      <c r="N21" s="176">
        <v>0</v>
      </c>
      <c r="O21" s="176">
        <v>0</v>
      </c>
      <c r="P21" s="176">
        <v>10746764018</v>
      </c>
      <c r="Q21" s="176">
        <v>800675032</v>
      </c>
      <c r="R21" s="176">
        <v>1655236837</v>
      </c>
      <c r="S21" s="176">
        <v>479711</v>
      </c>
      <c r="T21" s="176">
        <v>8731276</v>
      </c>
      <c r="U21" s="176">
        <v>13224282</v>
      </c>
      <c r="V21" s="176">
        <v>5215546200</v>
      </c>
      <c r="W21" s="176">
        <v>0</v>
      </c>
      <c r="X21" s="176">
        <v>0</v>
      </c>
      <c r="Y21" s="176">
        <v>0</v>
      </c>
      <c r="Z21" s="176">
        <v>25574579</v>
      </c>
      <c r="AA21" s="176">
        <v>21600000</v>
      </c>
      <c r="AB21" s="176">
        <v>0</v>
      </c>
      <c r="AC21" s="176">
        <v>5220000</v>
      </c>
      <c r="AD21" s="176">
        <v>42318628</v>
      </c>
      <c r="AE21" s="176">
        <v>158899885</v>
      </c>
      <c r="AF21" s="176">
        <v>0</v>
      </c>
    </row>
    <row r="22" spans="2:32">
      <c r="B22" s="129" t="s">
        <v>10</v>
      </c>
      <c r="C22" s="133" t="s">
        <v>71</v>
      </c>
      <c r="D22" s="51" t="s">
        <v>200</v>
      </c>
      <c r="E22" s="65"/>
      <c r="F22" s="111"/>
      <c r="G22" s="155"/>
      <c r="H22" s="144">
        <f t="shared" si="1"/>
        <v>0</v>
      </c>
      <c r="I22" s="3"/>
      <c r="J22" s="3"/>
      <c r="K22" s="3"/>
      <c r="L22" s="3"/>
      <c r="M22" s="3"/>
      <c r="N22" s="3"/>
      <c r="O22" s="3"/>
      <c r="P22" s="3"/>
      <c r="Q22" s="3"/>
      <c r="R22" s="3"/>
      <c r="S22" s="3"/>
      <c r="T22" s="3"/>
      <c r="U22" s="3"/>
      <c r="V22" s="3"/>
      <c r="W22" s="3"/>
      <c r="X22" s="3"/>
      <c r="Y22" s="3"/>
      <c r="Z22" s="3"/>
      <c r="AA22" s="3"/>
      <c r="AB22" s="3"/>
      <c r="AC22" s="3"/>
      <c r="AD22" s="3"/>
      <c r="AE22" s="3"/>
      <c r="AF22" s="4"/>
    </row>
    <row r="23" spans="2:32" ht="31.5">
      <c r="B23" s="132" t="s">
        <v>11</v>
      </c>
      <c r="C23" s="134" t="s">
        <v>72</v>
      </c>
      <c r="D23" s="7"/>
      <c r="E23" s="65"/>
      <c r="F23" s="111"/>
      <c r="G23" s="156"/>
      <c r="H23" s="144"/>
      <c r="I23" s="3"/>
      <c r="J23" s="3"/>
      <c r="K23" s="3"/>
      <c r="L23" s="3"/>
      <c r="M23" s="3"/>
      <c r="N23" s="3"/>
      <c r="O23" s="3"/>
      <c r="P23" s="3"/>
      <c r="Q23" s="3"/>
      <c r="R23" s="3"/>
      <c r="S23" s="3"/>
      <c r="T23" s="3"/>
      <c r="U23" s="3"/>
      <c r="V23" s="3"/>
      <c r="W23" s="3"/>
      <c r="X23" s="3"/>
      <c r="Y23" s="3"/>
      <c r="Z23" s="3"/>
      <c r="AA23" s="3"/>
      <c r="AB23" s="3"/>
      <c r="AC23" s="3"/>
      <c r="AD23" s="3"/>
      <c r="AE23" s="3"/>
      <c r="AF23" s="4"/>
    </row>
    <row r="24" spans="2:32">
      <c r="B24" s="129" t="s">
        <v>12</v>
      </c>
      <c r="C24" s="130" t="s">
        <v>73</v>
      </c>
      <c r="D24" s="51" t="s">
        <v>361</v>
      </c>
      <c r="E24" s="65" t="s">
        <v>368</v>
      </c>
      <c r="F24" s="111" t="s">
        <v>369</v>
      </c>
      <c r="G24" s="175">
        <f>17500000+32500000</f>
        <v>50000000</v>
      </c>
      <c r="H24" s="144">
        <f>SUM(I24:AF24)</f>
        <v>17500000</v>
      </c>
      <c r="I24" s="176">
        <v>0</v>
      </c>
      <c r="J24" s="176">
        <v>0</v>
      </c>
      <c r="K24" s="176">
        <v>0</v>
      </c>
      <c r="L24" s="176">
        <v>0</v>
      </c>
      <c r="M24" s="176">
        <v>0</v>
      </c>
      <c r="N24" s="176">
        <v>0</v>
      </c>
      <c r="O24" s="176">
        <v>0</v>
      </c>
      <c r="P24" s="176">
        <v>0</v>
      </c>
      <c r="Q24" s="176">
        <v>7500000</v>
      </c>
      <c r="R24" s="176">
        <v>7500000</v>
      </c>
      <c r="S24" s="176">
        <v>0</v>
      </c>
      <c r="T24" s="176">
        <v>0</v>
      </c>
      <c r="U24" s="176">
        <v>0</v>
      </c>
      <c r="V24" s="176">
        <v>0</v>
      </c>
      <c r="W24" s="176">
        <v>0</v>
      </c>
      <c r="X24" s="176">
        <v>0</v>
      </c>
      <c r="Y24" s="176">
        <v>1000000</v>
      </c>
      <c r="Z24" s="176">
        <v>1500000</v>
      </c>
      <c r="AA24" s="176">
        <v>0</v>
      </c>
      <c r="AB24" s="176">
        <v>0</v>
      </c>
      <c r="AC24" s="176">
        <v>0</v>
      </c>
      <c r="AD24" s="176">
        <v>0</v>
      </c>
      <c r="AE24" s="176">
        <v>0</v>
      </c>
      <c r="AF24" s="176">
        <v>0</v>
      </c>
    </row>
    <row r="25" spans="2:32" ht="31.5">
      <c r="B25" s="129" t="s">
        <v>12</v>
      </c>
      <c r="C25" s="130" t="s">
        <v>73</v>
      </c>
      <c r="D25" s="51" t="s">
        <v>361</v>
      </c>
      <c r="E25" s="65" t="s">
        <v>370</v>
      </c>
      <c r="F25" s="111" t="s">
        <v>365</v>
      </c>
      <c r="G25" s="175">
        <f>1578491320+194557752</f>
        <v>1773049072</v>
      </c>
      <c r="H25" s="144">
        <f>SUM(I25:AF25)</f>
        <v>1578491320</v>
      </c>
      <c r="I25" s="176">
        <v>0</v>
      </c>
      <c r="J25" s="176">
        <v>0</v>
      </c>
      <c r="K25" s="176">
        <v>0</v>
      </c>
      <c r="L25" s="176">
        <v>0</v>
      </c>
      <c r="M25" s="176">
        <v>0</v>
      </c>
      <c r="N25" s="176">
        <v>0</v>
      </c>
      <c r="O25" s="176">
        <v>0</v>
      </c>
      <c r="P25" s="176">
        <v>1308000000</v>
      </c>
      <c r="Q25" s="176">
        <v>0</v>
      </c>
      <c r="R25" s="176">
        <v>0</v>
      </c>
      <c r="S25" s="176">
        <v>0</v>
      </c>
      <c r="T25" s="176">
        <v>0</v>
      </c>
      <c r="U25" s="176">
        <v>0</v>
      </c>
      <c r="V25" s="176">
        <v>0</v>
      </c>
      <c r="W25" s="176">
        <v>0</v>
      </c>
      <c r="X25" s="176">
        <v>0</v>
      </c>
      <c r="Y25" s="176">
        <v>0</v>
      </c>
      <c r="Z25" s="176">
        <v>0</v>
      </c>
      <c r="AA25" s="176">
        <v>0</v>
      </c>
      <c r="AB25" s="176">
        <v>34889254</v>
      </c>
      <c r="AC25" s="176">
        <v>92026972</v>
      </c>
      <c r="AD25" s="176">
        <v>99463951</v>
      </c>
      <c r="AE25" s="176">
        <v>44111143</v>
      </c>
      <c r="AF25" s="176">
        <v>0</v>
      </c>
    </row>
    <row r="26" spans="2:32" ht="31.5">
      <c r="B26" s="129" t="s">
        <v>13</v>
      </c>
      <c r="C26" s="130" t="s">
        <v>74</v>
      </c>
      <c r="D26" s="51" t="s">
        <v>361</v>
      </c>
      <c r="E26" s="65" t="s">
        <v>371</v>
      </c>
      <c r="F26" s="111" t="s">
        <v>372</v>
      </c>
      <c r="G26" s="175">
        <f>14250125+17546375</f>
        <v>31796500</v>
      </c>
      <c r="H26" s="144">
        <f t="shared" si="1"/>
        <v>14250125</v>
      </c>
      <c r="I26" s="176">
        <v>0</v>
      </c>
      <c r="J26" s="176">
        <v>0</v>
      </c>
      <c r="K26" s="176">
        <v>0</v>
      </c>
      <c r="L26" s="176">
        <v>0</v>
      </c>
      <c r="M26" s="176">
        <v>0</v>
      </c>
      <c r="N26" s="176">
        <v>0</v>
      </c>
      <c r="O26" s="176">
        <v>0</v>
      </c>
      <c r="P26" s="176">
        <v>0</v>
      </c>
      <c r="Q26" s="176">
        <v>0</v>
      </c>
      <c r="R26" s="176">
        <v>0</v>
      </c>
      <c r="S26" s="176">
        <v>0</v>
      </c>
      <c r="T26" s="176">
        <v>0</v>
      </c>
      <c r="U26" s="176">
        <v>0</v>
      </c>
      <c r="V26" s="176">
        <v>0</v>
      </c>
      <c r="W26" s="176">
        <v>2250125</v>
      </c>
      <c r="X26" s="176">
        <v>0</v>
      </c>
      <c r="Y26" s="176">
        <v>0</v>
      </c>
      <c r="Z26" s="176">
        <v>0</v>
      </c>
      <c r="AA26" s="176">
        <v>0</v>
      </c>
      <c r="AB26" s="176">
        <v>0</v>
      </c>
      <c r="AC26" s="176">
        <v>0</v>
      </c>
      <c r="AD26" s="176">
        <v>0</v>
      </c>
      <c r="AE26" s="176">
        <v>12000000</v>
      </c>
      <c r="AF26" s="176">
        <v>0</v>
      </c>
    </row>
    <row r="27" spans="2:32">
      <c r="B27" s="129" t="s">
        <v>14</v>
      </c>
      <c r="C27" s="130" t="s">
        <v>75</v>
      </c>
      <c r="D27" s="51" t="s">
        <v>200</v>
      </c>
      <c r="E27" s="65"/>
      <c r="F27" s="111"/>
      <c r="G27" s="155"/>
      <c r="H27" s="144">
        <f t="shared" si="1"/>
        <v>0</v>
      </c>
      <c r="I27" s="3"/>
      <c r="J27" s="3"/>
      <c r="K27" s="3"/>
      <c r="L27" s="3"/>
      <c r="M27" s="3"/>
      <c r="N27" s="3"/>
      <c r="O27" s="3"/>
      <c r="P27" s="3"/>
      <c r="Q27" s="3"/>
      <c r="R27" s="3"/>
      <c r="S27" s="3"/>
      <c r="T27" s="3"/>
      <c r="U27" s="3"/>
      <c r="V27" s="3"/>
      <c r="W27" s="3"/>
      <c r="X27" s="3"/>
      <c r="Y27" s="3"/>
      <c r="Z27" s="3"/>
      <c r="AA27" s="3"/>
      <c r="AB27" s="3"/>
      <c r="AC27" s="3"/>
      <c r="AD27" s="3"/>
      <c r="AE27" s="3"/>
      <c r="AF27" s="4"/>
    </row>
    <row r="28" spans="2:32">
      <c r="B28" s="127" t="s">
        <v>15</v>
      </c>
      <c r="C28" s="128" t="s">
        <v>76</v>
      </c>
      <c r="D28" s="7"/>
      <c r="E28" s="65"/>
      <c r="F28" s="111"/>
      <c r="G28" s="156"/>
      <c r="H28" s="144"/>
      <c r="I28" s="3"/>
      <c r="J28" s="3"/>
      <c r="K28" s="3"/>
      <c r="L28" s="3"/>
      <c r="M28" s="3"/>
      <c r="N28" s="3"/>
      <c r="O28" s="3"/>
      <c r="P28" s="3"/>
      <c r="Q28" s="3"/>
      <c r="R28" s="3"/>
      <c r="S28" s="3"/>
      <c r="T28" s="3"/>
      <c r="U28" s="3"/>
      <c r="V28" s="3"/>
      <c r="W28" s="3"/>
      <c r="X28" s="3"/>
      <c r="Y28" s="3"/>
      <c r="Z28" s="3"/>
      <c r="AA28" s="3"/>
      <c r="AB28" s="3"/>
      <c r="AC28" s="3"/>
      <c r="AD28" s="3"/>
      <c r="AE28" s="3"/>
      <c r="AF28" s="4"/>
    </row>
    <row r="29" spans="2:32" ht="31.5">
      <c r="B29" s="129" t="s">
        <v>16</v>
      </c>
      <c r="C29" s="133" t="s">
        <v>77</v>
      </c>
      <c r="D29" s="51" t="s">
        <v>361</v>
      </c>
      <c r="E29" s="65" t="s">
        <v>373</v>
      </c>
      <c r="F29" s="111" t="s">
        <v>374</v>
      </c>
      <c r="G29" s="175">
        <f>10599912525+1157003868</f>
        <v>11756916393</v>
      </c>
      <c r="H29" s="144">
        <f t="shared" si="1"/>
        <v>10599912525</v>
      </c>
      <c r="I29" s="176">
        <v>747787</v>
      </c>
      <c r="J29" s="176">
        <v>3881838</v>
      </c>
      <c r="K29" s="176">
        <v>0</v>
      </c>
      <c r="L29" s="176">
        <v>0</v>
      </c>
      <c r="M29" s="176">
        <v>956622863</v>
      </c>
      <c r="N29" s="176">
        <v>21718756</v>
      </c>
      <c r="O29" s="176">
        <v>0</v>
      </c>
      <c r="P29" s="176">
        <v>708493589</v>
      </c>
      <c r="Q29" s="176">
        <f>2387637377+100000000</f>
        <v>2487637377</v>
      </c>
      <c r="R29" s="176">
        <v>2861896315</v>
      </c>
      <c r="S29" s="176">
        <v>355410187</v>
      </c>
      <c r="T29" s="176">
        <v>229968</v>
      </c>
      <c r="U29" s="176">
        <v>79239138</v>
      </c>
      <c r="V29" s="176">
        <v>2217989555</v>
      </c>
      <c r="W29" s="176">
        <v>0</v>
      </c>
      <c r="X29" s="176">
        <v>196513130</v>
      </c>
      <c r="Y29" s="176">
        <v>0</v>
      </c>
      <c r="Z29" s="176">
        <v>1628723</v>
      </c>
      <c r="AA29" s="176">
        <v>92234885</v>
      </c>
      <c r="AB29" s="176">
        <v>60079454</v>
      </c>
      <c r="AC29" s="176">
        <v>237467602</v>
      </c>
      <c r="AD29" s="176">
        <v>253126607</v>
      </c>
      <c r="AE29" s="176">
        <v>64994751</v>
      </c>
      <c r="AF29" s="176">
        <v>0</v>
      </c>
    </row>
    <row r="30" spans="2:32">
      <c r="B30" s="129" t="s">
        <v>17</v>
      </c>
      <c r="C30" s="133" t="s">
        <v>78</v>
      </c>
      <c r="D30" s="51" t="s">
        <v>200</v>
      </c>
      <c r="E30" s="65"/>
      <c r="F30" s="111"/>
      <c r="G30" s="155"/>
      <c r="H30" s="144">
        <f t="shared" si="1"/>
        <v>0</v>
      </c>
      <c r="I30" s="3"/>
      <c r="J30" s="3"/>
      <c r="K30" s="3"/>
      <c r="L30" s="3"/>
      <c r="M30" s="3"/>
      <c r="N30" s="3"/>
      <c r="O30" s="3"/>
      <c r="P30" s="3"/>
      <c r="Q30" s="3"/>
      <c r="R30" s="3"/>
      <c r="S30" s="3"/>
      <c r="T30" s="3"/>
      <c r="U30" s="3"/>
      <c r="V30" s="3"/>
      <c r="W30" s="3"/>
      <c r="X30" s="3"/>
      <c r="Y30" s="3"/>
      <c r="Z30" s="3"/>
      <c r="AA30" s="3"/>
      <c r="AB30" s="3"/>
      <c r="AC30" s="3"/>
      <c r="AD30" s="3"/>
      <c r="AE30" s="3"/>
      <c r="AF30" s="4"/>
    </row>
    <row r="31" spans="2:32" ht="31.5">
      <c r="B31" s="129" t="s">
        <v>18</v>
      </c>
      <c r="C31" s="133" t="s">
        <v>126</v>
      </c>
      <c r="D31" s="51" t="s">
        <v>200</v>
      </c>
      <c r="E31" s="65"/>
      <c r="F31" s="111"/>
      <c r="G31" s="156"/>
      <c r="H31" s="144">
        <f t="shared" si="1"/>
        <v>0</v>
      </c>
      <c r="I31" s="3"/>
      <c r="J31" s="3"/>
      <c r="K31" s="3"/>
      <c r="L31" s="3"/>
      <c r="M31" s="3"/>
      <c r="N31" s="3"/>
      <c r="O31" s="3"/>
      <c r="P31" s="3"/>
      <c r="Q31" s="3"/>
      <c r="R31" s="3"/>
      <c r="S31" s="3"/>
      <c r="T31" s="3"/>
      <c r="U31" s="3"/>
      <c r="V31" s="3"/>
      <c r="W31" s="3"/>
      <c r="X31" s="3"/>
      <c r="Y31" s="3"/>
      <c r="Z31" s="3"/>
      <c r="AA31" s="3"/>
      <c r="AB31" s="3"/>
      <c r="AC31" s="3"/>
      <c r="AD31" s="3"/>
      <c r="AE31" s="3"/>
      <c r="AF31" s="4"/>
    </row>
    <row r="32" spans="2:32" ht="31.5">
      <c r="B32" s="129" t="s">
        <v>19</v>
      </c>
      <c r="C32" s="131" t="s">
        <v>127</v>
      </c>
      <c r="D32" s="51" t="s">
        <v>200</v>
      </c>
      <c r="E32" s="65"/>
      <c r="F32" s="111"/>
      <c r="G32" s="155"/>
      <c r="H32" s="144">
        <v>0</v>
      </c>
      <c r="I32" s="3"/>
      <c r="J32" s="3"/>
      <c r="K32" s="3"/>
      <c r="L32" s="3"/>
      <c r="M32" s="3"/>
      <c r="N32" s="3"/>
      <c r="O32" s="3"/>
      <c r="P32" s="3"/>
      <c r="Q32" s="3"/>
      <c r="R32" s="3"/>
      <c r="S32" s="3"/>
      <c r="T32" s="3"/>
      <c r="U32" s="3"/>
      <c r="V32" s="3"/>
      <c r="W32" s="3"/>
      <c r="X32" s="3"/>
      <c r="Y32" s="3"/>
      <c r="Z32" s="3"/>
      <c r="AA32" s="3"/>
      <c r="AB32" s="3"/>
      <c r="AC32" s="3"/>
      <c r="AD32" s="3"/>
      <c r="AE32" s="3"/>
      <c r="AF32" s="4"/>
    </row>
    <row r="33" spans="2:32">
      <c r="B33" s="135"/>
      <c r="C33" s="136"/>
      <c r="D33" s="7"/>
      <c r="E33" s="65"/>
      <c r="F33" s="111"/>
      <c r="G33" s="155"/>
      <c r="H33" s="144"/>
      <c r="I33" s="3"/>
      <c r="J33" s="3"/>
      <c r="K33" s="3"/>
      <c r="L33" s="3"/>
      <c r="M33" s="3"/>
      <c r="N33" s="3"/>
      <c r="O33" s="3"/>
      <c r="P33" s="3"/>
      <c r="Q33" s="3"/>
      <c r="R33" s="3"/>
      <c r="S33" s="3"/>
      <c r="T33" s="3"/>
      <c r="U33" s="3"/>
      <c r="V33" s="3"/>
      <c r="W33" s="3"/>
      <c r="X33" s="3"/>
      <c r="Y33" s="3"/>
      <c r="Z33" s="3"/>
      <c r="AA33" s="3"/>
      <c r="AB33" s="3"/>
      <c r="AC33" s="3"/>
      <c r="AD33" s="3"/>
      <c r="AE33" s="3"/>
      <c r="AF33" s="4"/>
    </row>
    <row r="34" spans="2:32">
      <c r="B34" s="137" t="s">
        <v>20</v>
      </c>
      <c r="C34" s="126" t="s">
        <v>79</v>
      </c>
      <c r="D34" s="6"/>
      <c r="E34" s="65"/>
      <c r="F34" s="111"/>
      <c r="G34" s="155"/>
      <c r="H34" s="144"/>
      <c r="I34" s="3"/>
      <c r="J34" s="3"/>
      <c r="K34" s="3"/>
      <c r="L34" s="3"/>
      <c r="M34" s="3"/>
      <c r="N34" s="3"/>
      <c r="O34" s="3"/>
      <c r="P34" s="3"/>
      <c r="Q34" s="3"/>
      <c r="R34" s="3"/>
      <c r="S34" s="3"/>
      <c r="T34" s="3"/>
      <c r="U34" s="3"/>
      <c r="V34" s="3"/>
      <c r="W34" s="3"/>
      <c r="X34" s="3"/>
      <c r="Y34" s="3"/>
      <c r="Z34" s="3"/>
      <c r="AA34" s="3"/>
      <c r="AB34" s="3"/>
      <c r="AC34" s="3"/>
      <c r="AD34" s="3"/>
      <c r="AE34" s="3"/>
      <c r="AF34" s="4"/>
    </row>
    <row r="35" spans="2:32">
      <c r="B35" s="129" t="s">
        <v>21</v>
      </c>
      <c r="C35" s="131" t="s">
        <v>80</v>
      </c>
      <c r="D35" s="51" t="s">
        <v>361</v>
      </c>
      <c r="E35" s="65" t="s">
        <v>375</v>
      </c>
      <c r="F35" s="111" t="s">
        <v>376</v>
      </c>
      <c r="G35" s="175">
        <f>441858660+83909379</f>
        <v>525768039</v>
      </c>
      <c r="H35" s="144">
        <f t="shared" si="1"/>
        <v>441858660</v>
      </c>
      <c r="I35" s="176">
        <v>4980948</v>
      </c>
      <c r="J35" s="176">
        <v>8636372</v>
      </c>
      <c r="K35" s="176">
        <v>0</v>
      </c>
      <c r="L35" s="176">
        <v>272160</v>
      </c>
      <c r="M35" s="176">
        <v>0</v>
      </c>
      <c r="N35" s="176">
        <v>0</v>
      </c>
      <c r="O35" s="176">
        <v>0</v>
      </c>
      <c r="P35" s="176">
        <v>34374006</v>
      </c>
      <c r="Q35" s="176">
        <v>30514831</v>
      </c>
      <c r="R35" s="176">
        <v>90560092</v>
      </c>
      <c r="S35" s="176">
        <v>26656182</v>
      </c>
      <c r="T35" s="176">
        <v>7781160</v>
      </c>
      <c r="U35" s="176">
        <v>135321816</v>
      </c>
      <c r="V35" s="176">
        <v>12492636</v>
      </c>
      <c r="W35" s="176">
        <v>4850497</v>
      </c>
      <c r="X35" s="176">
        <v>9596696</v>
      </c>
      <c r="Y35" s="176">
        <v>12423532</v>
      </c>
      <c r="Z35" s="176">
        <v>6116040</v>
      </c>
      <c r="AA35" s="176">
        <v>2844072</v>
      </c>
      <c r="AB35" s="176">
        <v>9379727</v>
      </c>
      <c r="AC35" s="176">
        <v>16386476</v>
      </c>
      <c r="AD35" s="176">
        <v>12511427</v>
      </c>
      <c r="AE35" s="176">
        <v>14988190</v>
      </c>
      <c r="AF35" s="176">
        <v>1171800</v>
      </c>
    </row>
    <row r="36" spans="2:32" ht="31.5">
      <c r="B36" s="129" t="s">
        <v>21</v>
      </c>
      <c r="C36" s="131" t="s">
        <v>80</v>
      </c>
      <c r="D36" s="51" t="s">
        <v>217</v>
      </c>
      <c r="E36" s="65" t="s">
        <v>375</v>
      </c>
      <c r="F36" s="111" t="s">
        <v>377</v>
      </c>
      <c r="G36" s="175">
        <v>2174624595</v>
      </c>
      <c r="H36" s="144">
        <f t="shared" si="1"/>
        <v>2174624595</v>
      </c>
      <c r="I36" s="176">
        <v>37853110</v>
      </c>
      <c r="J36" s="176">
        <v>19254089</v>
      </c>
      <c r="K36" s="176">
        <v>0</v>
      </c>
      <c r="L36" s="176">
        <v>1295360</v>
      </c>
      <c r="M36" s="176">
        <v>0</v>
      </c>
      <c r="N36" s="176">
        <v>0</v>
      </c>
      <c r="O36" s="176">
        <v>0</v>
      </c>
      <c r="P36" s="176">
        <v>202526720</v>
      </c>
      <c r="Q36" s="176">
        <v>129129946</v>
      </c>
      <c r="R36" s="176">
        <v>263886964</v>
      </c>
      <c r="S36" s="176">
        <v>146976872</v>
      </c>
      <c r="T36" s="176">
        <v>34498498</v>
      </c>
      <c r="U36" s="176">
        <v>1006975008</v>
      </c>
      <c r="V36" s="176">
        <v>60545230</v>
      </c>
      <c r="W36" s="176">
        <v>17438860</v>
      </c>
      <c r="X36" s="176">
        <v>20960145</v>
      </c>
      <c r="Y36" s="176">
        <v>16711632</v>
      </c>
      <c r="Z36" s="176">
        <v>28873633</v>
      </c>
      <c r="AA36" s="176">
        <v>22239201</v>
      </c>
      <c r="AB36" s="176">
        <v>29300904</v>
      </c>
      <c r="AC36" s="176">
        <v>54826378</v>
      </c>
      <c r="AD36" s="176">
        <v>38859047</v>
      </c>
      <c r="AE36" s="176">
        <v>42472998</v>
      </c>
      <c r="AF36" s="176">
        <v>0</v>
      </c>
    </row>
    <row r="37" spans="2:32">
      <c r="B37" s="135"/>
      <c r="C37" s="138"/>
      <c r="D37" s="7"/>
      <c r="E37" s="65"/>
      <c r="F37" s="111"/>
      <c r="G37" s="155"/>
      <c r="H37" s="144"/>
      <c r="I37" s="3"/>
      <c r="J37" s="3"/>
      <c r="K37" s="3"/>
      <c r="L37" s="3"/>
      <c r="M37" s="3"/>
      <c r="N37" s="3"/>
      <c r="O37" s="3"/>
      <c r="P37" s="3"/>
      <c r="Q37" s="3"/>
      <c r="R37" s="3"/>
      <c r="S37" s="3"/>
      <c r="T37" s="3"/>
      <c r="U37" s="3"/>
      <c r="V37" s="3"/>
      <c r="W37" s="3"/>
      <c r="X37" s="3"/>
      <c r="Y37" s="3"/>
      <c r="Z37" s="3"/>
      <c r="AA37" s="3"/>
      <c r="AB37" s="3"/>
      <c r="AC37" s="3"/>
      <c r="AD37" s="3"/>
      <c r="AE37" s="3"/>
      <c r="AF37" s="4"/>
    </row>
    <row r="38" spans="2:32">
      <c r="B38" s="137" t="s">
        <v>22</v>
      </c>
      <c r="C38" s="126" t="s">
        <v>81</v>
      </c>
      <c r="D38" s="7"/>
      <c r="E38" s="65"/>
      <c r="F38" s="111"/>
      <c r="G38" s="155"/>
      <c r="H38" s="144"/>
      <c r="I38" s="3"/>
      <c r="J38" s="3"/>
      <c r="K38" s="3"/>
      <c r="L38" s="3"/>
      <c r="M38" s="3"/>
      <c r="N38" s="3"/>
      <c r="O38" s="3"/>
      <c r="P38" s="3"/>
      <c r="Q38" s="3"/>
      <c r="R38" s="3"/>
      <c r="S38" s="3"/>
      <c r="T38" s="3"/>
      <c r="U38" s="3"/>
      <c r="V38" s="3"/>
      <c r="W38" s="3"/>
      <c r="X38" s="3"/>
      <c r="Y38" s="3"/>
      <c r="Z38" s="3"/>
      <c r="AA38" s="3"/>
      <c r="AB38" s="3"/>
      <c r="AC38" s="3"/>
      <c r="AD38" s="3"/>
      <c r="AE38" s="3"/>
      <c r="AF38" s="4"/>
    </row>
    <row r="39" spans="2:32">
      <c r="B39" s="132" t="s">
        <v>23</v>
      </c>
      <c r="C39" s="128" t="s">
        <v>82</v>
      </c>
      <c r="D39" s="7"/>
      <c r="E39" s="65"/>
      <c r="F39" s="111"/>
      <c r="G39" s="155"/>
      <c r="H39" s="144"/>
      <c r="I39" s="3"/>
      <c r="J39" s="3"/>
      <c r="K39" s="3"/>
      <c r="L39" s="3"/>
      <c r="M39" s="3"/>
      <c r="N39" s="3"/>
      <c r="O39" s="3"/>
      <c r="P39" s="3"/>
      <c r="Q39" s="3"/>
      <c r="R39" s="3"/>
      <c r="S39" s="3"/>
      <c r="T39" s="3"/>
      <c r="U39" s="3"/>
      <c r="V39" s="3"/>
      <c r="W39" s="3"/>
      <c r="X39" s="3"/>
      <c r="Y39" s="3"/>
      <c r="Z39" s="3"/>
      <c r="AA39" s="3"/>
      <c r="AB39" s="3"/>
      <c r="AC39" s="3"/>
      <c r="AD39" s="3"/>
      <c r="AE39" s="3"/>
      <c r="AF39" s="4"/>
    </row>
    <row r="40" spans="2:32">
      <c r="B40" s="132" t="s">
        <v>24</v>
      </c>
      <c r="C40" s="134" t="s">
        <v>83</v>
      </c>
      <c r="D40" s="7"/>
      <c r="E40" s="65"/>
      <c r="F40" s="111"/>
      <c r="G40" s="156"/>
      <c r="H40" s="144"/>
      <c r="I40" s="3"/>
      <c r="J40" s="3"/>
      <c r="K40" s="3"/>
      <c r="L40" s="3"/>
      <c r="M40" s="3"/>
      <c r="N40" s="3"/>
      <c r="O40" s="3"/>
      <c r="P40" s="3"/>
      <c r="Q40" s="3"/>
      <c r="R40" s="3"/>
      <c r="S40" s="3"/>
      <c r="T40" s="3"/>
      <c r="U40" s="3"/>
      <c r="V40" s="3"/>
      <c r="W40" s="3"/>
      <c r="X40" s="3"/>
      <c r="Y40" s="3"/>
      <c r="Z40" s="3"/>
      <c r="AA40" s="3"/>
      <c r="AB40" s="3"/>
      <c r="AC40" s="3"/>
      <c r="AD40" s="3"/>
      <c r="AE40" s="3"/>
      <c r="AF40" s="4"/>
    </row>
    <row r="41" spans="2:32">
      <c r="B41" s="129" t="s">
        <v>25</v>
      </c>
      <c r="C41" s="130" t="s">
        <v>84</v>
      </c>
      <c r="D41" s="51" t="s">
        <v>200</v>
      </c>
      <c r="E41" s="65"/>
      <c r="F41" s="111"/>
      <c r="G41" s="155"/>
      <c r="H41" s="144">
        <f t="shared" si="1"/>
        <v>0</v>
      </c>
      <c r="I41" s="3"/>
      <c r="J41" s="3"/>
      <c r="K41" s="3"/>
      <c r="L41" s="3"/>
      <c r="M41" s="3"/>
      <c r="N41" s="3"/>
      <c r="O41" s="3"/>
      <c r="P41" s="3"/>
      <c r="Q41" s="3"/>
      <c r="R41" s="3"/>
      <c r="S41" s="3"/>
      <c r="T41" s="3"/>
      <c r="U41" s="3"/>
      <c r="V41" s="3"/>
      <c r="W41" s="3"/>
      <c r="X41" s="3"/>
      <c r="Y41" s="3"/>
      <c r="Z41" s="3"/>
      <c r="AA41" s="3"/>
      <c r="AB41" s="3"/>
      <c r="AC41" s="3"/>
      <c r="AD41" s="3"/>
      <c r="AE41" s="3"/>
      <c r="AF41" s="4"/>
    </row>
    <row r="42" spans="2:32">
      <c r="B42" s="129" t="s">
        <v>26</v>
      </c>
      <c r="C42" s="130" t="s">
        <v>128</v>
      </c>
      <c r="D42" s="51" t="s">
        <v>200</v>
      </c>
      <c r="E42" s="65"/>
      <c r="F42" s="111"/>
      <c r="G42" s="155"/>
      <c r="H42" s="144">
        <f t="shared" si="1"/>
        <v>0</v>
      </c>
      <c r="I42" s="3"/>
      <c r="J42" s="3"/>
      <c r="K42" s="3"/>
      <c r="L42" s="3"/>
      <c r="M42" s="3"/>
      <c r="N42" s="3"/>
      <c r="O42" s="3"/>
      <c r="P42" s="3"/>
      <c r="Q42" s="3"/>
      <c r="R42" s="3"/>
      <c r="S42" s="3"/>
      <c r="T42" s="3"/>
      <c r="U42" s="3"/>
      <c r="V42" s="3"/>
      <c r="W42" s="3"/>
      <c r="X42" s="3"/>
      <c r="Y42" s="3"/>
      <c r="Z42" s="3"/>
      <c r="AA42" s="3"/>
      <c r="AB42" s="3"/>
      <c r="AC42" s="3"/>
      <c r="AD42" s="3"/>
      <c r="AE42" s="3"/>
      <c r="AF42" s="4"/>
    </row>
    <row r="43" spans="2:32">
      <c r="B43" s="129" t="s">
        <v>27</v>
      </c>
      <c r="C43" s="133" t="s">
        <v>85</v>
      </c>
      <c r="D43" s="51" t="s">
        <v>200</v>
      </c>
      <c r="E43" s="65"/>
      <c r="F43" s="111"/>
      <c r="G43" s="156"/>
      <c r="H43" s="144">
        <f t="shared" si="1"/>
        <v>0</v>
      </c>
      <c r="I43" s="3"/>
      <c r="J43" s="3"/>
      <c r="K43" s="3"/>
      <c r="L43" s="3"/>
      <c r="M43" s="3"/>
      <c r="N43" s="3"/>
      <c r="O43" s="3"/>
      <c r="P43" s="3"/>
      <c r="Q43" s="3"/>
      <c r="R43" s="3"/>
      <c r="S43" s="3"/>
      <c r="T43" s="3"/>
      <c r="U43" s="3"/>
      <c r="V43" s="3"/>
      <c r="W43" s="3"/>
      <c r="X43" s="3"/>
      <c r="Y43" s="3"/>
      <c r="Z43" s="3"/>
      <c r="AA43" s="3"/>
      <c r="AB43" s="3"/>
      <c r="AC43" s="3"/>
      <c r="AD43" s="3"/>
      <c r="AE43" s="3"/>
      <c r="AF43" s="4"/>
    </row>
    <row r="44" spans="2:32">
      <c r="B44" s="132" t="s">
        <v>28</v>
      </c>
      <c r="C44" s="134" t="s">
        <v>86</v>
      </c>
      <c r="D44" s="6"/>
      <c r="E44" s="65"/>
      <c r="F44" s="111"/>
      <c r="G44" s="155"/>
      <c r="H44" s="144"/>
      <c r="I44" s="3"/>
      <c r="J44" s="3"/>
      <c r="K44" s="3"/>
      <c r="L44" s="3"/>
      <c r="M44" s="3"/>
      <c r="N44" s="3"/>
      <c r="O44" s="3"/>
      <c r="P44" s="3"/>
      <c r="Q44" s="3"/>
      <c r="R44" s="3"/>
      <c r="S44" s="3"/>
      <c r="T44" s="3"/>
      <c r="U44" s="3"/>
      <c r="V44" s="3"/>
      <c r="W44" s="3"/>
      <c r="X44" s="3"/>
      <c r="Y44" s="3"/>
      <c r="Z44" s="3"/>
      <c r="AA44" s="3"/>
      <c r="AB44" s="3"/>
      <c r="AC44" s="3"/>
      <c r="AD44" s="3"/>
      <c r="AE44" s="3"/>
      <c r="AF44" s="4"/>
    </row>
    <row r="45" spans="2:32">
      <c r="B45" s="129" t="s">
        <v>29</v>
      </c>
      <c r="C45" s="130" t="s">
        <v>87</v>
      </c>
      <c r="D45" s="51" t="s">
        <v>361</v>
      </c>
      <c r="E45" s="65" t="s">
        <v>378</v>
      </c>
      <c r="F45" s="111" t="s">
        <v>369</v>
      </c>
      <c r="G45" s="175">
        <f>9667334020+281054785</f>
        <v>9948388805</v>
      </c>
      <c r="H45" s="175">
        <f t="shared" ref="H45:H48" si="2">SUM(I45:AF45)</f>
        <v>9667334020</v>
      </c>
      <c r="I45" s="176">
        <v>0</v>
      </c>
      <c r="J45" s="176">
        <v>0</v>
      </c>
      <c r="K45" s="176">
        <v>0</v>
      </c>
      <c r="L45" s="176">
        <v>0</v>
      </c>
      <c r="M45" s="176">
        <v>0</v>
      </c>
      <c r="N45" s="176">
        <v>0</v>
      </c>
      <c r="O45" s="176">
        <v>0</v>
      </c>
      <c r="P45" s="176">
        <v>1013234346</v>
      </c>
      <c r="Q45" s="176">
        <v>6622064739</v>
      </c>
      <c r="R45" s="176">
        <v>870123638</v>
      </c>
      <c r="S45" s="176">
        <v>324846204</v>
      </c>
      <c r="T45" s="176">
        <v>128182204</v>
      </c>
      <c r="U45" s="176">
        <v>0</v>
      </c>
      <c r="V45" s="176">
        <v>0</v>
      </c>
      <c r="W45" s="176">
        <v>0</v>
      </c>
      <c r="X45" s="176">
        <v>0</v>
      </c>
      <c r="Y45" s="176">
        <v>0</v>
      </c>
      <c r="Z45" s="176">
        <v>376324889</v>
      </c>
      <c r="AA45" s="176">
        <v>0</v>
      </c>
      <c r="AB45" s="176">
        <v>97600000</v>
      </c>
      <c r="AC45" s="176">
        <v>155000000</v>
      </c>
      <c r="AD45" s="176">
        <v>44354000</v>
      </c>
      <c r="AE45" s="176">
        <v>35604000</v>
      </c>
      <c r="AF45" s="177">
        <v>0</v>
      </c>
    </row>
    <row r="46" spans="2:32">
      <c r="B46" s="129" t="s">
        <v>29</v>
      </c>
      <c r="C46" s="130" t="s">
        <v>87</v>
      </c>
      <c r="D46" s="51" t="s">
        <v>361</v>
      </c>
      <c r="E46" s="65" t="s">
        <v>379</v>
      </c>
      <c r="F46" s="111" t="s">
        <v>380</v>
      </c>
      <c r="G46" s="175">
        <f>284829091+17235575</f>
        <v>302064666</v>
      </c>
      <c r="H46" s="175">
        <f t="shared" si="2"/>
        <v>284829091</v>
      </c>
      <c r="I46" s="176">
        <v>0</v>
      </c>
      <c r="J46" s="176">
        <v>2622268</v>
      </c>
      <c r="K46" s="176">
        <v>0</v>
      </c>
      <c r="L46" s="176">
        <v>31677384</v>
      </c>
      <c r="M46" s="176">
        <v>61550875</v>
      </c>
      <c r="N46" s="176">
        <v>106680231</v>
      </c>
      <c r="O46" s="176">
        <v>82298333</v>
      </c>
      <c r="P46" s="176">
        <v>0</v>
      </c>
      <c r="Q46" s="176">
        <v>0</v>
      </c>
      <c r="R46" s="176">
        <v>0</v>
      </c>
      <c r="S46" s="176">
        <v>0</v>
      </c>
      <c r="T46" s="176">
        <v>0</v>
      </c>
      <c r="U46" s="176">
        <v>0</v>
      </c>
      <c r="V46" s="176">
        <v>0</v>
      </c>
      <c r="W46" s="176">
        <v>0</v>
      </c>
      <c r="X46" s="176">
        <v>0</v>
      </c>
      <c r="Y46" s="176">
        <v>0</v>
      </c>
      <c r="Z46" s="176">
        <v>0</v>
      </c>
      <c r="AA46" s="176">
        <v>0</v>
      </c>
      <c r="AB46" s="176">
        <v>0</v>
      </c>
      <c r="AC46" s="176">
        <v>0</v>
      </c>
      <c r="AD46" s="176">
        <v>0</v>
      </c>
      <c r="AE46" s="176">
        <v>0</v>
      </c>
      <c r="AF46" s="177">
        <v>0</v>
      </c>
    </row>
    <row r="47" spans="2:32" ht="31.5">
      <c r="B47" s="129" t="s">
        <v>29</v>
      </c>
      <c r="C47" s="130" t="s">
        <v>87</v>
      </c>
      <c r="D47" s="51" t="s">
        <v>361</v>
      </c>
      <c r="E47" s="65" t="s">
        <v>381</v>
      </c>
      <c r="F47" s="111" t="s">
        <v>382</v>
      </c>
      <c r="G47" s="175">
        <f>57328400+9442720</f>
        <v>66771120</v>
      </c>
      <c r="H47" s="175">
        <f t="shared" si="2"/>
        <v>57328400</v>
      </c>
      <c r="I47" s="176">
        <v>0</v>
      </c>
      <c r="J47" s="176">
        <v>0</v>
      </c>
      <c r="K47" s="176">
        <v>0</v>
      </c>
      <c r="L47" s="176">
        <v>0</v>
      </c>
      <c r="M47" s="176">
        <v>0</v>
      </c>
      <c r="N47" s="176">
        <v>0</v>
      </c>
      <c r="O47" s="176">
        <v>0</v>
      </c>
      <c r="P47" s="176">
        <v>9413650</v>
      </c>
      <c r="Q47" s="176">
        <v>0</v>
      </c>
      <c r="R47" s="176">
        <v>25405000</v>
      </c>
      <c r="S47" s="176">
        <v>0</v>
      </c>
      <c r="T47" s="176">
        <v>10485000</v>
      </c>
      <c r="U47" s="176">
        <v>0</v>
      </c>
      <c r="V47" s="176">
        <v>0</v>
      </c>
      <c r="W47" s="176">
        <v>0</v>
      </c>
      <c r="X47" s="176">
        <v>0</v>
      </c>
      <c r="Y47" s="176">
        <v>0</v>
      </c>
      <c r="Z47" s="176">
        <v>4000000</v>
      </c>
      <c r="AA47" s="176">
        <v>0</v>
      </c>
      <c r="AB47" s="176">
        <v>0</v>
      </c>
      <c r="AC47" s="176">
        <v>0</v>
      </c>
      <c r="AD47" s="176">
        <v>3473750</v>
      </c>
      <c r="AE47" s="176">
        <v>4551000</v>
      </c>
      <c r="AF47" s="177">
        <v>0</v>
      </c>
    </row>
    <row r="48" spans="2:32" ht="31.5">
      <c r="B48" s="129" t="s">
        <v>29</v>
      </c>
      <c r="C48" s="130" t="s">
        <v>87</v>
      </c>
      <c r="D48" s="51" t="s">
        <v>217</v>
      </c>
      <c r="E48" s="65" t="s">
        <v>383</v>
      </c>
      <c r="F48" s="111" t="s">
        <v>360</v>
      </c>
      <c r="G48" s="175">
        <v>43539000</v>
      </c>
      <c r="H48" s="175">
        <f t="shared" si="2"/>
        <v>43539000</v>
      </c>
      <c r="I48" s="176">
        <v>0</v>
      </c>
      <c r="J48" s="176">
        <v>0</v>
      </c>
      <c r="K48" s="176">
        <v>0</v>
      </c>
      <c r="L48" s="176">
        <v>0</v>
      </c>
      <c r="M48" s="176">
        <v>0</v>
      </c>
      <c r="N48" s="176">
        <v>0</v>
      </c>
      <c r="O48" s="176">
        <v>0</v>
      </c>
      <c r="P48" s="176">
        <v>43539000</v>
      </c>
      <c r="Q48" s="176">
        <v>0</v>
      </c>
      <c r="R48" s="176">
        <v>0</v>
      </c>
      <c r="S48" s="176">
        <v>0</v>
      </c>
      <c r="T48" s="176">
        <v>0</v>
      </c>
      <c r="U48" s="176">
        <v>0</v>
      </c>
      <c r="V48" s="176">
        <v>0</v>
      </c>
      <c r="W48" s="176">
        <v>0</v>
      </c>
      <c r="X48" s="176">
        <v>0</v>
      </c>
      <c r="Y48" s="176">
        <v>0</v>
      </c>
      <c r="Z48" s="176">
        <v>0</v>
      </c>
      <c r="AA48" s="176">
        <v>0</v>
      </c>
      <c r="AB48" s="176">
        <v>0</v>
      </c>
      <c r="AC48" s="176">
        <v>0</v>
      </c>
      <c r="AD48" s="176">
        <v>0</v>
      </c>
      <c r="AE48" s="176">
        <v>0</v>
      </c>
      <c r="AF48" s="177">
        <v>0</v>
      </c>
    </row>
    <row r="49" spans="2:32">
      <c r="B49" s="129" t="s">
        <v>30</v>
      </c>
      <c r="C49" s="130" t="s">
        <v>88</v>
      </c>
      <c r="D49" s="51" t="s">
        <v>200</v>
      </c>
      <c r="E49" s="65"/>
      <c r="F49" s="111"/>
      <c r="G49" s="156"/>
      <c r="H49" s="144">
        <f t="shared" si="1"/>
        <v>0</v>
      </c>
      <c r="I49" s="3"/>
      <c r="J49" s="3"/>
      <c r="K49" s="3"/>
      <c r="L49" s="3"/>
      <c r="M49" s="3"/>
      <c r="N49" s="3"/>
      <c r="O49" s="3"/>
      <c r="P49" s="3"/>
      <c r="Q49" s="3"/>
      <c r="R49" s="3"/>
      <c r="S49" s="3"/>
      <c r="T49" s="3"/>
      <c r="U49" s="3"/>
      <c r="V49" s="3"/>
      <c r="W49" s="3"/>
      <c r="X49" s="3"/>
      <c r="Y49" s="3"/>
      <c r="Z49" s="3"/>
      <c r="AA49" s="3"/>
      <c r="AB49" s="3"/>
      <c r="AC49" s="3"/>
      <c r="AD49" s="3"/>
      <c r="AE49" s="3"/>
      <c r="AF49" s="4"/>
    </row>
    <row r="50" spans="2:32" ht="31.5">
      <c r="B50" s="132" t="s">
        <v>204</v>
      </c>
      <c r="C50" s="139" t="s">
        <v>129</v>
      </c>
      <c r="D50" s="6"/>
      <c r="E50" s="65"/>
      <c r="F50" s="111"/>
      <c r="G50" s="155"/>
      <c r="H50" s="144"/>
      <c r="I50" s="3"/>
      <c r="J50" s="3"/>
      <c r="K50" s="3"/>
      <c r="L50" s="3"/>
      <c r="M50" s="3"/>
      <c r="N50" s="3"/>
      <c r="O50" s="3"/>
      <c r="P50" s="3"/>
      <c r="Q50" s="3"/>
      <c r="R50" s="3"/>
      <c r="S50" s="3"/>
      <c r="T50" s="3"/>
      <c r="U50" s="3"/>
      <c r="V50" s="3"/>
      <c r="W50" s="3"/>
      <c r="X50" s="3"/>
      <c r="Y50" s="3"/>
      <c r="Z50" s="3"/>
      <c r="AA50" s="3"/>
      <c r="AB50" s="3"/>
      <c r="AC50" s="3"/>
      <c r="AD50" s="3"/>
      <c r="AE50" s="3"/>
      <c r="AF50" s="4"/>
    </row>
    <row r="51" spans="2:32" ht="31.5">
      <c r="B51" s="129" t="s">
        <v>31</v>
      </c>
      <c r="C51" s="140" t="s">
        <v>89</v>
      </c>
      <c r="D51" s="51" t="s">
        <v>217</v>
      </c>
      <c r="E51" s="65" t="s">
        <v>385</v>
      </c>
      <c r="F51" s="111" t="s">
        <v>365</v>
      </c>
      <c r="G51" s="175">
        <v>321685475</v>
      </c>
      <c r="H51" s="144">
        <f t="shared" si="1"/>
        <v>321685475</v>
      </c>
      <c r="I51" s="176">
        <v>0</v>
      </c>
      <c r="J51" s="176">
        <v>321685475</v>
      </c>
      <c r="K51" s="176">
        <v>0</v>
      </c>
      <c r="L51" s="176">
        <v>0</v>
      </c>
      <c r="M51" s="176">
        <v>0</v>
      </c>
      <c r="N51" s="176">
        <v>0</v>
      </c>
      <c r="O51" s="176">
        <v>0</v>
      </c>
      <c r="P51" s="176">
        <v>0</v>
      </c>
      <c r="Q51" s="176">
        <v>0</v>
      </c>
      <c r="R51" s="176">
        <v>0</v>
      </c>
      <c r="S51" s="176">
        <v>0</v>
      </c>
      <c r="T51" s="176">
        <v>0</v>
      </c>
      <c r="U51" s="176">
        <v>0</v>
      </c>
      <c r="V51" s="176">
        <v>0</v>
      </c>
      <c r="W51" s="176">
        <v>0</v>
      </c>
      <c r="X51" s="176">
        <v>0</v>
      </c>
      <c r="Y51" s="176">
        <v>0</v>
      </c>
      <c r="Z51" s="176">
        <v>0</v>
      </c>
      <c r="AA51" s="176">
        <v>0</v>
      </c>
      <c r="AB51" s="176">
        <v>0</v>
      </c>
      <c r="AC51" s="176">
        <v>0</v>
      </c>
      <c r="AD51" s="176">
        <v>0</v>
      </c>
      <c r="AE51" s="176">
        <v>0</v>
      </c>
      <c r="AF51" s="177">
        <v>0</v>
      </c>
    </row>
    <row r="52" spans="2:32" ht="31.5">
      <c r="B52" s="129" t="s">
        <v>32</v>
      </c>
      <c r="C52" s="140" t="s">
        <v>130</v>
      </c>
      <c r="D52" s="51" t="s">
        <v>217</v>
      </c>
      <c r="E52" s="65" t="s">
        <v>386</v>
      </c>
      <c r="F52" s="111" t="s">
        <v>380</v>
      </c>
      <c r="G52" s="175">
        <v>497821649</v>
      </c>
      <c r="H52" s="144">
        <f t="shared" si="1"/>
        <v>497821649</v>
      </c>
      <c r="I52" s="176">
        <v>0</v>
      </c>
      <c r="J52" s="176">
        <v>497821649</v>
      </c>
      <c r="K52" s="176">
        <v>0</v>
      </c>
      <c r="L52" s="176">
        <v>0</v>
      </c>
      <c r="M52" s="176">
        <v>0</v>
      </c>
      <c r="N52" s="176">
        <v>0</v>
      </c>
      <c r="O52" s="176">
        <v>0</v>
      </c>
      <c r="P52" s="176">
        <v>0</v>
      </c>
      <c r="Q52" s="176">
        <v>0</v>
      </c>
      <c r="R52" s="176">
        <v>0</v>
      </c>
      <c r="S52" s="176">
        <v>0</v>
      </c>
      <c r="T52" s="176">
        <v>0</v>
      </c>
      <c r="U52" s="176">
        <v>0</v>
      </c>
      <c r="V52" s="176">
        <v>0</v>
      </c>
      <c r="W52" s="176">
        <v>0</v>
      </c>
      <c r="X52" s="176">
        <v>0</v>
      </c>
      <c r="Y52" s="176">
        <v>0</v>
      </c>
      <c r="Z52" s="176">
        <v>0</v>
      </c>
      <c r="AA52" s="176">
        <v>0</v>
      </c>
      <c r="AB52" s="176">
        <v>0</v>
      </c>
      <c r="AC52" s="176">
        <v>0</v>
      </c>
      <c r="AD52" s="176">
        <v>0</v>
      </c>
      <c r="AE52" s="176">
        <v>0</v>
      </c>
      <c r="AF52" s="177">
        <v>0</v>
      </c>
    </row>
    <row r="53" spans="2:32" ht="31.5">
      <c r="B53" s="129" t="s">
        <v>33</v>
      </c>
      <c r="C53" s="130" t="s">
        <v>131</v>
      </c>
      <c r="D53" s="51" t="s">
        <v>361</v>
      </c>
      <c r="E53" s="65" t="s">
        <v>387</v>
      </c>
      <c r="F53" s="111" t="s">
        <v>369</v>
      </c>
      <c r="G53" s="175">
        <f>5508003345+60242858</f>
        <v>5568246203</v>
      </c>
      <c r="H53" s="144">
        <f t="shared" si="1"/>
        <v>5508003345</v>
      </c>
      <c r="I53" s="176">
        <v>0</v>
      </c>
      <c r="J53" s="176">
        <v>0</v>
      </c>
      <c r="K53" s="176">
        <v>0</v>
      </c>
      <c r="L53" s="176">
        <v>0</v>
      </c>
      <c r="M53" s="176">
        <v>0</v>
      </c>
      <c r="N53" s="176">
        <v>0</v>
      </c>
      <c r="O53" s="176">
        <v>0</v>
      </c>
      <c r="P53" s="176">
        <v>0</v>
      </c>
      <c r="Q53" s="176">
        <v>5410782524</v>
      </c>
      <c r="R53" s="176">
        <v>0</v>
      </c>
      <c r="S53" s="176">
        <v>12023052</v>
      </c>
      <c r="T53" s="176">
        <v>11822946</v>
      </c>
      <c r="U53" s="176">
        <v>0</v>
      </c>
      <c r="V53" s="176">
        <v>0</v>
      </c>
      <c r="W53" s="176">
        <v>4664792</v>
      </c>
      <c r="X53" s="176">
        <v>0</v>
      </c>
      <c r="Y53" s="176">
        <v>44753031</v>
      </c>
      <c r="Z53" s="176">
        <v>10000000</v>
      </c>
      <c r="AA53" s="176">
        <v>0</v>
      </c>
      <c r="AB53" s="176">
        <v>0</v>
      </c>
      <c r="AC53" s="176">
        <v>0</v>
      </c>
      <c r="AD53" s="176">
        <v>0</v>
      </c>
      <c r="AE53" s="176">
        <v>0</v>
      </c>
      <c r="AF53" s="177">
        <v>13957000</v>
      </c>
    </row>
    <row r="54" spans="2:32" ht="31.5">
      <c r="B54" s="129" t="s">
        <v>33</v>
      </c>
      <c r="C54" s="130" t="s">
        <v>131</v>
      </c>
      <c r="D54" s="51" t="s">
        <v>361</v>
      </c>
      <c r="E54" s="65" t="s">
        <v>388</v>
      </c>
      <c r="F54" s="111" t="s">
        <v>380</v>
      </c>
      <c r="G54" s="175">
        <f>985993539+119302124</f>
        <v>1105295663</v>
      </c>
      <c r="H54" s="144">
        <f t="shared" si="1"/>
        <v>985993539</v>
      </c>
      <c r="I54" s="176">
        <v>0</v>
      </c>
      <c r="J54" s="176">
        <v>15074640</v>
      </c>
      <c r="K54" s="176">
        <v>0</v>
      </c>
      <c r="L54" s="176">
        <v>0</v>
      </c>
      <c r="M54" s="176">
        <v>119994250</v>
      </c>
      <c r="N54" s="176">
        <v>698493361</v>
      </c>
      <c r="O54" s="176">
        <v>152431288</v>
      </c>
      <c r="P54" s="176">
        <v>0</v>
      </c>
      <c r="Q54" s="176">
        <v>0</v>
      </c>
      <c r="R54" s="176">
        <v>0</v>
      </c>
      <c r="S54" s="176">
        <v>0</v>
      </c>
      <c r="T54" s="176">
        <v>0</v>
      </c>
      <c r="U54" s="176">
        <v>0</v>
      </c>
      <c r="V54" s="176">
        <v>0</v>
      </c>
      <c r="W54" s="176">
        <v>0</v>
      </c>
      <c r="X54" s="176">
        <v>0</v>
      </c>
      <c r="Y54" s="176">
        <v>0</v>
      </c>
      <c r="Z54" s="176">
        <v>0</v>
      </c>
      <c r="AA54" s="176">
        <v>0</v>
      </c>
      <c r="AB54" s="176">
        <v>0</v>
      </c>
      <c r="AC54" s="176">
        <v>0</v>
      </c>
      <c r="AD54" s="176">
        <v>0</v>
      </c>
      <c r="AE54" s="176">
        <v>0</v>
      </c>
      <c r="AF54" s="177">
        <v>0</v>
      </c>
    </row>
    <row r="55" spans="2:32" ht="31.5">
      <c r="B55" s="129" t="s">
        <v>33</v>
      </c>
      <c r="C55" s="130" t="s">
        <v>131</v>
      </c>
      <c r="D55" s="51" t="s">
        <v>384</v>
      </c>
      <c r="E55" s="65" t="s">
        <v>389</v>
      </c>
      <c r="F55" s="111" t="s">
        <v>380</v>
      </c>
      <c r="G55" s="175">
        <v>26703213</v>
      </c>
      <c r="H55" s="144">
        <f t="shared" si="1"/>
        <v>26703213</v>
      </c>
      <c r="I55" s="176"/>
      <c r="J55" s="176">
        <v>26703213</v>
      </c>
      <c r="K55" s="176"/>
      <c r="L55" s="176"/>
      <c r="M55" s="176"/>
      <c r="N55" s="176"/>
      <c r="O55" s="176"/>
      <c r="P55" s="176"/>
      <c r="Q55" s="176"/>
      <c r="R55" s="176"/>
      <c r="S55" s="176"/>
      <c r="T55" s="176"/>
      <c r="U55" s="176"/>
      <c r="V55" s="176"/>
      <c r="W55" s="176"/>
      <c r="X55" s="176"/>
      <c r="Y55" s="176"/>
      <c r="Z55" s="176"/>
      <c r="AA55" s="176"/>
      <c r="AB55" s="176"/>
      <c r="AC55" s="176"/>
      <c r="AD55" s="176"/>
      <c r="AE55" s="176"/>
      <c r="AF55" s="177"/>
    </row>
    <row r="56" spans="2:32" ht="31.5">
      <c r="B56" s="129" t="s">
        <v>33</v>
      </c>
      <c r="C56" s="130" t="s">
        <v>131</v>
      </c>
      <c r="D56" s="51" t="s">
        <v>384</v>
      </c>
      <c r="E56" s="65" t="s">
        <v>390</v>
      </c>
      <c r="F56" s="111" t="s">
        <v>372</v>
      </c>
      <c r="G56" s="175">
        <v>87006960</v>
      </c>
      <c r="H56" s="144">
        <f t="shared" si="1"/>
        <v>87006960</v>
      </c>
      <c r="I56" s="176">
        <v>0</v>
      </c>
      <c r="J56" s="176">
        <v>0</v>
      </c>
      <c r="K56" s="176">
        <v>0</v>
      </c>
      <c r="L56" s="176">
        <v>0</v>
      </c>
      <c r="M56" s="176">
        <v>0</v>
      </c>
      <c r="N56" s="176">
        <v>0</v>
      </c>
      <c r="O56" s="176">
        <v>0</v>
      </c>
      <c r="P56" s="176">
        <v>0</v>
      </c>
      <c r="Q56" s="176">
        <v>58004640</v>
      </c>
      <c r="R56" s="176">
        <v>0</v>
      </c>
      <c r="S56" s="176">
        <v>0</v>
      </c>
      <c r="T56" s="176">
        <v>0</v>
      </c>
      <c r="U56" s="176">
        <v>0</v>
      </c>
      <c r="V56" s="176">
        <v>0</v>
      </c>
      <c r="W56" s="176">
        <v>0</v>
      </c>
      <c r="X56" s="176">
        <v>0</v>
      </c>
      <c r="Y56" s="176">
        <v>29002320</v>
      </c>
      <c r="Z56" s="176">
        <v>0</v>
      </c>
      <c r="AA56" s="176">
        <v>0</v>
      </c>
      <c r="AB56" s="176">
        <v>0</v>
      </c>
      <c r="AC56" s="176">
        <v>0</v>
      </c>
      <c r="AD56" s="176">
        <v>0</v>
      </c>
      <c r="AE56" s="176">
        <v>0</v>
      </c>
      <c r="AF56" s="177">
        <v>0</v>
      </c>
    </row>
    <row r="57" spans="2:32" ht="31.5">
      <c r="B57" s="129" t="s">
        <v>33</v>
      </c>
      <c r="C57" s="130" t="s">
        <v>131</v>
      </c>
      <c r="D57" s="51" t="s">
        <v>384</v>
      </c>
      <c r="E57" s="65" t="s">
        <v>391</v>
      </c>
      <c r="F57" s="111" t="s">
        <v>365</v>
      </c>
      <c r="G57" s="175">
        <v>26000000</v>
      </c>
      <c r="H57" s="144">
        <f t="shared" si="1"/>
        <v>26000000</v>
      </c>
      <c r="I57" s="176">
        <v>0</v>
      </c>
      <c r="J57" s="176">
        <v>0</v>
      </c>
      <c r="K57" s="176">
        <v>0</v>
      </c>
      <c r="L57" s="176">
        <v>0</v>
      </c>
      <c r="M57" s="176">
        <v>0</v>
      </c>
      <c r="N57" s="176">
        <v>0</v>
      </c>
      <c r="O57" s="176">
        <v>0</v>
      </c>
      <c r="P57" s="176">
        <v>20000000</v>
      </c>
      <c r="Q57" s="176">
        <v>0</v>
      </c>
      <c r="R57" s="176">
        <v>0</v>
      </c>
      <c r="S57" s="176">
        <v>0</v>
      </c>
      <c r="T57" s="176">
        <v>0</v>
      </c>
      <c r="U57" s="176">
        <v>0</v>
      </c>
      <c r="V57" s="176">
        <v>0</v>
      </c>
      <c r="W57" s="176">
        <v>0</v>
      </c>
      <c r="X57" s="176">
        <v>0</v>
      </c>
      <c r="Y57" s="176">
        <v>6000000</v>
      </c>
      <c r="Z57" s="176">
        <v>0</v>
      </c>
      <c r="AA57" s="176">
        <v>0</v>
      </c>
      <c r="AB57" s="176">
        <v>0</v>
      </c>
      <c r="AC57" s="176">
        <v>0</v>
      </c>
      <c r="AD57" s="176">
        <v>0</v>
      </c>
      <c r="AE57" s="176">
        <v>0</v>
      </c>
      <c r="AF57" s="177">
        <v>0</v>
      </c>
    </row>
    <row r="58" spans="2:32">
      <c r="B58" s="129" t="s">
        <v>34</v>
      </c>
      <c r="C58" s="130" t="s">
        <v>90</v>
      </c>
      <c r="D58" s="51" t="s">
        <v>200</v>
      </c>
      <c r="E58" s="65"/>
      <c r="F58" s="111"/>
      <c r="G58" s="155"/>
      <c r="H58" s="144">
        <f t="shared" si="1"/>
        <v>0</v>
      </c>
      <c r="I58" s="3"/>
      <c r="J58" s="3"/>
      <c r="K58" s="3"/>
      <c r="L58" s="3"/>
      <c r="M58" s="3"/>
      <c r="N58" s="3"/>
      <c r="O58" s="3"/>
      <c r="P58" s="3"/>
      <c r="Q58" s="3"/>
      <c r="R58" s="3"/>
      <c r="S58" s="3"/>
      <c r="T58" s="3"/>
      <c r="U58" s="3"/>
      <c r="V58" s="3"/>
      <c r="W58" s="3"/>
      <c r="X58" s="3"/>
      <c r="Y58" s="3"/>
      <c r="Z58" s="3"/>
      <c r="AA58" s="3"/>
      <c r="AB58" s="3"/>
      <c r="AC58" s="3"/>
      <c r="AD58" s="3"/>
      <c r="AE58" s="3"/>
      <c r="AF58" s="4"/>
    </row>
    <row r="59" spans="2:32">
      <c r="B59" s="132" t="s">
        <v>35</v>
      </c>
      <c r="C59" s="134" t="s">
        <v>91</v>
      </c>
      <c r="D59" s="6"/>
      <c r="E59" s="65"/>
      <c r="F59" s="111"/>
      <c r="G59" s="155"/>
      <c r="H59" s="144"/>
      <c r="I59" s="3"/>
      <c r="J59" s="3"/>
      <c r="K59" s="3"/>
      <c r="L59" s="3"/>
      <c r="M59" s="3"/>
      <c r="N59" s="3"/>
      <c r="O59" s="3"/>
      <c r="P59" s="3"/>
      <c r="Q59" s="3"/>
      <c r="R59" s="3"/>
      <c r="S59" s="3"/>
      <c r="T59" s="3"/>
      <c r="U59" s="3"/>
      <c r="V59" s="3"/>
      <c r="W59" s="3"/>
      <c r="X59" s="3"/>
      <c r="Y59" s="3"/>
      <c r="Z59" s="3"/>
      <c r="AA59" s="3"/>
      <c r="AB59" s="3"/>
      <c r="AC59" s="3"/>
      <c r="AD59" s="3"/>
      <c r="AE59" s="3"/>
      <c r="AF59" s="4"/>
    </row>
    <row r="60" spans="2:32" ht="31.5">
      <c r="B60" s="141" t="s">
        <v>36</v>
      </c>
      <c r="C60" s="130" t="s">
        <v>92</v>
      </c>
      <c r="D60" s="51" t="s">
        <v>361</v>
      </c>
      <c r="E60" s="65" t="s">
        <v>392</v>
      </c>
      <c r="F60" s="111" t="s">
        <v>380</v>
      </c>
      <c r="G60" s="175">
        <f>266513+820800</f>
        <v>1087313</v>
      </c>
      <c r="H60" s="144">
        <f t="shared" si="1"/>
        <v>266513</v>
      </c>
      <c r="I60" s="176">
        <v>0</v>
      </c>
      <c r="J60" s="176">
        <v>0</v>
      </c>
      <c r="K60" s="176">
        <v>0</v>
      </c>
      <c r="L60" s="176">
        <v>0</v>
      </c>
      <c r="M60" s="176">
        <v>0</v>
      </c>
      <c r="N60" s="176">
        <v>266513</v>
      </c>
      <c r="O60" s="176">
        <v>0</v>
      </c>
      <c r="P60" s="176">
        <v>0</v>
      </c>
      <c r="Q60" s="176">
        <v>0</v>
      </c>
      <c r="R60" s="176">
        <v>0</v>
      </c>
      <c r="S60" s="176">
        <v>0</v>
      </c>
      <c r="T60" s="176">
        <v>0</v>
      </c>
      <c r="U60" s="176">
        <v>0</v>
      </c>
      <c r="V60" s="176">
        <v>0</v>
      </c>
      <c r="W60" s="176">
        <v>0</v>
      </c>
      <c r="X60" s="176">
        <v>0</v>
      </c>
      <c r="Y60" s="176">
        <v>0</v>
      </c>
      <c r="Z60" s="176">
        <v>0</v>
      </c>
      <c r="AA60" s="176">
        <v>0</v>
      </c>
      <c r="AB60" s="176">
        <v>0</v>
      </c>
      <c r="AC60" s="176">
        <v>0</v>
      </c>
      <c r="AD60" s="176">
        <v>0</v>
      </c>
      <c r="AE60" s="176">
        <v>0</v>
      </c>
      <c r="AF60" s="177">
        <v>0</v>
      </c>
    </row>
    <row r="61" spans="2:32">
      <c r="B61" s="129" t="s">
        <v>37</v>
      </c>
      <c r="C61" s="130" t="s">
        <v>93</v>
      </c>
      <c r="D61" s="51" t="s">
        <v>200</v>
      </c>
      <c r="E61" s="65"/>
      <c r="F61" s="111"/>
      <c r="G61" s="155"/>
      <c r="H61" s="144">
        <f t="shared" si="1"/>
        <v>0</v>
      </c>
      <c r="I61" s="3"/>
      <c r="J61" s="3"/>
      <c r="K61" s="3"/>
      <c r="L61" s="3"/>
      <c r="M61" s="3"/>
      <c r="N61" s="3"/>
      <c r="O61" s="3"/>
      <c r="P61" s="3"/>
      <c r="Q61" s="3"/>
      <c r="R61" s="3"/>
      <c r="S61" s="3"/>
      <c r="T61" s="3"/>
      <c r="U61" s="3"/>
      <c r="V61" s="3"/>
      <c r="W61" s="3"/>
      <c r="X61" s="3"/>
      <c r="Y61" s="3"/>
      <c r="Z61" s="3"/>
      <c r="AA61" s="3"/>
      <c r="AB61" s="3"/>
      <c r="AC61" s="3"/>
      <c r="AD61" s="3"/>
      <c r="AE61" s="3"/>
      <c r="AF61" s="4"/>
    </row>
    <row r="62" spans="2:32" ht="31.5">
      <c r="B62" s="141" t="s">
        <v>38</v>
      </c>
      <c r="C62" s="133" t="s">
        <v>94</v>
      </c>
      <c r="D62" s="51" t="s">
        <v>361</v>
      </c>
      <c r="E62" s="65" t="s">
        <v>393</v>
      </c>
      <c r="F62" s="111" t="s">
        <v>360</v>
      </c>
      <c r="G62" s="175">
        <f>1719098166+79908917</f>
        <v>1799007083</v>
      </c>
      <c r="H62" s="144">
        <f t="shared" si="1"/>
        <v>1719098166</v>
      </c>
      <c r="I62" s="176">
        <v>0</v>
      </c>
      <c r="J62" s="176">
        <v>150000000</v>
      </c>
      <c r="K62" s="176">
        <v>0</v>
      </c>
      <c r="L62" s="176">
        <v>0</v>
      </c>
      <c r="M62" s="176">
        <v>0</v>
      </c>
      <c r="N62" s="176">
        <v>0</v>
      </c>
      <c r="O62" s="176">
        <v>0</v>
      </c>
      <c r="P62" s="176">
        <v>0</v>
      </c>
      <c r="Q62" s="176">
        <v>0</v>
      </c>
      <c r="R62" s="176">
        <v>914380609</v>
      </c>
      <c r="S62" s="176">
        <v>107829392</v>
      </c>
      <c r="T62" s="176">
        <v>0</v>
      </c>
      <c r="U62" s="176">
        <v>0</v>
      </c>
      <c r="V62" s="176">
        <v>0</v>
      </c>
      <c r="W62" s="176">
        <v>0</v>
      </c>
      <c r="X62" s="176">
        <v>0</v>
      </c>
      <c r="Y62" s="176">
        <v>200000</v>
      </c>
      <c r="Z62" s="176">
        <v>288000000</v>
      </c>
      <c r="AA62" s="176">
        <v>0</v>
      </c>
      <c r="AB62" s="176">
        <v>0</v>
      </c>
      <c r="AC62" s="176">
        <v>0</v>
      </c>
      <c r="AD62" s="176">
        <v>258688165</v>
      </c>
      <c r="AE62" s="176">
        <v>0</v>
      </c>
      <c r="AF62" s="177">
        <v>0</v>
      </c>
    </row>
    <row r="63" spans="2:32" ht="31.5">
      <c r="B63" s="141" t="s">
        <v>38</v>
      </c>
      <c r="C63" s="133" t="s">
        <v>94</v>
      </c>
      <c r="D63" s="51" t="s">
        <v>384</v>
      </c>
      <c r="E63" s="65" t="s">
        <v>394</v>
      </c>
      <c r="F63" s="111" t="s">
        <v>365</v>
      </c>
      <c r="G63" s="175">
        <v>28219506990</v>
      </c>
      <c r="H63" s="144">
        <f t="shared" si="1"/>
        <v>0</v>
      </c>
      <c r="I63" s="176">
        <v>0</v>
      </c>
      <c r="J63" s="176">
        <v>0</v>
      </c>
      <c r="K63" s="176">
        <v>0</v>
      </c>
      <c r="L63" s="176">
        <v>0</v>
      </c>
      <c r="M63" s="176">
        <v>0</v>
      </c>
      <c r="N63" s="176">
        <v>0</v>
      </c>
      <c r="O63" s="176">
        <v>0</v>
      </c>
      <c r="P63" s="176">
        <v>0</v>
      </c>
      <c r="Q63" s="176">
        <v>0</v>
      </c>
      <c r="R63" s="176">
        <v>0</v>
      </c>
      <c r="S63" s="176">
        <v>0</v>
      </c>
      <c r="T63" s="176">
        <v>0</v>
      </c>
      <c r="U63" s="176">
        <v>0</v>
      </c>
      <c r="V63" s="176">
        <v>0</v>
      </c>
      <c r="W63" s="176">
        <v>0</v>
      </c>
      <c r="X63" s="176">
        <v>0</v>
      </c>
      <c r="Y63" s="176">
        <v>0</v>
      </c>
      <c r="Z63" s="176">
        <v>0</v>
      </c>
      <c r="AA63" s="176">
        <v>0</v>
      </c>
      <c r="AB63" s="176">
        <v>0</v>
      </c>
      <c r="AC63" s="176">
        <v>0</v>
      </c>
      <c r="AD63" s="176">
        <v>0</v>
      </c>
      <c r="AE63" s="176">
        <v>0</v>
      </c>
      <c r="AF63" s="177">
        <v>0</v>
      </c>
    </row>
    <row r="64" spans="2:32">
      <c r="B64" s="129" t="s">
        <v>39</v>
      </c>
      <c r="C64" s="133" t="s">
        <v>95</v>
      </c>
      <c r="D64" s="51" t="s">
        <v>200</v>
      </c>
      <c r="E64" s="65"/>
      <c r="F64" s="111"/>
      <c r="G64" s="156"/>
      <c r="H64" s="144">
        <f t="shared" si="1"/>
        <v>0</v>
      </c>
      <c r="I64" s="3"/>
      <c r="J64" s="3"/>
      <c r="K64" s="3"/>
      <c r="L64" s="3"/>
      <c r="M64" s="3"/>
      <c r="N64" s="3"/>
      <c r="O64" s="3"/>
      <c r="P64" s="3"/>
      <c r="Q64" s="3"/>
      <c r="R64" s="3"/>
      <c r="S64" s="3"/>
      <c r="T64" s="3"/>
      <c r="U64" s="3"/>
      <c r="V64" s="3"/>
      <c r="W64" s="3"/>
      <c r="X64" s="3"/>
      <c r="Y64" s="3"/>
      <c r="Z64" s="3"/>
      <c r="AA64" s="3"/>
      <c r="AB64" s="3"/>
      <c r="AC64" s="3"/>
      <c r="AD64" s="3"/>
      <c r="AE64" s="3"/>
      <c r="AF64" s="4"/>
    </row>
    <row r="65" spans="2:32">
      <c r="B65" s="142"/>
      <c r="C65" s="143"/>
      <c r="D65" s="8"/>
      <c r="E65" s="110"/>
      <c r="F65" s="112"/>
      <c r="G65" s="157"/>
      <c r="H65" s="145"/>
      <c r="I65" s="5"/>
      <c r="J65" s="5"/>
      <c r="K65" s="5"/>
      <c r="L65" s="5"/>
      <c r="M65" s="5"/>
      <c r="N65" s="5"/>
      <c r="O65" s="5"/>
      <c r="P65" s="5"/>
      <c r="Q65" s="5"/>
      <c r="R65" s="5"/>
      <c r="S65" s="5"/>
      <c r="T65" s="5"/>
      <c r="U65" s="5"/>
      <c r="V65" s="5"/>
      <c r="W65" s="5"/>
      <c r="X65" s="5"/>
      <c r="Y65" s="5"/>
      <c r="Z65" s="5"/>
      <c r="AA65" s="5"/>
      <c r="AB65" s="5"/>
      <c r="AC65" s="5"/>
      <c r="AD65" s="5"/>
      <c r="AE65" s="5"/>
      <c r="AF65" s="150"/>
    </row>
    <row r="67" spans="2:32">
      <c r="E67" s="12"/>
      <c r="F67" s="12"/>
      <c r="G67" s="114" t="s">
        <v>190</v>
      </c>
      <c r="H67" s="115" t="s">
        <v>179</v>
      </c>
    </row>
    <row r="68" spans="2:32" ht="21">
      <c r="B68" s="66" t="s">
        <v>96</v>
      </c>
      <c r="G68" s="158">
        <f>SUM(G11:G65)</f>
        <v>93165487564</v>
      </c>
      <c r="H68" s="158">
        <f>SUM(H11:H65)</f>
        <v>56237292250</v>
      </c>
    </row>
    <row r="69" spans="2:32">
      <c r="B69" s="2" t="s">
        <v>395</v>
      </c>
      <c r="D69" s="178">
        <f>SUM(G11:G63)</f>
        <v>93165487564</v>
      </c>
    </row>
    <row r="70" spans="2:32">
      <c r="B70" s="2" t="s">
        <v>396</v>
      </c>
    </row>
    <row r="71" spans="2:32">
      <c r="B71" s="1" t="s">
        <v>397</v>
      </c>
      <c r="D71" s="179">
        <f>10523083893+1975349326</f>
        <v>12498433219</v>
      </c>
    </row>
    <row r="72" spans="2:32">
      <c r="B72" s="1" t="s">
        <v>398</v>
      </c>
      <c r="D72" s="179">
        <f>7775946679+63015293</f>
        <v>7838961972</v>
      </c>
    </row>
    <row r="73" spans="2:32">
      <c r="B73" s="1" t="s">
        <v>399</v>
      </c>
      <c r="D73" s="179">
        <f>199271845+121593086</f>
        <v>320864931</v>
      </c>
    </row>
    <row r="74" spans="2:32">
      <c r="B74" s="1" t="s">
        <v>400</v>
      </c>
      <c r="D74" s="179">
        <f>1048329853+1487989317</f>
        <v>2536319170</v>
      </c>
    </row>
    <row r="75" spans="2:32">
      <c r="B75" s="1" t="s">
        <v>401</v>
      </c>
      <c r="D75" s="176">
        <v>1752179626</v>
      </c>
    </row>
    <row r="76" spans="2:32">
      <c r="D76" s="176"/>
    </row>
    <row r="77" spans="2:32">
      <c r="B77" s="2" t="s">
        <v>402</v>
      </c>
      <c r="D77" s="176"/>
    </row>
    <row r="78" spans="2:32">
      <c r="B78" s="1" t="s">
        <v>403</v>
      </c>
    </row>
    <row r="79" spans="2:32">
      <c r="B79" s="1"/>
    </row>
    <row r="80" spans="2:32">
      <c r="B80" s="1"/>
    </row>
    <row r="81" spans="2:4">
      <c r="B81" s="1"/>
    </row>
    <row r="82" spans="2:4">
      <c r="B82" s="1"/>
      <c r="D82" s="176">
        <f>SUM(D68:D75)</f>
        <v>118112246482</v>
      </c>
    </row>
    <row r="83" spans="2:4">
      <c r="B83" s="1"/>
      <c r="C83" s="1" t="s">
        <v>404</v>
      </c>
      <c r="D83" s="176">
        <v>118112246482.35472</v>
      </c>
    </row>
    <row r="84" spans="2:4">
      <c r="B84" s="1"/>
      <c r="D84" s="176">
        <f>+D82-D83</f>
        <v>-0.3547210693359375</v>
      </c>
    </row>
    <row r="85" spans="2:4">
      <c r="B85" s="1"/>
    </row>
    <row r="86" spans="2:4">
      <c r="B86" s="1"/>
    </row>
    <row r="87" spans="2:4">
      <c r="B87" s="1"/>
    </row>
    <row r="88" spans="2:4">
      <c r="B88" s="1"/>
    </row>
    <row r="89" spans="2:4">
      <c r="B89" s="1"/>
    </row>
    <row r="90" spans="2:4">
      <c r="B90" s="1"/>
    </row>
    <row r="91" spans="2:4">
      <c r="B91" s="1"/>
    </row>
    <row r="92" spans="2:4">
      <c r="B92" s="1"/>
    </row>
    <row r="93" spans="2:4">
      <c r="B93" s="1"/>
    </row>
    <row r="95" spans="2:4">
      <c r="B95" s="1"/>
    </row>
  </sheetData>
  <customSheetViews>
    <customSheetView guid="{219EA9BF-B677-D74C-A618-845A184D319B}" scale="75" topLeftCell="A3">
      <selection activeCell="H33" sqref="H33"/>
      <pageMargins left="0.7" right="0.7" top="0.75" bottom="0.75" header="0.3" footer="0.3"/>
      <pageSetup paperSize="9" orientation="portrait" horizontalDpi="4294967292" verticalDpi="4294967292"/>
    </customSheetView>
  </customSheetViews>
  <mergeCells count="6">
    <mergeCell ref="B9:D9"/>
    <mergeCell ref="E9:G9"/>
    <mergeCell ref="H9:K9"/>
    <mergeCell ref="H8:K8"/>
    <mergeCell ref="E8:G8"/>
    <mergeCell ref="B8:D8"/>
  </mergeCells>
  <conditionalFormatting sqref="D13:D18 D20:D24 D26:D35 D37:D45 D49:D53 D58:D62 D64">
    <cfRule type="containsText" dxfId="11" priority="13" operator="containsText" text="Including;Not Applicable;Not included">
      <formula>NOT(ISERROR(SEARCH("Including;Not Applicable;Not included",D13)))</formula>
    </cfRule>
  </conditionalFormatting>
  <conditionalFormatting sqref="D19">
    <cfRule type="containsText" dxfId="10" priority="12" operator="containsText" text="Including;Not Applicable;Not included">
      <formula>NOT(ISERROR(SEARCH("Including;Not Applicable;Not included",D19)))</formula>
    </cfRule>
  </conditionalFormatting>
  <conditionalFormatting sqref="D25">
    <cfRule type="containsText" dxfId="9" priority="11" operator="containsText" text="Including;Not Applicable;Not included">
      <formula>NOT(ISERROR(SEARCH("Including;Not Applicable;Not included",D25)))</formula>
    </cfRule>
  </conditionalFormatting>
  <conditionalFormatting sqref="D36">
    <cfRule type="containsText" dxfId="8" priority="10" operator="containsText" text="Including;Not Applicable;Not included">
      <formula>NOT(ISERROR(SEARCH("Including;Not Applicable;Not included",D36)))</formula>
    </cfRule>
  </conditionalFormatting>
  <conditionalFormatting sqref="D46">
    <cfRule type="containsText" dxfId="7" priority="9" operator="containsText" text="Including;Not Applicable;Not included">
      <formula>NOT(ISERROR(SEARCH("Including;Not Applicable;Not included",D46)))</formula>
    </cfRule>
  </conditionalFormatting>
  <conditionalFormatting sqref="D47">
    <cfRule type="containsText" dxfId="6" priority="8" operator="containsText" text="Including;Not Applicable;Not included">
      <formula>NOT(ISERROR(SEARCH("Including;Not Applicable;Not included",D47)))</formula>
    </cfRule>
  </conditionalFormatting>
  <conditionalFormatting sqref="D48">
    <cfRule type="containsText" dxfId="5" priority="7" operator="containsText" text="Including;Not Applicable;Not included">
      <formula>NOT(ISERROR(SEARCH("Including;Not Applicable;Not included",D48)))</formula>
    </cfRule>
  </conditionalFormatting>
  <conditionalFormatting sqref="D54">
    <cfRule type="containsText" dxfId="4" priority="5" operator="containsText" text="Including;Not Applicable;Not included">
      <formula>NOT(ISERROR(SEARCH("Including;Not Applicable;Not included",D54)))</formula>
    </cfRule>
  </conditionalFormatting>
  <conditionalFormatting sqref="D55">
    <cfRule type="containsText" dxfId="3" priority="4" operator="containsText" text="Including;Not Applicable;Not included">
      <formula>NOT(ISERROR(SEARCH("Including;Not Applicable;Not included",D55)))</formula>
    </cfRule>
  </conditionalFormatting>
  <conditionalFormatting sqref="D56">
    <cfRule type="containsText" dxfId="2" priority="3" operator="containsText" text="Including;Not Applicable;Not included">
      <formula>NOT(ISERROR(SEARCH("Including;Not Applicable;Not included",D56)))</formula>
    </cfRule>
  </conditionalFormatting>
  <conditionalFormatting sqref="D57">
    <cfRule type="containsText" dxfId="1" priority="2" operator="containsText" text="Including;Not Applicable;Not included">
      <formula>NOT(ISERROR(SEARCH("Including;Not Applicable;Not included",D57)))</formula>
    </cfRule>
  </conditionalFormatting>
  <conditionalFormatting sqref="D63">
    <cfRule type="containsText" dxfId="0" priority="1" operator="containsText" text="Including;Not Applicable;Not included">
      <formula>NOT(ISERROR(SEARCH("Including;Not Applicable;Not included",D63)))</formula>
    </cfRule>
  </conditionalFormatting>
  <dataValidations count="12">
    <dataValidation allowBlank="1" showInputMessage="1" promptTitle="N° d'identification" prompt="Veuillez saisir un numéro d'identification unique, tel qu’un TIN, un numéro d'organisation ou similaire." sqref="I5:AF5"/>
    <dataValidation allowBlank="1" showInputMessage="1" showErrorMessage="1" promptTitle="URL du registre" prompt="Veuillez indiquer l’URL directe vers le registre ou l’agence." sqref="G7"/>
    <dataValidation allowBlank="1" showInputMessage="1" promptTitle="Nom du registre" prompt="Veuillez saisir le nom du registre ou de l’agence" sqref="G6"/>
    <dataValidation type="custom" allowBlank="1" showInputMessage="1" errorTitle="Supprimez le texte &quot;Exemple&quot;" error="Veuillez supprimez le texte &quot;Exemple&quot;" promptTitle="Nom de l’identifiant" prompt="Veuillez saisir le nom de l'identifiant, tel que « Numéro d'identification du contribuable » ou similaire" sqref="G5">
      <formula1>IFERROR(OR(ISNUMBER(SEARCH("Example:",G5)),ISNUMBER(SEARCH("Example:",G5))),TRUE)</formula1>
    </dataValidation>
    <dataValidation type="list" showDropDown="1" showErrorMessage="1" errorTitle="Please do not edit these cells" error="Please do not edit these cells" sqref="G4 F6:F7 E7">
      <formula1>"#ERROR!"</formula1>
    </dataValidation>
    <dataValidation allowBlank="1" showInputMessage="1" promptTitle="Agence gouvernementale" prompt="Saisissez le nom du destinataire du gouvernement ici._x000a__x000a_Veuillez vous abstenir d'utiliser des acronymes et saisissez le nom complet" sqref="F11:F12 F16:F17 F20 F22:F23 F27:F28 F30:F34 F37:F44 F49:F50 F58:F59 F61 F64:F65"/>
    <dataValidation allowBlank="1" showInputMessage="1" promptTitle="Nom du flux de revenu" prompt="Veuillez saisir le nom des flux de revenus ici._x000a__x000a_Inclure les revenus au nom d’entreprises. NE PAS inclure les revenus au nom de particuliers. Ces informations peuvent être indiquées à la section E. Remarques ci-dessous." sqref="E11:E12 E16:E17 E20 E22:E23 E27:E28 E30:E34 E37:E44 E49:E50 E58:E59 E61 E64:E65"/>
    <dataValidation type="decimal" operator="greaterThan" allowBlank="1" showErrorMessage="1" errorTitle="Valeur non numérique " error="Veuillez entrer uniquement les chiffres dans cette cellule. Ajoutez des informations supplémentaires à la section E. Remarques" sqref="G11:G12 I11:AF12 G16:G17 I16:AF17 G20 I20:AF20 G22:G23 I22:AF23 G27:G28 I27:AF28 G30:G34 I30:AF34 G37:G44 G64:G65 I37:AF44 G49:G50 I49:AF50 G58:G59 I58:AF59 G61 I61:AF61 I64:AF65">
      <formula1>0</formula1>
    </dataValidation>
    <dataValidation type="list" showDropDown="1" showErrorMessage="1" errorTitle="Veuillez ne pas modifier " error="Veuillez ne pas modifier ces cellules." sqref="B2:D10 E2:G2 H2:H7 E10:H10 D11:D12 D20 D23 D28 D33:D34 D37:D40 D44 D50 D59 D65 E8:AF9 G67:H68 E6">
      <formula1>"#ERROR!"</formula1>
    </dataValidation>
    <dataValidation type="list" showInputMessage="1" showErrorMessage="1" errorTitle="Secteur non standard" error="Vous avez saisi un secteur non standard._x000a__x000a_Veuillez sélectionner le secteur pertinent de l'entreprise dans la liste." promptTitle="Veuillez sélectionner le secteur" prompt="Veuillez sélectionner le secteur pertinent de l'entreprise dans la liste." sqref="I6:AF6">
      <formula1>"&lt;sélectionner le secteur&gt;,Pétrole,Gaz,Miniere,NA,Pétrole &amp; Gaz,Pétrole, Gaz &amp; Miniere,Autres"</formula1>
    </dataValidation>
    <dataValidation type="list" showInputMessage="1" showErrorMessage="1" errorTitle="Format non reconnu" error="Veuillez choisir parmi les options suivantes : _x000a__x000a_Inclus et rapproché_x000a_Inclus et partiellement rapproché_x000a_Inclus et non rapproché_x000a_Non inclus_x000a_Sans objet_x000a_" promptTitle="Inclus dans le Rapport ITIE" prompt="_x000a_Veuillez choisir parmi les options suivantes : _x000a__x000a_Inclus et rapproché_x000a_Inclus et partiellement rapproché_x000a_Inclus et non rapproché_x000a_Non inclus_x000a_Sans objet_x000a_" sqref="D29:D32 D21:D22 D13:D19 D24:D27 D41:D43 D35:D36 D45:D49 D51:D58 D60:D64">
      <formula1>"Inclus et rapproché,Inclus et partiellement rapproché,Inclus et non rapproché,Non inclus,Sans objet,&lt;sélectionner l'option&gt;"</formula1>
    </dataValidation>
    <dataValidation type="list" showDropDown="1" showErrorMessage="1" errorTitle="Modification détectée" error="Veuillez ne pas modifier les codes GFS ni les descriptions" sqref="B11:C65">
      <formula1>"#ERROR!"</formula1>
    </dataValidation>
  </dataValidations>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DACE739233BB499185E9201691D117" ma:contentTypeVersion="45" ma:contentTypeDescription="Create a new document." ma:contentTypeScope="" ma:versionID="20182d0dbdd215c1e09bd485ed6324dc">
  <xsd:schema xmlns:xsd="http://www.w3.org/2001/XMLSchema" xmlns:xs="http://www.w3.org/2001/XMLSchema" xmlns:p="http://schemas.microsoft.com/office/2006/metadata/properties" targetNamespace="http://schemas.microsoft.com/office/2006/metadata/properties" ma:root="true" ma:fieldsID="074b5a4020cc0417531245af4bd946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96B250-5876-409D-B6BA-801F6620CC90}">
  <ds:schemaRef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0E48121D-F315-4FBF-95C1-F6A0DE0AA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D40C06F-D28C-442F-9275-312E5DF78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Introduction</vt:lpstr>
      <vt:lpstr>1. About</vt:lpstr>
      <vt:lpstr>2. Contextual</vt:lpstr>
      <vt:lpstr>3. Revenues</vt:lpstr>
    </vt:vector>
  </TitlesOfParts>
  <Company>EITI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ITIE</cp:lastModifiedBy>
  <cp:lastPrinted>2014-09-23T08:46:05Z</cp:lastPrinted>
  <dcterms:created xsi:type="dcterms:W3CDTF">2014-08-29T11:25:27Z</dcterms:created>
  <dcterms:modified xsi:type="dcterms:W3CDTF">2018-02-21T13:10:00Z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0x0101004FDACE739233BB499185E9201691D117</vt:lpwstr>
  </property>
</Properties>
</file>