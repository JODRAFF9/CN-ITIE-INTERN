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Users\hp\Documents\bibliothèque de travail\2 Elève ingénieur\ISE\Cours\ISE3\Stage ITIE\rapports\2022\"/>
    </mc:Choice>
  </mc:AlternateContent>
  <xr:revisionPtr revIDLastSave="0" documentId="13_ncr:1_{9595C9CD-9C1C-4281-958C-57DF5834D5EB}" xr6:coauthVersionLast="47" xr6:coauthVersionMax="47" xr10:uidLastSave="{00000000-0000-0000-0000-000000000000}"/>
  <bookViews>
    <workbookView xWindow="-120" yWindow="-120" windowWidth="20730" windowHeight="11040" tabRatio="816" firstSheet="2" activeTab="4"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r:id="rId7"/>
  </sheets>
  <externalReferences>
    <externalReference r:id="rId8"/>
    <externalReference r:id="rId9"/>
  </externalReferences>
  <definedNames>
    <definedName name="_xlnm._FilterDatabase" localSheetId="2" hidden="1">'Partie 2 - Liste de pointage'!$A$67:$Q$75</definedName>
    <definedName name="Agency_type">Table15[Type d''Agence]</definedName>
    <definedName name="Commodities_list">Table5_Commodities_list[Description de produit HS av. volume]</definedName>
    <definedName name="Commodity_names">Table5_Commodities_list[Description de produit HS]</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64" i="12" l="1"/>
  <c r="I61" i="12"/>
  <c r="I38" i="12" l="1"/>
  <c r="I37" i="12"/>
  <c r="I39" i="12"/>
  <c r="I41" i="12"/>
  <c r="I42" i="12"/>
  <c r="I40" i="12"/>
  <c r="I58" i="12"/>
  <c r="I45" i="12"/>
  <c r="I43" i="12"/>
  <c r="I44" i="12"/>
  <c r="I47" i="12"/>
  <c r="I46" i="12"/>
  <c r="I48" i="12"/>
  <c r="I49" i="12"/>
  <c r="I52" i="12"/>
  <c r="I55" i="12"/>
  <c r="I59" i="12"/>
  <c r="I53" i="12"/>
  <c r="I57" i="12"/>
  <c r="I56" i="12"/>
  <c r="I54" i="12"/>
  <c r="I50" i="12"/>
  <c r="I60" i="12"/>
  <c r="I51" i="12"/>
  <c r="I65" i="12"/>
  <c r="I62" i="12"/>
  <c r="I63" i="12"/>
  <c r="E30" i="12" l="1"/>
  <c r="K403" i="11"/>
  <c r="K401" i="11"/>
  <c r="B15" i="11" l="1"/>
  <c r="B16" i="11"/>
  <c r="B17" i="11"/>
  <c r="B18" i="11"/>
  <c r="B19" i="11"/>
  <c r="B20" i="11"/>
  <c r="B21" i="11"/>
  <c r="B22" i="11"/>
  <c r="B23" i="11"/>
  <c r="B24" i="11"/>
  <c r="B25" i="11"/>
  <c r="B183" i="11"/>
  <c r="B184" i="11"/>
  <c r="B185" i="11"/>
  <c r="I403" i="11"/>
  <c r="J100" i="4" l="1"/>
  <c r="J96" i="4"/>
  <c r="E21" i="9" l="1"/>
  <c r="J98" i="4" l="1"/>
  <c r="D164" i="8" l="1"/>
  <c r="I100" i="4"/>
  <c r="D54" i="8" l="1"/>
  <c r="F54" i="8" l="1"/>
  <c r="B172" i="8" l="1"/>
  <c r="F217" i="8"/>
  <c r="D192" i="8" l="1"/>
  <c r="E60" i="9" s="1"/>
  <c r="E59" i="9" l="1"/>
  <c r="E61" i="9"/>
  <c r="E62" i="9"/>
  <c r="E23" i="9"/>
  <c r="B188" i="8" l="1"/>
  <c r="B71" i="8"/>
  <c r="N4" i="4"/>
  <c r="E4" i="12"/>
  <c r="H4" i="8"/>
  <c r="G4" i="9"/>
  <c r="E22" i="9"/>
  <c r="J113" i="4"/>
  <c r="B35" i="4"/>
  <c r="C35" i="4"/>
  <c r="D35" i="4"/>
  <c r="E35" i="4"/>
  <c r="B44" i="4"/>
  <c r="C44" i="4"/>
  <c r="D44" i="4"/>
  <c r="E44" i="4"/>
  <c r="E46" i="4"/>
  <c r="D46" i="4"/>
  <c r="C46" i="4"/>
  <c r="B46" i="4"/>
  <c r="E45" i="4"/>
  <c r="D45" i="4"/>
  <c r="C45" i="4"/>
  <c r="B45" i="4"/>
  <c r="E43" i="4"/>
  <c r="D43" i="4"/>
  <c r="C43" i="4"/>
  <c r="B43" i="4"/>
  <c r="E42" i="4"/>
  <c r="D42" i="4"/>
  <c r="C42" i="4"/>
  <c r="B42" i="4"/>
  <c r="E41" i="4"/>
  <c r="D41" i="4"/>
  <c r="C41" i="4"/>
  <c r="B41" i="4"/>
  <c r="E33" i="4"/>
  <c r="D23" i="4"/>
  <c r="E24" i="4"/>
  <c r="D24" i="4"/>
  <c r="C24" i="4"/>
  <c r="B24" i="4"/>
  <c r="E23" i="4"/>
  <c r="C23" i="4"/>
  <c r="B23" i="4"/>
  <c r="E22" i="4"/>
  <c r="D22" i="4"/>
  <c r="C22" i="4"/>
  <c r="B22" i="4"/>
  <c r="C25" i="4"/>
  <c r="C26" i="4"/>
  <c r="C27" i="4"/>
  <c r="C28" i="4"/>
  <c r="C29" i="4"/>
  <c r="C30" i="4"/>
  <c r="C31" i="4"/>
  <c r="C32" i="4"/>
  <c r="C33" i="4"/>
  <c r="C34" i="4"/>
  <c r="C36" i="4"/>
  <c r="C37" i="4"/>
  <c r="C38" i="4"/>
  <c r="C39" i="4"/>
  <c r="C40" i="4"/>
  <c r="D25" i="4"/>
  <c r="D26" i="4"/>
  <c r="D27" i="4"/>
  <c r="D28" i="4"/>
  <c r="D29" i="4"/>
  <c r="D30" i="4"/>
  <c r="D31" i="4"/>
  <c r="D32" i="4"/>
  <c r="D33" i="4"/>
  <c r="D34" i="4"/>
  <c r="D36" i="4"/>
  <c r="D37" i="4"/>
  <c r="D38" i="4"/>
  <c r="D39" i="4"/>
  <c r="D40" i="4"/>
  <c r="E25" i="4"/>
  <c r="E26" i="4"/>
  <c r="E27" i="4"/>
  <c r="E28" i="4"/>
  <c r="E29" i="4"/>
  <c r="E30" i="4"/>
  <c r="E31" i="4"/>
  <c r="E32" i="4"/>
  <c r="E34" i="4"/>
  <c r="E36" i="4"/>
  <c r="E37" i="4"/>
  <c r="E38" i="4"/>
  <c r="E39" i="4"/>
  <c r="E40" i="4"/>
  <c r="B25" i="4"/>
  <c r="B26" i="4"/>
  <c r="B27" i="4"/>
  <c r="B28" i="4"/>
  <c r="B29" i="4"/>
  <c r="B30" i="4"/>
  <c r="B31" i="4"/>
  <c r="B32" i="4"/>
  <c r="B33" i="4"/>
  <c r="B34" i="4"/>
  <c r="B36" i="4"/>
  <c r="B37" i="4"/>
  <c r="B38" i="4"/>
  <c r="B39" i="4"/>
  <c r="B40"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<sst xmlns="http://schemas.openxmlformats.org/spreadsheetml/2006/main" count="6625" uniqueCount="2822">
  <si>
    <t>Afghanistan</t>
  </si>
  <si>
    <t>AF</t>
  </si>
  <si>
    <t>AFG</t>
  </si>
  <si>
    <t>AX</t>
  </si>
  <si>
    <t>ALA</t>
  </si>
  <si>
    <t>Albanie</t>
  </si>
  <si>
    <t>AL</t>
  </si>
  <si>
    <t>ALB</t>
  </si>
  <si>
    <t>Algérie</t>
  </si>
  <si>
    <t>DZ</t>
  </si>
  <si>
    <t>DZA</t>
  </si>
  <si>
    <t>Samoa américaines</t>
  </si>
  <si>
    <t>AS</t>
  </si>
  <si>
    <t>ASM</t>
  </si>
  <si>
    <t>Andorre</t>
  </si>
  <si>
    <t>AD</t>
  </si>
  <si>
    <t>AND</t>
  </si>
  <si>
    <t>Angola</t>
  </si>
  <si>
    <t>AO</t>
  </si>
  <si>
    <t>AGO</t>
  </si>
  <si>
    <t>Anguilla</t>
  </si>
  <si>
    <t>AI</t>
  </si>
  <si>
    <t>AIA</t>
  </si>
  <si>
    <t>Antigua et Barbuda</t>
  </si>
  <si>
    <t>AG</t>
  </si>
  <si>
    <t>ATG</t>
  </si>
  <si>
    <t>Argentine</t>
  </si>
  <si>
    <t>AR</t>
  </si>
  <si>
    <t>ARG</t>
  </si>
  <si>
    <t>Arménie</t>
  </si>
  <si>
    <t>AM</t>
  </si>
  <si>
    <t>ARM</t>
  </si>
  <si>
    <t>Aruba</t>
  </si>
  <si>
    <t>AW</t>
  </si>
  <si>
    <t>ABW</t>
  </si>
  <si>
    <t>Australie</t>
  </si>
  <si>
    <t>AU</t>
  </si>
  <si>
    <t>AUS</t>
  </si>
  <si>
    <t>Autriche</t>
  </si>
  <si>
    <t>AT</t>
  </si>
  <si>
    <t>AUT</t>
  </si>
  <si>
    <t>Azerbaïdjan</t>
  </si>
  <si>
    <t>AZ</t>
  </si>
  <si>
    <t>AZE</t>
  </si>
  <si>
    <t>Bahamas</t>
  </si>
  <si>
    <t>BS</t>
  </si>
  <si>
    <t>BHS</t>
  </si>
  <si>
    <t>Bahreïn</t>
  </si>
  <si>
    <t>BH</t>
  </si>
  <si>
    <t>BHR</t>
  </si>
  <si>
    <t>Bangladesh</t>
  </si>
  <si>
    <t>BD</t>
  </si>
  <si>
    <t>BGD</t>
  </si>
  <si>
    <t>Barbade</t>
  </si>
  <si>
    <t>BB</t>
  </si>
  <si>
    <t>BRB</t>
  </si>
  <si>
    <t>Belarus</t>
  </si>
  <si>
    <t>BY</t>
  </si>
  <si>
    <t>BLR</t>
  </si>
  <si>
    <t>Belgique</t>
  </si>
  <si>
    <t>BE</t>
  </si>
  <si>
    <t>BEL</t>
  </si>
  <si>
    <t>Belize</t>
  </si>
  <si>
    <t>BZ</t>
  </si>
  <si>
    <t>BLZ</t>
  </si>
  <si>
    <t>Bénin</t>
  </si>
  <si>
    <t>BJ</t>
  </si>
  <si>
    <t>BEN</t>
  </si>
  <si>
    <t>Bermudes</t>
  </si>
  <si>
    <t>BM</t>
  </si>
  <si>
    <t>BMU</t>
  </si>
  <si>
    <t>Bhoutan</t>
  </si>
  <si>
    <t>BT</t>
  </si>
  <si>
    <t>BTN</t>
  </si>
  <si>
    <t>Bolivie</t>
  </si>
  <si>
    <t>BO</t>
  </si>
  <si>
    <t>BOL</t>
  </si>
  <si>
    <t>Bosnie-Herzégovine</t>
  </si>
  <si>
    <t>BA</t>
  </si>
  <si>
    <t>BIH</t>
  </si>
  <si>
    <t>Botswana</t>
  </si>
  <si>
    <t>BW</t>
  </si>
  <si>
    <t>BWA</t>
  </si>
  <si>
    <t>Brésil</t>
  </si>
  <si>
    <t>BR</t>
  </si>
  <si>
    <t>BRA</t>
  </si>
  <si>
    <t>Îles Vierges britanniques</t>
  </si>
  <si>
    <t>VG</t>
  </si>
  <si>
    <t>VGB</t>
  </si>
  <si>
    <t>Territoire britannique de l’océan Indien</t>
  </si>
  <si>
    <t>IO</t>
  </si>
  <si>
    <t>IOT</t>
  </si>
  <si>
    <t>BN</t>
  </si>
  <si>
    <t>BRN</t>
  </si>
  <si>
    <t>Bulgarie</t>
  </si>
  <si>
    <t>BG</t>
  </si>
  <si>
    <t>BGR</t>
  </si>
  <si>
    <t>Burkina Faso</t>
  </si>
  <si>
    <t>BF</t>
  </si>
  <si>
    <t>BFA</t>
  </si>
  <si>
    <t>Burundi</t>
  </si>
  <si>
    <t>BI</t>
  </si>
  <si>
    <t>BDI</t>
  </si>
  <si>
    <t>Cambodge</t>
  </si>
  <si>
    <t>KH</t>
  </si>
  <si>
    <t>KHM</t>
  </si>
  <si>
    <t>Cameroun</t>
  </si>
  <si>
    <t>CM</t>
  </si>
  <si>
    <t>CMR</t>
  </si>
  <si>
    <t>Canada</t>
  </si>
  <si>
    <t>CA</t>
  </si>
  <si>
    <t>CAN</t>
  </si>
  <si>
    <t>Cap Vert</t>
  </si>
  <si>
    <t>CV</t>
  </si>
  <si>
    <t>CPV</t>
  </si>
  <si>
    <t>Îles Salomon</t>
  </si>
  <si>
    <t>KY</t>
  </si>
  <si>
    <t>CYM</t>
  </si>
  <si>
    <t>République centrafricaine</t>
  </si>
  <si>
    <t>CF</t>
  </si>
  <si>
    <t>CAF</t>
  </si>
  <si>
    <t>Tchad</t>
  </si>
  <si>
    <t>TD</t>
  </si>
  <si>
    <t>TCD</t>
  </si>
  <si>
    <t>Chili</t>
  </si>
  <si>
    <t>CL</t>
  </si>
  <si>
    <t>CHL</t>
  </si>
  <si>
    <t>Chine</t>
  </si>
  <si>
    <t>CN</t>
  </si>
  <si>
    <t>CHN</t>
  </si>
  <si>
    <t>HK</t>
  </si>
  <si>
    <t>HKG</t>
  </si>
  <si>
    <t>MO</t>
  </si>
  <si>
    <t>MAC</t>
  </si>
  <si>
    <t>Île de Noël</t>
  </si>
  <si>
    <t>CX</t>
  </si>
  <si>
    <t>CXR</t>
  </si>
  <si>
    <t>Îles Keeling</t>
  </si>
  <si>
    <t>CC</t>
  </si>
  <si>
    <t>CCK</t>
  </si>
  <si>
    <t>Colombie</t>
  </si>
  <si>
    <t>CO</t>
  </si>
  <si>
    <t>COL</t>
  </si>
  <si>
    <t>Comores</t>
  </si>
  <si>
    <t>KM</t>
  </si>
  <si>
    <t>COM</t>
  </si>
  <si>
    <t>CG</t>
  </si>
  <si>
    <t>COG</t>
  </si>
  <si>
    <t>CD</t>
  </si>
  <si>
    <t>COD</t>
  </si>
  <si>
    <t>Costa Rica</t>
  </si>
  <si>
    <t>CR</t>
  </si>
  <si>
    <t>CRI</t>
  </si>
  <si>
    <t>CI</t>
  </si>
  <si>
    <t>CIV</t>
  </si>
  <si>
    <t>Croatie</t>
  </si>
  <si>
    <t>HR</t>
  </si>
  <si>
    <t>HRV</t>
  </si>
  <si>
    <t>Cuba</t>
  </si>
  <si>
    <t>CU</t>
  </si>
  <si>
    <t>CUB</t>
  </si>
  <si>
    <t>Chypre</t>
  </si>
  <si>
    <t>CY</t>
  </si>
  <si>
    <t>CYP</t>
  </si>
  <si>
    <t>République tchèque</t>
  </si>
  <si>
    <t>CZ</t>
  </si>
  <si>
    <t>CZE</t>
  </si>
  <si>
    <t>Danemark</t>
  </si>
  <si>
    <t>DK</t>
  </si>
  <si>
    <t>DNK</t>
  </si>
  <si>
    <t>Djibouti</t>
  </si>
  <si>
    <t>DJ</t>
  </si>
  <si>
    <t>DJI</t>
  </si>
  <si>
    <t>Dominique</t>
  </si>
  <si>
    <t>DM</t>
  </si>
  <si>
    <t>DMA</t>
  </si>
  <si>
    <t>République dominicaine</t>
  </si>
  <si>
    <t>DO</t>
  </si>
  <si>
    <t>DOM</t>
  </si>
  <si>
    <t>Équateur</t>
  </si>
  <si>
    <t>EC</t>
  </si>
  <si>
    <t>ECU</t>
  </si>
  <si>
    <t>Égypte</t>
  </si>
  <si>
    <t>EG</t>
  </si>
  <si>
    <t>EGY</t>
  </si>
  <si>
    <t>Salvador</t>
  </si>
  <si>
    <t>SV</t>
  </si>
  <si>
    <t>SLV</t>
  </si>
  <si>
    <t>Guinée équatoriale</t>
  </si>
  <si>
    <t>GQ</t>
  </si>
  <si>
    <t>GNQ</t>
  </si>
  <si>
    <t>Érythrée</t>
  </si>
  <si>
    <t>ER</t>
  </si>
  <si>
    <t>ERI</t>
  </si>
  <si>
    <t>Estonie</t>
  </si>
  <si>
    <t>EE</t>
  </si>
  <si>
    <t>EST</t>
  </si>
  <si>
    <t>Éthiopie</t>
  </si>
  <si>
    <t>ET</t>
  </si>
  <si>
    <t>ETH</t>
  </si>
  <si>
    <t>FK</t>
  </si>
  <si>
    <t>FLK</t>
  </si>
  <si>
    <t>FO</t>
  </si>
  <si>
    <t>FRO</t>
  </si>
  <si>
    <t>Fidji</t>
  </si>
  <si>
    <t>FJ</t>
  </si>
  <si>
    <t>FJI</t>
  </si>
  <si>
    <t>Finlande</t>
  </si>
  <si>
    <t>FI</t>
  </si>
  <si>
    <t>FIN</t>
  </si>
  <si>
    <t>France</t>
  </si>
  <si>
    <t>FR</t>
  </si>
  <si>
    <t>FRA</t>
  </si>
  <si>
    <t>Guyane française</t>
  </si>
  <si>
    <t>GF</t>
  </si>
  <si>
    <t>GUF</t>
  </si>
  <si>
    <t>Polynésie française</t>
  </si>
  <si>
    <t>PF</t>
  </si>
  <si>
    <t>PYF</t>
  </si>
  <si>
    <t>Territoires français australs</t>
  </si>
  <si>
    <t>TF</t>
  </si>
  <si>
    <t>ATF</t>
  </si>
  <si>
    <t>Gabon</t>
  </si>
  <si>
    <t>GA</t>
  </si>
  <si>
    <t>GAB</t>
  </si>
  <si>
    <t>Gambie</t>
  </si>
  <si>
    <t>GM</t>
  </si>
  <si>
    <t>GMB</t>
  </si>
  <si>
    <t>Géorgie</t>
  </si>
  <si>
    <t>GE</t>
  </si>
  <si>
    <t>GEO</t>
  </si>
  <si>
    <t>Allemagne</t>
  </si>
  <si>
    <t>DE</t>
  </si>
  <si>
    <t>DEU</t>
  </si>
  <si>
    <t>Ghana</t>
  </si>
  <si>
    <t>GH</t>
  </si>
  <si>
    <t>GHA</t>
  </si>
  <si>
    <t>Gibraltar</t>
  </si>
  <si>
    <t>GI</t>
  </si>
  <si>
    <t>GIB</t>
  </si>
  <si>
    <t>Grèce</t>
  </si>
  <si>
    <t>GR</t>
  </si>
  <si>
    <t>GRC</t>
  </si>
  <si>
    <t>Groenland</t>
  </si>
  <si>
    <t>GL</t>
  </si>
  <si>
    <t>GRL</t>
  </si>
  <si>
    <t>Grenade</t>
  </si>
  <si>
    <t>GD</t>
  </si>
  <si>
    <t>GRD</t>
  </si>
  <si>
    <t>Guadeloupe</t>
  </si>
  <si>
    <t>GP</t>
  </si>
  <si>
    <t>GLP</t>
  </si>
  <si>
    <t>Guam</t>
  </si>
  <si>
    <t>GU</t>
  </si>
  <si>
    <t>GUM</t>
  </si>
  <si>
    <t>Guatemala</t>
  </si>
  <si>
    <t>GT</t>
  </si>
  <si>
    <t>GTM</t>
  </si>
  <si>
    <t>GG</t>
  </si>
  <si>
    <t>GGY</t>
  </si>
  <si>
    <t>Guinée</t>
  </si>
  <si>
    <t>GN</t>
  </si>
  <si>
    <t>GIN</t>
  </si>
  <si>
    <t>Guinée-Bissau</t>
  </si>
  <si>
    <t>GW</t>
  </si>
  <si>
    <t>GNB</t>
  </si>
  <si>
    <t>Guyana</t>
  </si>
  <si>
    <t>GY</t>
  </si>
  <si>
    <t>GUY</t>
  </si>
  <si>
    <t>Haïti</t>
  </si>
  <si>
    <t>HT</t>
  </si>
  <si>
    <t>HTI</t>
  </si>
  <si>
    <t>Îles Heard et McDonald</t>
  </si>
  <si>
    <t>HM</t>
  </si>
  <si>
    <t>HMD</t>
  </si>
  <si>
    <t>VA</t>
  </si>
  <si>
    <t>Honduras</t>
  </si>
  <si>
    <t>HN</t>
  </si>
  <si>
    <t>HND</t>
  </si>
  <si>
    <t>Hongrie</t>
  </si>
  <si>
    <t>HU</t>
  </si>
  <si>
    <t>HUN</t>
  </si>
  <si>
    <t>Islande</t>
  </si>
  <si>
    <t>IS</t>
  </si>
  <si>
    <t>ISL</t>
  </si>
  <si>
    <t>Inde</t>
  </si>
  <si>
    <t>IN</t>
  </si>
  <si>
    <t>IND</t>
  </si>
  <si>
    <t>Indonésie</t>
  </si>
  <si>
    <t>ID</t>
  </si>
  <si>
    <t>IDN</t>
  </si>
  <si>
    <t>IR</t>
  </si>
  <si>
    <t>IRN</t>
  </si>
  <si>
    <t>Irak</t>
  </si>
  <si>
    <t>IQ</t>
  </si>
  <si>
    <t>IRQ</t>
  </si>
  <si>
    <t>Irlande</t>
  </si>
  <si>
    <t>IE</t>
  </si>
  <si>
    <t>IRL</t>
  </si>
  <si>
    <t>Île de Man</t>
  </si>
  <si>
    <t>IM</t>
  </si>
  <si>
    <t>IMN</t>
  </si>
  <si>
    <t>Israël</t>
  </si>
  <si>
    <t>IL</t>
  </si>
  <si>
    <t>ISR</t>
  </si>
  <si>
    <t>Italie</t>
  </si>
  <si>
    <t>IT</t>
  </si>
  <si>
    <t>ITA</t>
  </si>
  <si>
    <t>Jamaïque</t>
  </si>
  <si>
    <t>JM</t>
  </si>
  <si>
    <t>JAM</t>
  </si>
  <si>
    <t>Japon</t>
  </si>
  <si>
    <t>JP</t>
  </si>
  <si>
    <t>JPN</t>
  </si>
  <si>
    <t>Jersey</t>
  </si>
  <si>
    <t>JE</t>
  </si>
  <si>
    <t>JEY</t>
  </si>
  <si>
    <t>Jordanie</t>
  </si>
  <si>
    <t>JO</t>
  </si>
  <si>
    <t>JOR</t>
  </si>
  <si>
    <t>Kazakhstan</t>
  </si>
  <si>
    <t>KZ</t>
  </si>
  <si>
    <t>KAZ</t>
  </si>
  <si>
    <t>Kenya</t>
  </si>
  <si>
    <t>KE</t>
  </si>
  <si>
    <t>KEN</t>
  </si>
  <si>
    <t>Kiribati</t>
  </si>
  <si>
    <t>KI</t>
  </si>
  <si>
    <t>KIR</t>
  </si>
  <si>
    <t>Corée (du Nord)</t>
  </si>
  <si>
    <t>KP</t>
  </si>
  <si>
    <t>PRK</t>
  </si>
  <si>
    <t>Corée (du Sud)</t>
  </si>
  <si>
    <t>KR</t>
  </si>
  <si>
    <t>KOR</t>
  </si>
  <si>
    <t>KW</t>
  </si>
  <si>
    <t>KWT</t>
  </si>
  <si>
    <t>KG</t>
  </si>
  <si>
    <t>KGZ</t>
  </si>
  <si>
    <t>RPD du Laos</t>
  </si>
  <si>
    <t>LA</t>
  </si>
  <si>
    <t>LAO</t>
  </si>
  <si>
    <t>Lettonie</t>
  </si>
  <si>
    <t>LV</t>
  </si>
  <si>
    <t>LVA</t>
  </si>
  <si>
    <t>Liban</t>
  </si>
  <si>
    <t>LB</t>
  </si>
  <si>
    <t>LBN</t>
  </si>
  <si>
    <t>Lesotho</t>
  </si>
  <si>
    <t>LS</t>
  </si>
  <si>
    <t>LSO</t>
  </si>
  <si>
    <t>Libéria</t>
  </si>
  <si>
    <t>LR</t>
  </si>
  <si>
    <t>LBR</t>
  </si>
  <si>
    <t>Libye</t>
  </si>
  <si>
    <t>LY</t>
  </si>
  <si>
    <t>LBY</t>
  </si>
  <si>
    <t>Liechtenstein</t>
  </si>
  <si>
    <t>LI</t>
  </si>
  <si>
    <t>LIE</t>
  </si>
  <si>
    <t>Lituanie</t>
  </si>
  <si>
    <t>LT</t>
  </si>
  <si>
    <t>LTU</t>
  </si>
  <si>
    <t>Luxembourg</t>
  </si>
  <si>
    <t>LU</t>
  </si>
  <si>
    <t>LUX</t>
  </si>
  <si>
    <t>MK</t>
  </si>
  <si>
    <r>
      <rPr>
        <sz val="10.5"/>
        <color theme="1"/>
        <rFont val="Calibri"/>
        <family val="2"/>
      </rPr>
      <t>MKD</t>
    </r>
  </si>
  <si>
    <t>Madagascar</t>
  </si>
  <si>
    <t>MG</t>
  </si>
  <si>
    <t>MDG</t>
  </si>
  <si>
    <t>Malawi</t>
  </si>
  <si>
    <t>MW</t>
  </si>
  <si>
    <t>MWI</t>
  </si>
  <si>
    <t>Malaisie</t>
  </si>
  <si>
    <t>MY</t>
  </si>
  <si>
    <t>MYS</t>
  </si>
  <si>
    <t>Maldives</t>
  </si>
  <si>
    <t>MV</t>
  </si>
  <si>
    <t>MDV</t>
  </si>
  <si>
    <t>Mali</t>
  </si>
  <si>
    <t>ML</t>
  </si>
  <si>
    <t>MLI</t>
  </si>
  <si>
    <t>Malte</t>
  </si>
  <si>
    <t>MT</t>
  </si>
  <si>
    <t>MLT</t>
  </si>
  <si>
    <t>Îles Marshall</t>
  </si>
  <si>
    <t>MH</t>
  </si>
  <si>
    <t>MHL</t>
  </si>
  <si>
    <t>Martinique</t>
  </si>
  <si>
    <t>MQ</t>
  </si>
  <si>
    <t>MTQ</t>
  </si>
  <si>
    <t>Mauritanie</t>
  </si>
  <si>
    <t>MR</t>
  </si>
  <si>
    <t>MRT</t>
  </si>
  <si>
    <t>Maurice</t>
  </si>
  <si>
    <t>MU</t>
  </si>
  <si>
    <t>MUS</t>
  </si>
  <si>
    <t>Mayotte</t>
  </si>
  <si>
    <t>YT</t>
  </si>
  <si>
    <t>MYT</t>
  </si>
  <si>
    <t>Mexique</t>
  </si>
  <si>
    <t>MX</t>
  </si>
  <si>
    <t>MEX</t>
  </si>
  <si>
    <t>FM</t>
  </si>
  <si>
    <t>FSM</t>
  </si>
  <si>
    <t>Moldova</t>
  </si>
  <si>
    <t>MD</t>
  </si>
  <si>
    <t>MDA</t>
  </si>
  <si>
    <t>Monaco</t>
  </si>
  <si>
    <t>MC</t>
  </si>
  <si>
    <t>MCO</t>
  </si>
  <si>
    <t>Mongolie</t>
  </si>
  <si>
    <t>MN</t>
  </si>
  <si>
    <t>MNG</t>
  </si>
  <si>
    <t>ME</t>
  </si>
  <si>
    <t>MNE</t>
  </si>
  <si>
    <t>Montserrat</t>
  </si>
  <si>
    <t>MS</t>
  </si>
  <si>
    <t>MSR</t>
  </si>
  <si>
    <t>Maroc</t>
  </si>
  <si>
    <t>MA</t>
  </si>
  <si>
    <t>MAR</t>
  </si>
  <si>
    <t>Mozambique</t>
  </si>
  <si>
    <t>MZ</t>
  </si>
  <si>
    <t>MOZ</t>
  </si>
  <si>
    <t>Myanmar</t>
  </si>
  <si>
    <t>MM</t>
  </si>
  <si>
    <t>MMR</t>
  </si>
  <si>
    <t>Namibie</t>
  </si>
  <si>
    <t>NA</t>
  </si>
  <si>
    <t>NAM</t>
  </si>
  <si>
    <t>Nauru</t>
  </si>
  <si>
    <t>NR</t>
  </si>
  <si>
    <t>NRU</t>
  </si>
  <si>
    <t>Népal</t>
  </si>
  <si>
    <t>NP</t>
  </si>
  <si>
    <t>NPL</t>
  </si>
  <si>
    <t>Pays-Bas</t>
  </si>
  <si>
    <t>NL</t>
  </si>
  <si>
    <t>NLD</t>
  </si>
  <si>
    <t>Antilles néerlandaises</t>
  </si>
  <si>
    <t>AN</t>
  </si>
  <si>
    <t>ANT</t>
  </si>
  <si>
    <t>Nouvelle Calédonie</t>
  </si>
  <si>
    <t>NC</t>
  </si>
  <si>
    <t>NCL</t>
  </si>
  <si>
    <t>Nouvelle-Zélande</t>
  </si>
  <si>
    <t>NZ</t>
  </si>
  <si>
    <t>NZL</t>
  </si>
  <si>
    <t>Nicaragua</t>
  </si>
  <si>
    <t>NI</t>
  </si>
  <si>
    <t>NIC</t>
  </si>
  <si>
    <t>Niger</t>
  </si>
  <si>
    <t>NE</t>
  </si>
  <si>
    <t>NER</t>
  </si>
  <si>
    <t>Nigeria</t>
  </si>
  <si>
    <t>NG</t>
  </si>
  <si>
    <t>NGA</t>
  </si>
  <si>
    <t>Niue</t>
  </si>
  <si>
    <t>NU</t>
  </si>
  <si>
    <t>NIU</t>
  </si>
  <si>
    <t>Îles Norfolk</t>
  </si>
  <si>
    <t>NF</t>
  </si>
  <si>
    <t>NFK</t>
  </si>
  <si>
    <t>Îles Marianne septentrionales</t>
  </si>
  <si>
    <t>MP</t>
  </si>
  <si>
    <t>MNP</t>
  </si>
  <si>
    <t>Norvège</t>
  </si>
  <si>
    <t>NO</t>
  </si>
  <si>
    <t>NOR</t>
  </si>
  <si>
    <t>Oman</t>
  </si>
  <si>
    <t>OM</t>
  </si>
  <si>
    <t>OMN</t>
  </si>
  <si>
    <t>Pakistan</t>
  </si>
  <si>
    <t>PK</t>
  </si>
  <si>
    <t>PAK</t>
  </si>
  <si>
    <t>Palau</t>
  </si>
  <si>
    <t>PW</t>
  </si>
  <si>
    <t>PLW</t>
  </si>
  <si>
    <t>Territoire palestinien</t>
  </si>
  <si>
    <t>PS</t>
  </si>
  <si>
    <t>PSE</t>
  </si>
  <si>
    <t>Panama</t>
  </si>
  <si>
    <t>PA</t>
  </si>
  <si>
    <t>PAN</t>
  </si>
  <si>
    <t>Papouasie-Nouvelle-Guinée</t>
  </si>
  <si>
    <t>PG</t>
  </si>
  <si>
    <t>PNG</t>
  </si>
  <si>
    <t>Paraguay</t>
  </si>
  <si>
    <t>PY</t>
  </si>
  <si>
    <t>PRY</t>
  </si>
  <si>
    <t>Pérou</t>
  </si>
  <si>
    <t>PE</t>
  </si>
  <si>
    <t>PER</t>
  </si>
  <si>
    <t>Philippines</t>
  </si>
  <si>
    <t>PH</t>
  </si>
  <si>
    <t>PHL</t>
  </si>
  <si>
    <t>Pitcairn</t>
  </si>
  <si>
    <t>PN</t>
  </si>
  <si>
    <t>PCN</t>
  </si>
  <si>
    <t>Pologne</t>
  </si>
  <si>
    <t>PL</t>
  </si>
  <si>
    <t>POL</t>
  </si>
  <si>
    <t>Portugal</t>
  </si>
  <si>
    <t>PT</t>
  </si>
  <si>
    <t>PRT</t>
  </si>
  <si>
    <t>Porto Rico</t>
  </si>
  <si>
    <t>PR</t>
  </si>
  <si>
    <t>PRI</t>
  </si>
  <si>
    <t>Qatar</t>
  </si>
  <si>
    <t>QA</t>
  </si>
  <si>
    <t>QAT</t>
  </si>
  <si>
    <t>RE</t>
  </si>
  <si>
    <t>REU</t>
  </si>
  <si>
    <t>Roumanie</t>
  </si>
  <si>
    <t>RO</t>
  </si>
  <si>
    <t>ROU</t>
  </si>
  <si>
    <t>Fédération de Russie</t>
  </si>
  <si>
    <t>RU</t>
  </si>
  <si>
    <t>RUS</t>
  </si>
  <si>
    <t>Rwanda</t>
  </si>
  <si>
    <t>RW</t>
  </si>
  <si>
    <t>RWA</t>
  </si>
  <si>
    <t>BL</t>
  </si>
  <si>
    <t>BLM</t>
  </si>
  <si>
    <t>Saint Hélène</t>
  </si>
  <si>
    <t>SH</t>
  </si>
  <si>
    <t>SHN</t>
  </si>
  <si>
    <t>Saint Kitts et Nevis</t>
  </si>
  <si>
    <t>KN</t>
  </si>
  <si>
    <t>KNA</t>
  </si>
  <si>
    <t>Sainte Lucie</t>
  </si>
  <si>
    <t>LC</t>
  </si>
  <si>
    <t>LCA</t>
  </si>
  <si>
    <t>MF</t>
  </si>
  <si>
    <t>MAF</t>
  </si>
  <si>
    <t>Saint Pierre et Miquelon</t>
  </si>
  <si>
    <t>PM</t>
  </si>
  <si>
    <t>SPM</t>
  </si>
  <si>
    <t>VC</t>
  </si>
  <si>
    <t>VCT</t>
  </si>
  <si>
    <t>Samoa</t>
  </si>
  <si>
    <t>WS</t>
  </si>
  <si>
    <t>WSM</t>
  </si>
  <si>
    <t>Saint Marin</t>
  </si>
  <si>
    <t>SM</t>
  </si>
  <si>
    <t>SMR</t>
  </si>
  <si>
    <t>Sao Tomé-et-Principe</t>
  </si>
  <si>
    <t>ST</t>
  </si>
  <si>
    <t>STP</t>
  </si>
  <si>
    <t>Arabie saoudite</t>
  </si>
  <si>
    <t>SA</t>
  </si>
  <si>
    <t>SAU</t>
  </si>
  <si>
    <t>Sénégal</t>
  </si>
  <si>
    <t>SN</t>
  </si>
  <si>
    <t>SEN</t>
  </si>
  <si>
    <t>Serbie</t>
  </si>
  <si>
    <t>RS</t>
  </si>
  <si>
    <t>SRB</t>
  </si>
  <si>
    <t>Seychelles</t>
  </si>
  <si>
    <t>SC</t>
  </si>
  <si>
    <t>SYC</t>
  </si>
  <si>
    <t>Sierra Leone</t>
  </si>
  <si>
    <t>SL</t>
  </si>
  <si>
    <t>SLE</t>
  </si>
  <si>
    <t>Singapour</t>
  </si>
  <si>
    <t>SG</t>
  </si>
  <si>
    <t>SGP</t>
  </si>
  <si>
    <t>Slovaquie</t>
  </si>
  <si>
    <t>SK</t>
  </si>
  <si>
    <t>SVK</t>
  </si>
  <si>
    <t>Slovénie</t>
  </si>
  <si>
    <t>SI</t>
  </si>
  <si>
    <t>SVN</t>
  </si>
  <si>
    <t>Îles Salomon</t>
  </si>
  <si>
    <t>SB</t>
  </si>
  <si>
    <t>SLB</t>
  </si>
  <si>
    <t>Somalie</t>
  </si>
  <si>
    <t>SO</t>
  </si>
  <si>
    <t>SOM</t>
  </si>
  <si>
    <t>Afrique du Sud</t>
  </si>
  <si>
    <t>ZA</t>
  </si>
  <si>
    <t>ZAF</t>
  </si>
  <si>
    <t>Géorgie du Sud et les Îles Sandwich du Sud</t>
  </si>
  <si>
    <t>GS</t>
  </si>
  <si>
    <t>SGS</t>
  </si>
  <si>
    <t>Soudan du Sud</t>
  </si>
  <si>
    <t>SS</t>
  </si>
  <si>
    <t>SSD</t>
  </si>
  <si>
    <t>Espagne</t>
  </si>
  <si>
    <t>ES</t>
  </si>
  <si>
    <t>ESP</t>
  </si>
  <si>
    <t>Sri Lanka</t>
  </si>
  <si>
    <t>LK</t>
  </si>
  <si>
    <t>LKA</t>
  </si>
  <si>
    <t>Soudan</t>
  </si>
  <si>
    <t>SD</t>
  </si>
  <si>
    <t>SDN</t>
  </si>
  <si>
    <t>Suriname</t>
  </si>
  <si>
    <t>SR</t>
  </si>
  <si>
    <t>SUR</t>
  </si>
  <si>
    <t>Îles Svalbard et Jan Mayen</t>
  </si>
  <si>
    <t>SJ</t>
  </si>
  <si>
    <t>SJM</t>
  </si>
  <si>
    <t>SZ</t>
  </si>
  <si>
    <t>SWZ</t>
  </si>
  <si>
    <t>Suède</t>
  </si>
  <si>
    <t>SE</t>
  </si>
  <si>
    <t>SWE</t>
  </si>
  <si>
    <t>Suisse</t>
  </si>
  <si>
    <t>CH</t>
  </si>
  <si>
    <t>CHE</t>
  </si>
  <si>
    <t>SY</t>
  </si>
  <si>
    <t>SYR</t>
  </si>
  <si>
    <t>TW</t>
  </si>
  <si>
    <t>TWN</t>
  </si>
  <si>
    <t>Tadjikistan</t>
  </si>
  <si>
    <t>TJ</t>
  </si>
  <si>
    <t>TJK</t>
  </si>
  <si>
    <t>TZ</t>
  </si>
  <si>
    <t>TZA</t>
  </si>
  <si>
    <t>Thaïlande</t>
  </si>
  <si>
    <t>TH</t>
  </si>
  <si>
    <t>THA</t>
  </si>
  <si>
    <t>Timor-Leste</t>
  </si>
  <si>
    <t>TL</t>
  </si>
  <si>
    <t>TLS</t>
  </si>
  <si>
    <t>Togo</t>
  </si>
  <si>
    <t>TG</t>
  </si>
  <si>
    <t>TGO</t>
  </si>
  <si>
    <t>Tokelau</t>
  </si>
  <si>
    <t>TK</t>
  </si>
  <si>
    <t>TKL</t>
  </si>
  <si>
    <t>Tonga</t>
  </si>
  <si>
    <t>TO</t>
  </si>
  <si>
    <t>TON</t>
  </si>
  <si>
    <t>TT</t>
  </si>
  <si>
    <t>TTO</t>
  </si>
  <si>
    <t>Tunisie</t>
  </si>
  <si>
    <t>TN</t>
  </si>
  <si>
    <t>TUN</t>
  </si>
  <si>
    <t>Turquie</t>
  </si>
  <si>
    <t>TR</t>
  </si>
  <si>
    <t>TUR</t>
  </si>
  <si>
    <t>Turkménistan</t>
  </si>
  <si>
    <t>TM</t>
  </si>
  <si>
    <t>TKM</t>
  </si>
  <si>
    <t>Îles Turques et Caïques</t>
  </si>
  <si>
    <t>TC</t>
  </si>
  <si>
    <t>TCA</t>
  </si>
  <si>
    <t>Tuvalu</t>
  </si>
  <si>
    <t>TV</t>
  </si>
  <si>
    <t>TUV</t>
  </si>
  <si>
    <t>Ouganda</t>
  </si>
  <si>
    <t>UG</t>
  </si>
  <si>
    <t>UGA</t>
  </si>
  <si>
    <t>Ukraine</t>
  </si>
  <si>
    <t>UA</t>
  </si>
  <si>
    <t>UKR</t>
  </si>
  <si>
    <t>Émirats arabes unis</t>
  </si>
  <si>
    <t>AE</t>
  </si>
  <si>
    <t>ARE</t>
  </si>
  <si>
    <t>Royaume-Uni</t>
  </si>
  <si>
    <t>GB</t>
  </si>
  <si>
    <t>GBR</t>
  </si>
  <si>
    <t>États-Unis</t>
  </si>
  <si>
    <t>US</t>
  </si>
  <si>
    <t>USA</t>
  </si>
  <si>
    <t>Uruguay</t>
  </si>
  <si>
    <t>UY</t>
  </si>
  <si>
    <t>URY</t>
  </si>
  <si>
    <t>Ouzbékistan</t>
  </si>
  <si>
    <t>UZ</t>
  </si>
  <si>
    <t>UZB</t>
  </si>
  <si>
    <t>Vanuatu</t>
  </si>
  <si>
    <t>VU</t>
  </si>
  <si>
    <t>VUT</t>
  </si>
  <si>
    <t>VE</t>
  </si>
  <si>
    <t>VEN</t>
  </si>
  <si>
    <t>Vietnam</t>
  </si>
  <si>
    <t>VN</t>
  </si>
  <si>
    <t>VNM</t>
  </si>
  <si>
    <t>Îles Vierges, États-Unis</t>
  </si>
  <si>
    <t>VI</t>
  </si>
  <si>
    <t>VIR</t>
  </si>
  <si>
    <t>Îles Wallis et Futuna</t>
  </si>
  <si>
    <t>WF</t>
  </si>
  <si>
    <t>WLF</t>
  </si>
  <si>
    <t>Sahara occidental</t>
  </si>
  <si>
    <t>EH</t>
  </si>
  <si>
    <t>ESH</t>
  </si>
  <si>
    <t>Yémen</t>
  </si>
  <si>
    <t>YE</t>
  </si>
  <si>
    <t>YEM</t>
  </si>
  <si>
    <t>Zambie</t>
  </si>
  <si>
    <t>ZM</t>
  </si>
  <si>
    <t>ZMB</t>
  </si>
  <si>
    <t>Zimbabwe</t>
  </si>
  <si>
    <t>ZW</t>
  </si>
  <si>
    <t>ZWE</t>
  </si>
  <si>
    <t>Tanzanie</t>
  </si>
  <si>
    <t>Taïwan</t>
  </si>
  <si>
    <t>Hong Kong</t>
  </si>
  <si>
    <t>Macao</t>
  </si>
  <si>
    <t>République du Congo</t>
  </si>
  <si>
    <t>République démocratique du Congo</t>
  </si>
  <si>
    <t>Réunion</t>
  </si>
  <si>
    <t>Saint-Barthélemy</t>
  </si>
  <si>
    <t>Côte d’Ivoire</t>
  </si>
  <si>
    <t>Malouines</t>
  </si>
  <si>
    <t>Vatican</t>
  </si>
  <si>
    <t>Iran</t>
  </si>
  <si>
    <t>République kirghize</t>
  </si>
  <si>
    <t>Macédoine</t>
  </si>
  <si>
    <t>Micronésie</t>
  </si>
  <si>
    <t>Saint-Martin</t>
  </si>
  <si>
    <t>Syrie</t>
  </si>
  <si>
    <t>Venezuela</t>
  </si>
  <si>
    <t>Eswatini</t>
  </si>
  <si>
    <r>
      <rPr>
        <b/>
        <sz val="10.5"/>
        <color theme="1"/>
        <rFont val="Calibri"/>
        <family val="2"/>
      </rPr>
      <t>Nom de pays ou région</t>
    </r>
  </si>
  <si>
    <r>
      <rPr>
        <b/>
        <sz val="10.5"/>
        <color theme="1"/>
        <rFont val="Calibri"/>
        <family val="2"/>
      </rPr>
      <t>Code ISO de pays (alpha 2)</t>
    </r>
  </si>
  <si>
    <r>
      <rPr>
        <b/>
        <sz val="10.5"/>
        <color theme="1"/>
        <rFont val="Calibri"/>
        <family val="2"/>
      </rPr>
      <t>Code numérique ISO (UN M49)</t>
    </r>
  </si>
  <si>
    <t>4</t>
  </si>
  <si>
    <t>248</t>
  </si>
  <si>
    <t>8</t>
  </si>
  <si>
    <t>12</t>
  </si>
  <si>
    <t>16</t>
  </si>
  <si>
    <t>20</t>
  </si>
  <si>
    <t>24</t>
  </si>
  <si>
    <t>660</t>
  </si>
  <si>
    <t>28</t>
  </si>
  <si>
    <t>32</t>
  </si>
  <si>
    <t>51</t>
  </si>
  <si>
    <t>533</t>
  </si>
  <si>
    <t>36</t>
  </si>
  <si>
    <t>40</t>
  </si>
  <si>
    <t>31</t>
  </si>
  <si>
    <t>44</t>
  </si>
  <si>
    <t>48</t>
  </si>
  <si>
    <t>50</t>
  </si>
  <si>
    <t>52</t>
  </si>
  <si>
    <t>112</t>
  </si>
  <si>
    <t>56</t>
  </si>
  <si>
    <t>84</t>
  </si>
  <si>
    <t>204</t>
  </si>
  <si>
    <t>60</t>
  </si>
  <si>
    <t>64</t>
  </si>
  <si>
    <t>68</t>
  </si>
  <si>
    <t>70</t>
  </si>
  <si>
    <t>72</t>
  </si>
  <si>
    <t>76</t>
  </si>
  <si>
    <t>92</t>
  </si>
  <si>
    <t>86</t>
  </si>
  <si>
    <t>96</t>
  </si>
  <si>
    <t>100</t>
  </si>
  <si>
    <t>854</t>
  </si>
  <si>
    <t>108</t>
  </si>
  <si>
    <t>116</t>
  </si>
  <si>
    <t>120</t>
  </si>
  <si>
    <t>124</t>
  </si>
  <si>
    <t>132</t>
  </si>
  <si>
    <t>136</t>
  </si>
  <si>
    <t>140</t>
  </si>
  <si>
    <t>148</t>
  </si>
  <si>
    <t>152</t>
  </si>
  <si>
    <t>156</t>
  </si>
  <si>
    <t>344</t>
  </si>
  <si>
    <t>446</t>
  </si>
  <si>
    <t>162</t>
  </si>
  <si>
    <t>166</t>
  </si>
  <si>
    <t>170</t>
  </si>
  <si>
    <t>174</t>
  </si>
  <si>
    <t>178</t>
  </si>
  <si>
    <t>180</t>
  </si>
  <si>
    <t>188</t>
  </si>
  <si>
    <t>384</t>
  </si>
  <si>
    <t>191</t>
  </si>
  <si>
    <t>192</t>
  </si>
  <si>
    <t>196</t>
  </si>
  <si>
    <t>203</t>
  </si>
  <si>
    <t>208</t>
  </si>
  <si>
    <t>262</t>
  </si>
  <si>
    <t>212</t>
  </si>
  <si>
    <t>214</t>
  </si>
  <si>
    <t>218</t>
  </si>
  <si>
    <t>818</t>
  </si>
  <si>
    <t>222</t>
  </si>
  <si>
    <t>226</t>
  </si>
  <si>
    <t>232</t>
  </si>
  <si>
    <t>233</t>
  </si>
  <si>
    <t>231</t>
  </si>
  <si>
    <t>238</t>
  </si>
  <si>
    <t>234</t>
  </si>
  <si>
    <t>242</t>
  </si>
  <si>
    <t>246</t>
  </si>
  <si>
    <t>250</t>
  </si>
  <si>
    <t>254</t>
  </si>
  <si>
    <t>258</t>
  </si>
  <si>
    <t>260</t>
  </si>
  <si>
    <t>266</t>
  </si>
  <si>
    <t>270</t>
  </si>
  <si>
    <t>268</t>
  </si>
  <si>
    <t>276</t>
  </si>
  <si>
    <t>288</t>
  </si>
  <si>
    <t>292</t>
  </si>
  <si>
    <t>300</t>
  </si>
  <si>
    <t>304</t>
  </si>
  <si>
    <t>308</t>
  </si>
  <si>
    <t>312</t>
  </si>
  <si>
    <t>316</t>
  </si>
  <si>
    <t>320</t>
  </si>
  <si>
    <t>831</t>
  </si>
  <si>
    <t>324</t>
  </si>
  <si>
    <t>624</t>
  </si>
  <si>
    <t>328</t>
  </si>
  <si>
    <t>332</t>
  </si>
  <si>
    <t>334</t>
  </si>
  <si>
    <t>336</t>
  </si>
  <si>
    <t>340</t>
  </si>
  <si>
    <t>348</t>
  </si>
  <si>
    <t>352</t>
  </si>
  <si>
    <t>356</t>
  </si>
  <si>
    <t>360</t>
  </si>
  <si>
    <t>364</t>
  </si>
  <si>
    <t>368</t>
  </si>
  <si>
    <t>372</t>
  </si>
  <si>
    <t>833</t>
  </si>
  <si>
    <t>376</t>
  </si>
  <si>
    <t>380</t>
  </si>
  <si>
    <t>388</t>
  </si>
  <si>
    <t>392</t>
  </si>
  <si>
    <t>832</t>
  </si>
  <si>
    <t>400</t>
  </si>
  <si>
    <t>398</t>
  </si>
  <si>
    <t>404</t>
  </si>
  <si>
    <t>296</t>
  </si>
  <si>
    <t>408</t>
  </si>
  <si>
    <t>410</t>
  </si>
  <si>
    <t>414</t>
  </si>
  <si>
    <t>417</t>
  </si>
  <si>
    <t>418</t>
  </si>
  <si>
    <t>428</t>
  </si>
  <si>
    <t>422</t>
  </si>
  <si>
    <t>426</t>
  </si>
  <si>
    <t>430</t>
  </si>
  <si>
    <t>434</t>
  </si>
  <si>
    <t>438</t>
  </si>
  <si>
    <t>440</t>
  </si>
  <si>
    <t>442</t>
  </si>
  <si>
    <t>807</t>
  </si>
  <si>
    <t>450</t>
  </si>
  <si>
    <t>454</t>
  </si>
  <si>
    <t>458</t>
  </si>
  <si>
    <t>462</t>
  </si>
  <si>
    <t>466</t>
  </si>
  <si>
    <t>470</t>
  </si>
  <si>
    <t>584</t>
  </si>
  <si>
    <t>474</t>
  </si>
  <si>
    <t>478</t>
  </si>
  <si>
    <t>480</t>
  </si>
  <si>
    <t>175</t>
  </si>
  <si>
    <t>484</t>
  </si>
  <si>
    <t>583</t>
  </si>
  <si>
    <t>498</t>
  </si>
  <si>
    <t>492</t>
  </si>
  <si>
    <t>496</t>
  </si>
  <si>
    <t>499</t>
  </si>
  <si>
    <t>500</t>
  </si>
  <si>
    <t>504</t>
  </si>
  <si>
    <t>508</t>
  </si>
  <si>
    <t>104</t>
  </si>
  <si>
    <t>516</t>
  </si>
  <si>
    <t>520</t>
  </si>
  <si>
    <t>524</t>
  </si>
  <si>
    <t>528</t>
  </si>
  <si>
    <t>530</t>
  </si>
  <si>
    <t>540</t>
  </si>
  <si>
    <t>554</t>
  </si>
  <si>
    <t>558</t>
  </si>
  <si>
    <t>562</t>
  </si>
  <si>
    <t>566</t>
  </si>
  <si>
    <t>570</t>
  </si>
  <si>
    <t>574</t>
  </si>
  <si>
    <t>580</t>
  </si>
  <si>
    <t>578</t>
  </si>
  <si>
    <t>512</t>
  </si>
  <si>
    <t>586</t>
  </si>
  <si>
    <t>585</t>
  </si>
  <si>
    <t>275</t>
  </si>
  <si>
    <t>591</t>
  </si>
  <si>
    <t>598</t>
  </si>
  <si>
    <t>600</t>
  </si>
  <si>
    <t>604</t>
  </si>
  <si>
    <t>608</t>
  </si>
  <si>
    <t>612</t>
  </si>
  <si>
    <t>616</t>
  </si>
  <si>
    <t>620</t>
  </si>
  <si>
    <t>630</t>
  </si>
  <si>
    <t>634</t>
  </si>
  <si>
    <t>638</t>
  </si>
  <si>
    <t>642</t>
  </si>
  <si>
    <t>643</t>
  </si>
  <si>
    <t>646</t>
  </si>
  <si>
    <t>652</t>
  </si>
  <si>
    <t>654</t>
  </si>
  <si>
    <t>659</t>
  </si>
  <si>
    <t>662</t>
  </si>
  <si>
    <t>663</t>
  </si>
  <si>
    <t>666</t>
  </si>
  <si>
    <t>670</t>
  </si>
  <si>
    <t>882</t>
  </si>
  <si>
    <t>674</t>
  </si>
  <si>
    <t>678</t>
  </si>
  <si>
    <t>682</t>
  </si>
  <si>
    <t>686</t>
  </si>
  <si>
    <t>688</t>
  </si>
  <si>
    <t>690</t>
  </si>
  <si>
    <t>694</t>
  </si>
  <si>
    <t>702</t>
  </si>
  <si>
    <t>703</t>
  </si>
  <si>
    <t>705</t>
  </si>
  <si>
    <t>90</t>
  </si>
  <si>
    <t>706</t>
  </si>
  <si>
    <t>710</t>
  </si>
  <si>
    <t>239</t>
  </si>
  <si>
    <t>728</t>
  </si>
  <si>
    <t>724</t>
  </si>
  <si>
    <t>144</t>
  </si>
  <si>
    <t>736</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</si>
  <si>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</si>
  <si>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</si>
  <si>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</si>
  <si>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</si>
  <si>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</si>
  <si>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</si>
  <si>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</si>
  <si>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</si>
  <si>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</si>
  <si>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</si>
  <si>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</si>
  <si>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</si>
  <si>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</si>
  <si>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</si>
  <si>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</si>
  <si>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</si>
  <si>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</si>
  <si>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</si>
  <si>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</si>
  <si>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</si>
  <si>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</si>
  <si>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</si>
  <si>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</si>
  <si>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</si>
  <si>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</si>
  <si>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858</t>
  </si>
  <si>
    <t>860</t>
  </si>
  <si>
    <t>548</t>
  </si>
  <si>
    <t>862</t>
  </si>
  <si>
    <t>704</t>
  </si>
  <si>
    <t>850</t>
  </si>
  <si>
    <t>876</t>
  </si>
  <si>
    <t>732</t>
  </si>
  <si>
    <t>887</t>
  </si>
  <si>
    <t>894</t>
  </si>
  <si>
    <t>716</t>
  </si>
  <si>
    <r>
      <rPr>
        <b/>
        <sz val="10.5"/>
        <color theme="1"/>
        <rFont val="Calibri"/>
        <family val="2"/>
      </rPr>
      <t>Tableau 1 - Codes de pays</t>
    </r>
  </si>
  <si>
    <r>
      <rPr>
        <b/>
        <sz val="10.5"/>
        <color theme="1"/>
        <rFont val="Calibri"/>
        <family val="2"/>
      </rPr>
      <t>Tableau 2 - Options simples</t>
    </r>
  </si>
  <si>
    <t>Liste</t>
  </si>
  <si>
    <t>Partiellement</t>
  </si>
  <si>
    <t>Devise</t>
  </si>
  <si>
    <r>
      <rPr>
        <sz val="10.5"/>
        <color theme="1"/>
        <rFont val="Calibri"/>
        <family val="2"/>
      </rPr>
      <t>AED</t>
    </r>
  </si>
  <si>
    <r>
      <rPr>
        <sz val="10.5"/>
        <color theme="1"/>
        <rFont val="Calibri"/>
        <family val="2"/>
      </rPr>
      <t>Dirham des émirats arabes unis</t>
    </r>
  </si>
  <si>
    <t>AFN</t>
  </si>
  <si>
    <t>Afghani afghan</t>
  </si>
  <si>
    <t>ALL</t>
  </si>
  <si>
    <t>Lek albanais</t>
  </si>
  <si>
    <t>AMD</t>
  </si>
  <si>
    <t>Dram arménien</t>
  </si>
  <si>
    <r>
      <rPr>
        <sz val="10.5"/>
        <color theme="1"/>
        <rFont val="Calibri"/>
        <family val="2"/>
      </rPr>
      <t>ANG</t>
    </r>
  </si>
  <si>
    <r>
      <rPr>
        <sz val="10.5"/>
        <color theme="1"/>
        <rFont val="Calibri"/>
        <family val="2"/>
      </rPr>
      <t>Florin des Antilles néerlandaises</t>
    </r>
  </si>
  <si>
    <t>AOA</t>
  </si>
  <si>
    <t>Kwanza angolais</t>
  </si>
  <si>
    <t>ARS</t>
  </si>
  <si>
    <t>Peso argentin</t>
  </si>
  <si>
    <t>AUD</t>
  </si>
  <si>
    <t>Dollar australien</t>
  </si>
  <si>
    <t>AWG</t>
  </si>
  <si>
    <t>Florin d’Aruba</t>
  </si>
  <si>
    <t>AZN</t>
  </si>
  <si>
    <t>Manat azéri</t>
  </si>
  <si>
    <r>
      <rPr>
        <sz val="10.5"/>
        <color theme="1"/>
        <rFont val="Calibri"/>
        <family val="2"/>
      </rPr>
      <t>BAM</t>
    </r>
  </si>
  <si>
    <r>
      <rPr>
        <sz val="10.5"/>
        <color theme="1"/>
        <rFont val="Calibri"/>
        <family val="2"/>
      </rPr>
      <t>Mark convertible de Bosnie-Herzégovine</t>
    </r>
  </si>
  <si>
    <t>BBD</t>
  </si>
  <si>
    <t>BDT</t>
  </si>
  <si>
    <t>Taka bangladeshi</t>
  </si>
  <si>
    <r>
      <rPr>
        <sz val="10.5"/>
        <color theme="1"/>
        <rFont val="Calibri"/>
        <family val="2"/>
      </rPr>
      <t>BGN</t>
    </r>
  </si>
  <si>
    <t>BHD</t>
  </si>
  <si>
    <t>Dinar de Bahreïn</t>
  </si>
  <si>
    <r>
      <rPr>
        <sz val="10.5"/>
        <color theme="1"/>
        <rFont val="Calibri"/>
        <family val="2"/>
      </rPr>
      <t>BIF</t>
    </r>
  </si>
  <si>
    <r>
      <rPr>
        <sz val="10.5"/>
        <color theme="1"/>
        <rFont val="Calibri"/>
        <family val="2"/>
      </rPr>
      <t>Franc du Burundi</t>
    </r>
  </si>
  <si>
    <t>BMD</t>
  </si>
  <si>
    <t>Dollar des Bermudes</t>
  </si>
  <si>
    <r>
      <rPr>
        <sz val="10.5"/>
        <color theme="1"/>
        <rFont val="Calibri"/>
        <family val="2"/>
      </rPr>
      <t>BND</t>
    </r>
  </si>
  <si>
    <r>
      <rPr>
        <sz val="10.5"/>
        <color theme="1"/>
        <rFont val="Calibri"/>
        <family val="2"/>
      </rPr>
      <t>Dollar de Brunei</t>
    </r>
  </si>
  <si>
    <t>BOB</t>
  </si>
  <si>
    <r>
      <rPr>
        <sz val="10.5"/>
        <color theme="1"/>
        <rFont val="Calibri"/>
        <family val="2"/>
      </rPr>
      <t>BRL</t>
    </r>
  </si>
  <si>
    <r>
      <rPr>
        <sz val="10.5"/>
        <color theme="1"/>
        <rFont val="Calibri"/>
        <family val="2"/>
      </rPr>
      <t>Réal brésilien</t>
    </r>
  </si>
  <si>
    <t>BSD</t>
  </si>
  <si>
    <t>Dollar bahamien</t>
  </si>
  <si>
    <t>BWP</t>
  </si>
  <si>
    <t>Pula du Botswana</t>
  </si>
  <si>
    <t>BZD</t>
  </si>
  <si>
    <t>Dollar de Belize</t>
  </si>
  <si>
    <r>
      <rPr>
        <sz val="10.5"/>
        <color theme="1"/>
        <rFont val="Calibri"/>
        <family val="2"/>
      </rPr>
      <t>CAD</t>
    </r>
  </si>
  <si>
    <r>
      <rPr>
        <sz val="10.5"/>
        <color theme="1"/>
        <rFont val="Calibri"/>
        <family val="2"/>
      </rPr>
      <t>Dollar canadien</t>
    </r>
  </si>
  <si>
    <r>
      <rPr>
        <sz val="10.5"/>
        <color theme="1"/>
        <rFont val="Calibri"/>
        <family val="2"/>
      </rPr>
      <t>CDF</t>
    </r>
  </si>
  <si>
    <r>
      <rPr>
        <sz val="10.5"/>
        <color theme="1"/>
        <rFont val="Calibri"/>
        <family val="2"/>
      </rPr>
      <t>Franc congolais</t>
    </r>
  </si>
  <si>
    <r>
      <rPr>
        <sz val="10.5"/>
        <color theme="1"/>
        <rFont val="Calibri"/>
        <family val="2"/>
      </rPr>
      <t>CHF</t>
    </r>
  </si>
  <si>
    <r>
      <rPr>
        <sz val="10.5"/>
        <color theme="1"/>
        <rFont val="Calibri"/>
        <family val="2"/>
      </rPr>
      <t>Franc suisse</t>
    </r>
  </si>
  <si>
    <r>
      <rPr>
        <sz val="10.5"/>
        <color theme="1"/>
        <rFont val="Calibri"/>
        <family val="2"/>
      </rPr>
      <t>CLF</t>
    </r>
  </si>
  <si>
    <r>
      <rPr>
        <sz val="10.5"/>
        <color theme="1"/>
        <rFont val="Calibri"/>
        <family val="2"/>
      </rPr>
      <t>COP</t>
    </r>
  </si>
  <si>
    <r>
      <rPr>
        <sz val="10.5"/>
        <color theme="1"/>
        <rFont val="Calibri"/>
        <family val="2"/>
      </rPr>
      <t>Peso colombien</t>
    </r>
  </si>
  <si>
    <r>
      <rPr>
        <sz val="10.5"/>
        <color theme="1"/>
        <rFont val="Calibri"/>
        <family val="2"/>
      </rPr>
      <t>CRC</t>
    </r>
  </si>
  <si>
    <r>
      <rPr>
        <sz val="10.5"/>
        <color theme="1"/>
        <rFont val="Calibri"/>
        <family val="2"/>
      </rPr>
      <t>Colon costaricain</t>
    </r>
  </si>
  <si>
    <r>
      <rPr>
        <sz val="10.5"/>
        <color theme="1"/>
        <rFont val="Calibri"/>
        <family val="2"/>
      </rPr>
      <t>CUC</t>
    </r>
  </si>
  <si>
    <t>CVE</t>
  </si>
  <si>
    <r>
      <rPr>
        <sz val="10.5"/>
        <color theme="1"/>
        <rFont val="Calibri"/>
        <family val="2"/>
      </rPr>
      <t>CZK</t>
    </r>
  </si>
  <si>
    <r>
      <rPr>
        <sz val="10.5"/>
        <color theme="1"/>
        <rFont val="Calibri"/>
        <family val="2"/>
      </rPr>
      <t>Couronne tchèque</t>
    </r>
  </si>
  <si>
    <r>
      <rPr>
        <sz val="10.5"/>
        <color theme="1"/>
        <rFont val="Calibri"/>
        <family val="2"/>
      </rPr>
      <t>DJF</t>
    </r>
  </si>
  <si>
    <r>
      <rPr>
        <sz val="10.5"/>
        <color theme="1"/>
        <rFont val="Calibri"/>
        <family val="2"/>
      </rPr>
      <t>Franc djiboutien</t>
    </r>
  </si>
  <si>
    <r>
      <rPr>
        <sz val="10.5"/>
        <color theme="1"/>
        <rFont val="Calibri"/>
        <family val="2"/>
      </rPr>
      <t>DKK</t>
    </r>
  </si>
  <si>
    <r>
      <rPr>
        <sz val="10.5"/>
        <color theme="1"/>
        <rFont val="Calibri"/>
        <family val="2"/>
      </rPr>
      <t>Couronne danoise</t>
    </r>
  </si>
  <si>
    <r>
      <rPr>
        <sz val="10.5"/>
        <color theme="1"/>
        <rFont val="Calibri"/>
        <family val="2"/>
      </rPr>
      <t>DOP</t>
    </r>
  </si>
  <si>
    <r>
      <rPr>
        <sz val="10.5"/>
        <color theme="1"/>
        <rFont val="Calibri"/>
        <family val="2"/>
      </rPr>
      <t>Peso dominicain</t>
    </r>
  </si>
  <si>
    <t>DZD</t>
  </si>
  <si>
    <t>Dinar algérien</t>
  </si>
  <si>
    <r>
      <rPr>
        <sz val="10.5"/>
        <color theme="1"/>
        <rFont val="Calibri"/>
        <family val="2"/>
      </rPr>
      <t>EGP</t>
    </r>
  </si>
  <si>
    <r>
      <rPr>
        <sz val="10.5"/>
        <color theme="1"/>
        <rFont val="Calibri"/>
        <family val="2"/>
      </rPr>
      <t>Livre égyptienne</t>
    </r>
  </si>
  <si>
    <r>
      <rPr>
        <sz val="10.5"/>
        <color theme="1"/>
        <rFont val="Calibri"/>
        <family val="2"/>
      </rPr>
      <t>ERN</t>
    </r>
  </si>
  <si>
    <r>
      <rPr>
        <sz val="10.5"/>
        <color theme="1"/>
        <rFont val="Calibri"/>
        <family val="2"/>
      </rPr>
      <t>Nakfa érythréen</t>
    </r>
  </si>
  <si>
    <r>
      <rPr>
        <sz val="10.5"/>
        <color theme="1"/>
        <rFont val="Calibri"/>
        <family val="2"/>
      </rPr>
      <t>ETB</t>
    </r>
  </si>
  <si>
    <r>
      <rPr>
        <sz val="10.5"/>
        <color theme="1"/>
        <rFont val="Calibri"/>
        <family val="2"/>
      </rPr>
      <t>Birr éthiopien</t>
    </r>
  </si>
  <si>
    <t>EUR</t>
  </si>
  <si>
    <t>Euro</t>
  </si>
  <si>
    <r>
      <rPr>
        <sz val="10.5"/>
        <color theme="1"/>
        <rFont val="Calibri"/>
        <family val="2"/>
      </rPr>
      <t>FJD</t>
    </r>
  </si>
  <si>
    <r>
      <rPr>
        <sz val="10.5"/>
        <color theme="1"/>
        <rFont val="Calibri"/>
        <family val="2"/>
      </rPr>
      <t>FKP</t>
    </r>
  </si>
  <si>
    <r>
      <rPr>
        <sz val="10.5"/>
        <color theme="1"/>
        <rFont val="Calibri"/>
        <family val="2"/>
      </rPr>
      <t>Livre des Malouines</t>
    </r>
  </si>
  <si>
    <r>
      <rPr>
        <sz val="10.5"/>
        <color theme="1"/>
        <rFont val="Calibri"/>
        <family val="2"/>
      </rPr>
      <t>GBP</t>
    </r>
  </si>
  <si>
    <r>
      <rPr>
        <sz val="10.5"/>
        <color theme="1"/>
        <rFont val="Calibri"/>
        <family val="2"/>
      </rPr>
      <t>Livre sterling</t>
    </r>
  </si>
  <si>
    <r>
      <rPr>
        <sz val="10.5"/>
        <color theme="1"/>
        <rFont val="Calibri"/>
        <family val="2"/>
      </rPr>
      <t>GEL</t>
    </r>
  </si>
  <si>
    <r>
      <rPr>
        <sz val="10.5"/>
        <color theme="1"/>
        <rFont val="Calibri"/>
        <family val="2"/>
      </rPr>
      <t>Géorgie</t>
    </r>
  </si>
  <si>
    <r>
      <rPr>
        <sz val="10.5"/>
        <color theme="1"/>
        <rFont val="Calibri"/>
        <family val="2"/>
      </rPr>
      <t>GHS</t>
    </r>
  </si>
  <si>
    <r>
      <rPr>
        <sz val="10.5"/>
        <color theme="1"/>
        <rFont val="Calibri"/>
        <family val="2"/>
      </rPr>
      <t>Cedi ghanéen</t>
    </r>
  </si>
  <si>
    <r>
      <rPr>
        <sz val="10.5"/>
        <color theme="1"/>
        <rFont val="Calibri"/>
        <family val="2"/>
      </rPr>
      <t>GIP</t>
    </r>
  </si>
  <si>
    <r>
      <rPr>
        <sz val="10.5"/>
        <color theme="1"/>
        <rFont val="Calibri"/>
        <family val="2"/>
      </rPr>
      <t>Livre de Gibraltar</t>
    </r>
  </si>
  <si>
    <r>
      <rPr>
        <sz val="10.5"/>
        <color theme="1"/>
        <rFont val="Calibri"/>
        <family val="2"/>
      </rPr>
      <t>GMD</t>
    </r>
  </si>
  <si>
    <r>
      <rPr>
        <sz val="10.5"/>
        <color theme="1"/>
        <rFont val="Calibri"/>
        <family val="2"/>
      </rPr>
      <t>Dalasi gambien</t>
    </r>
  </si>
  <si>
    <r>
      <rPr>
        <sz val="10.5"/>
        <color theme="1"/>
        <rFont val="Calibri"/>
        <family val="2"/>
      </rPr>
      <t>GNF</t>
    </r>
  </si>
  <si>
    <r>
      <rPr>
        <sz val="10.5"/>
        <color theme="1"/>
        <rFont val="Calibri"/>
        <family val="2"/>
      </rPr>
      <t>Franc guinéen</t>
    </r>
  </si>
  <si>
    <r>
      <rPr>
        <sz val="10.5"/>
        <color theme="1"/>
        <rFont val="Calibri"/>
        <family val="2"/>
      </rPr>
      <t>GTQ</t>
    </r>
  </si>
  <si>
    <r>
      <rPr>
        <sz val="10.5"/>
        <color theme="1"/>
        <rFont val="Calibri"/>
        <family val="2"/>
      </rPr>
      <t>Quetzal guatémaltèque</t>
    </r>
  </si>
  <si>
    <r>
      <rPr>
        <sz val="10.5"/>
        <color theme="1"/>
        <rFont val="Calibri"/>
        <family val="2"/>
      </rPr>
      <t>GYD</t>
    </r>
  </si>
  <si>
    <r>
      <rPr>
        <sz val="10.5"/>
        <color theme="1"/>
        <rFont val="Calibri"/>
        <family val="2"/>
      </rPr>
      <t>HKD</t>
    </r>
  </si>
  <si>
    <r>
      <rPr>
        <sz val="10.5"/>
        <color theme="1"/>
        <rFont val="Calibri"/>
        <family val="2"/>
      </rPr>
      <t>HNL</t>
    </r>
  </si>
  <si>
    <t>HRK</t>
  </si>
  <si>
    <r>
      <rPr>
        <sz val="10.5"/>
        <color theme="1"/>
        <rFont val="Calibri"/>
        <family val="2"/>
      </rPr>
      <t>HTG</t>
    </r>
  </si>
  <si>
    <r>
      <rPr>
        <sz val="10.5"/>
        <color theme="1"/>
        <rFont val="Calibri"/>
        <family val="2"/>
      </rPr>
      <t>HUF</t>
    </r>
  </si>
  <si>
    <r>
      <rPr>
        <sz val="10.5"/>
        <color theme="1"/>
        <rFont val="Calibri"/>
        <family val="2"/>
      </rPr>
      <t>IDR</t>
    </r>
  </si>
  <si>
    <r>
      <rPr>
        <sz val="10.5"/>
        <color theme="1"/>
        <rFont val="Calibri"/>
        <family val="2"/>
      </rPr>
      <t>ILS</t>
    </r>
  </si>
  <si>
    <r>
      <rPr>
        <sz val="10.5"/>
        <color theme="1"/>
        <rFont val="Calibri"/>
        <family val="2"/>
      </rPr>
      <t>INR</t>
    </r>
  </si>
  <si>
    <r>
      <rPr>
        <sz val="10.5"/>
        <color theme="1"/>
        <rFont val="Calibri"/>
        <family val="2"/>
      </rPr>
      <t>IQD</t>
    </r>
  </si>
  <si>
    <r>
      <rPr>
        <sz val="10.5"/>
        <color theme="1"/>
        <rFont val="Calibri"/>
        <family val="2"/>
      </rPr>
      <t>Dinar irakien</t>
    </r>
  </si>
  <si>
    <r>
      <rPr>
        <sz val="10.5"/>
        <color theme="1"/>
        <rFont val="Calibri"/>
        <family val="2"/>
      </rPr>
      <t>IRR</t>
    </r>
  </si>
  <si>
    <r>
      <rPr>
        <sz val="10.5"/>
        <color theme="1"/>
        <rFont val="Calibri"/>
        <family val="2"/>
      </rPr>
      <t>ISK</t>
    </r>
  </si>
  <si>
    <r>
      <rPr>
        <sz val="10.5"/>
        <color theme="1"/>
        <rFont val="Calibri"/>
        <family val="2"/>
      </rPr>
      <t>Couronne islandaise</t>
    </r>
  </si>
  <si>
    <r>
      <rPr>
        <sz val="10.5"/>
        <color theme="1"/>
        <rFont val="Calibri"/>
        <family val="2"/>
      </rPr>
      <t>JMD</t>
    </r>
  </si>
  <si>
    <r>
      <rPr>
        <sz val="10.5"/>
        <color theme="1"/>
        <rFont val="Calibri"/>
        <family val="2"/>
      </rPr>
      <t>JOD</t>
    </r>
  </si>
  <si>
    <r>
      <rPr>
        <sz val="10.5"/>
        <color theme="1"/>
        <rFont val="Calibri"/>
        <family val="2"/>
      </rPr>
      <t>JPY</t>
    </r>
  </si>
  <si>
    <r>
      <rPr>
        <sz val="10.5"/>
        <color theme="1"/>
        <rFont val="Calibri"/>
        <family val="2"/>
      </rPr>
      <t>KES</t>
    </r>
  </si>
  <si>
    <r>
      <rPr>
        <sz val="10.5"/>
        <color theme="1"/>
        <rFont val="Calibri"/>
        <family val="2"/>
      </rPr>
      <t>KGS</t>
    </r>
  </si>
  <si>
    <t>KHR</t>
  </si>
  <si>
    <t>KMF</t>
  </si>
  <si>
    <r>
      <rPr>
        <sz val="10.5"/>
        <color theme="1"/>
        <rFont val="Calibri"/>
        <family val="2"/>
      </rPr>
      <t>KPW</t>
    </r>
  </si>
  <si>
    <r>
      <rPr>
        <sz val="10.5"/>
        <color theme="1"/>
        <rFont val="Calibri"/>
        <family val="2"/>
      </rPr>
      <t>KRW</t>
    </r>
  </si>
  <si>
    <r>
      <rPr>
        <sz val="10.5"/>
        <color theme="1"/>
        <rFont val="Calibri"/>
        <family val="2"/>
      </rPr>
      <t>KWD</t>
    </r>
  </si>
  <si>
    <t>KYD</t>
  </si>
  <si>
    <r>
      <rPr>
        <sz val="10.5"/>
        <color theme="1"/>
        <rFont val="Calibri"/>
        <family val="2"/>
      </rPr>
      <t>KZT</t>
    </r>
  </si>
  <si>
    <r>
      <rPr>
        <sz val="10.5"/>
        <color theme="1"/>
        <rFont val="Calibri"/>
        <family val="2"/>
      </rPr>
      <t>LAK</t>
    </r>
  </si>
  <si>
    <r>
      <rPr>
        <sz val="10.5"/>
        <color theme="1"/>
        <rFont val="Calibri"/>
        <family val="2"/>
      </rPr>
      <t>LBP</t>
    </r>
  </si>
  <si>
    <r>
      <rPr>
        <sz val="10.5"/>
        <color theme="1"/>
        <rFont val="Calibri"/>
        <family val="2"/>
      </rPr>
      <t>LKR</t>
    </r>
  </si>
  <si>
    <r>
      <rPr>
        <sz val="10.5"/>
        <color theme="1"/>
        <rFont val="Calibri"/>
        <family val="2"/>
      </rPr>
      <t>LRD</t>
    </r>
  </si>
  <si>
    <r>
      <rPr>
        <sz val="10.5"/>
        <color theme="1"/>
        <rFont val="Calibri"/>
        <family val="2"/>
      </rPr>
      <t>LSL</t>
    </r>
  </si>
  <si>
    <r>
      <rPr>
        <sz val="10.5"/>
        <color theme="1"/>
        <rFont val="Calibri"/>
        <family val="2"/>
      </rPr>
      <t>Loti du Lesotho</t>
    </r>
  </si>
  <si>
    <r>
      <rPr>
        <sz val="10.5"/>
        <color theme="1"/>
        <rFont val="Calibri"/>
        <family val="2"/>
      </rPr>
      <t>LYD</t>
    </r>
  </si>
  <si>
    <r>
      <rPr>
        <sz val="10.5"/>
        <color theme="1"/>
        <rFont val="Calibri"/>
        <family val="2"/>
      </rPr>
      <t>MAD</t>
    </r>
  </si>
  <si>
    <r>
      <rPr>
        <sz val="10.5"/>
        <color theme="1"/>
        <rFont val="Calibri"/>
        <family val="2"/>
      </rPr>
      <t>MDL</t>
    </r>
  </si>
  <si>
    <r>
      <rPr>
        <sz val="10.5"/>
        <color theme="1"/>
        <rFont val="Calibri"/>
        <family val="2"/>
      </rPr>
      <t>MGA</t>
    </r>
  </si>
  <si>
    <r>
      <rPr>
        <sz val="10.5"/>
        <color theme="1"/>
        <rFont val="Calibri"/>
        <family val="2"/>
      </rPr>
      <t>Denar macédonien</t>
    </r>
  </si>
  <si>
    <r>
      <rPr>
        <sz val="10.5"/>
        <color theme="1"/>
        <rFont val="Calibri"/>
        <family val="2"/>
      </rPr>
      <t>MMK</t>
    </r>
  </si>
  <si>
    <r>
      <rPr>
        <sz val="10.5"/>
        <color theme="1"/>
        <rFont val="Calibri"/>
        <family val="2"/>
      </rPr>
      <t>MNT</t>
    </r>
  </si>
  <si>
    <r>
      <rPr>
        <sz val="10.5"/>
        <color theme="1"/>
        <rFont val="Calibri"/>
        <family val="2"/>
      </rPr>
      <t>MOP</t>
    </r>
  </si>
  <si>
    <r>
      <rPr>
        <sz val="10.5"/>
        <color theme="1"/>
        <rFont val="Calibri"/>
        <family val="2"/>
      </rPr>
      <t>MUR</t>
    </r>
  </si>
  <si>
    <r>
      <rPr>
        <sz val="10.5"/>
        <color theme="1"/>
        <rFont val="Calibri"/>
        <family val="2"/>
      </rPr>
      <t>MVR</t>
    </r>
  </si>
  <si>
    <r>
      <rPr>
        <sz val="10.5"/>
        <color theme="1"/>
        <rFont val="Calibri"/>
        <family val="2"/>
      </rPr>
      <t>MWK</t>
    </r>
  </si>
  <si>
    <r>
      <rPr>
        <sz val="10.5"/>
        <color theme="1"/>
        <rFont val="Calibri"/>
        <family val="2"/>
      </rPr>
      <t>Kwacha du Malawi</t>
    </r>
  </si>
  <si>
    <r>
      <rPr>
        <sz val="10.5"/>
        <color theme="1"/>
        <rFont val="Calibri"/>
        <family val="2"/>
      </rPr>
      <t>MXN</t>
    </r>
  </si>
  <si>
    <r>
      <rPr>
        <sz val="10.5"/>
        <color theme="1"/>
        <rFont val="Calibri"/>
        <family val="2"/>
      </rPr>
      <t>MYR</t>
    </r>
  </si>
  <si>
    <r>
      <rPr>
        <sz val="10.5"/>
        <color theme="1"/>
        <rFont val="Calibri"/>
        <family val="2"/>
      </rPr>
      <t>MZN</t>
    </r>
  </si>
  <si>
    <r>
      <rPr>
        <sz val="10.5"/>
        <color theme="1"/>
        <rFont val="Calibri"/>
        <family val="2"/>
      </rPr>
      <t>NAD</t>
    </r>
  </si>
  <si>
    <r>
      <rPr>
        <sz val="10.5"/>
        <color theme="1"/>
        <rFont val="Calibri"/>
        <family val="2"/>
      </rPr>
      <t>NGN</t>
    </r>
  </si>
  <si>
    <r>
      <rPr>
        <sz val="10.5"/>
        <color theme="1"/>
        <rFont val="Calibri"/>
        <family val="2"/>
      </rPr>
      <t>NIO</t>
    </r>
  </si>
  <si>
    <r>
      <rPr>
        <sz val="10.5"/>
        <color theme="1"/>
        <rFont val="Calibri"/>
        <family val="2"/>
      </rPr>
      <t>NOK</t>
    </r>
  </si>
  <si>
    <r>
      <rPr>
        <sz val="10.5"/>
        <color theme="1"/>
        <rFont val="Calibri"/>
        <family val="2"/>
      </rPr>
      <t>NPR</t>
    </r>
  </si>
  <si>
    <r>
      <rPr>
        <sz val="10.5"/>
        <color theme="1"/>
        <rFont val="Calibri"/>
        <family val="2"/>
      </rPr>
      <t>NZD</t>
    </r>
  </si>
  <si>
    <r>
      <rPr>
        <sz val="10.5"/>
        <color theme="1"/>
        <rFont val="Calibri"/>
        <family val="2"/>
      </rPr>
      <t>OMR</t>
    </r>
  </si>
  <si>
    <r>
      <rPr>
        <sz val="10.5"/>
        <color theme="1"/>
        <rFont val="Calibri"/>
        <family val="2"/>
      </rPr>
      <t>PAB</t>
    </r>
  </si>
  <si>
    <r>
      <rPr>
        <sz val="10.5"/>
        <color theme="1"/>
        <rFont val="Calibri"/>
        <family val="2"/>
      </rPr>
      <t>PEN</t>
    </r>
  </si>
  <si>
    <r>
      <rPr>
        <sz val="10.5"/>
        <color theme="1"/>
        <rFont val="Calibri"/>
        <family val="2"/>
      </rPr>
      <t>Sol péruvien</t>
    </r>
  </si>
  <si>
    <r>
      <rPr>
        <sz val="10.5"/>
        <color theme="1"/>
        <rFont val="Calibri"/>
        <family val="2"/>
      </rPr>
      <t>PGK</t>
    </r>
  </si>
  <si>
    <r>
      <rPr>
        <sz val="10.5"/>
        <color theme="1"/>
        <rFont val="Calibri"/>
        <family val="2"/>
      </rPr>
      <t>PHP</t>
    </r>
  </si>
  <si>
    <r>
      <rPr>
        <sz val="10.5"/>
        <color theme="1"/>
        <rFont val="Calibri"/>
        <family val="2"/>
      </rPr>
      <t>PKR</t>
    </r>
  </si>
  <si>
    <r>
      <rPr>
        <sz val="10.5"/>
        <color theme="1"/>
        <rFont val="Calibri"/>
        <family val="2"/>
      </rPr>
      <t>PLN</t>
    </r>
  </si>
  <si>
    <r>
      <rPr>
        <sz val="10.5"/>
        <color theme="1"/>
        <rFont val="Calibri"/>
        <family val="2"/>
      </rPr>
      <t>PYG</t>
    </r>
  </si>
  <si>
    <r>
      <rPr>
        <sz val="10.5"/>
        <color theme="1"/>
        <rFont val="Calibri"/>
        <family val="2"/>
      </rPr>
      <t>Guarani paraguayen</t>
    </r>
  </si>
  <si>
    <r>
      <rPr>
        <sz val="10.5"/>
        <color theme="1"/>
        <rFont val="Calibri"/>
        <family val="2"/>
      </rPr>
      <t>QAR</t>
    </r>
  </si>
  <si>
    <r>
      <rPr>
        <sz val="10.5"/>
        <color theme="1"/>
        <rFont val="Calibri"/>
        <family val="2"/>
      </rPr>
      <t>RON</t>
    </r>
  </si>
  <si>
    <r>
      <rPr>
        <sz val="10.5"/>
        <color theme="1"/>
        <rFont val="Calibri"/>
        <family val="2"/>
      </rPr>
      <t>RSD</t>
    </r>
  </si>
  <si>
    <r>
      <rPr>
        <sz val="10.5"/>
        <color theme="1"/>
        <rFont val="Calibri"/>
        <family val="2"/>
      </rPr>
      <t>RUB</t>
    </r>
  </si>
  <si>
    <r>
      <rPr>
        <sz val="10.5"/>
        <color theme="1"/>
        <rFont val="Calibri"/>
        <family val="2"/>
      </rPr>
      <t>RWF</t>
    </r>
  </si>
  <si>
    <r>
      <rPr>
        <sz val="10.5"/>
        <color theme="1"/>
        <rFont val="Calibri"/>
        <family val="2"/>
      </rPr>
      <t>SAR</t>
    </r>
  </si>
  <si>
    <r>
      <rPr>
        <sz val="10.5"/>
        <color theme="1"/>
        <rFont val="Calibri"/>
        <family val="2"/>
      </rPr>
      <t>SBD</t>
    </r>
  </si>
  <si>
    <r>
      <rPr>
        <sz val="10.5"/>
        <color theme="1"/>
        <rFont val="Calibri"/>
        <family val="2"/>
      </rPr>
      <t>SCR</t>
    </r>
  </si>
  <si>
    <r>
      <rPr>
        <sz val="10.5"/>
        <color theme="1"/>
        <rFont val="Calibri"/>
        <family val="2"/>
      </rPr>
      <t>SDG</t>
    </r>
  </si>
  <si>
    <r>
      <rPr>
        <sz val="10.5"/>
        <color theme="1"/>
        <rFont val="Calibri"/>
        <family val="2"/>
      </rPr>
      <t>SEK</t>
    </r>
  </si>
  <si>
    <r>
      <rPr>
        <sz val="10.5"/>
        <color theme="1"/>
        <rFont val="Calibri"/>
        <family val="2"/>
      </rPr>
      <t>SGD</t>
    </r>
  </si>
  <si>
    <r>
      <rPr>
        <sz val="10.5"/>
        <color theme="1"/>
        <rFont val="Calibri"/>
        <family val="2"/>
      </rPr>
      <t>SHP</t>
    </r>
  </si>
  <si>
    <r>
      <rPr>
        <sz val="10.5"/>
        <color theme="1"/>
        <rFont val="Calibri"/>
        <family val="2"/>
      </rPr>
      <t>SLL</t>
    </r>
  </si>
  <si>
    <r>
      <rPr>
        <sz val="10.5"/>
        <color theme="1"/>
        <rFont val="Calibri"/>
        <family val="2"/>
      </rPr>
      <t>Leone sierra-léonaise</t>
    </r>
  </si>
  <si>
    <r>
      <rPr>
        <sz val="10.5"/>
        <color theme="1"/>
        <rFont val="Calibri"/>
        <family val="2"/>
      </rPr>
      <t>SOS</t>
    </r>
  </si>
  <si>
    <r>
      <rPr>
        <sz val="10.5"/>
        <color theme="1"/>
        <rFont val="Calibri"/>
        <family val="2"/>
      </rPr>
      <t>SRD</t>
    </r>
  </si>
  <si>
    <r>
      <rPr>
        <sz val="10.5"/>
        <color theme="1"/>
        <rFont val="Calibri"/>
        <family val="2"/>
      </rPr>
      <t>Dollar du Suriname</t>
    </r>
  </si>
  <si>
    <r>
      <rPr>
        <sz val="10.5"/>
        <color theme="1"/>
        <rFont val="Calibri"/>
        <family val="2"/>
      </rPr>
      <t>SSP</t>
    </r>
  </si>
  <si>
    <r>
      <rPr>
        <sz val="10.5"/>
        <color theme="1"/>
        <rFont val="Calibri"/>
        <family val="2"/>
      </rPr>
      <t>SYP</t>
    </r>
  </si>
  <si>
    <t>SZL</t>
  </si>
  <si>
    <r>
      <rPr>
        <sz val="10.5"/>
        <color theme="1"/>
        <rFont val="Calibri"/>
        <family val="2"/>
      </rPr>
      <t>THB</t>
    </r>
  </si>
  <si>
    <r>
      <rPr>
        <sz val="10.5"/>
        <color theme="1"/>
        <rFont val="Calibri"/>
        <family val="2"/>
      </rPr>
      <t>TJS</t>
    </r>
  </si>
  <si>
    <r>
      <rPr>
        <sz val="10.5"/>
        <color theme="1"/>
        <rFont val="Calibri"/>
        <family val="2"/>
      </rPr>
      <t>TMT</t>
    </r>
  </si>
  <si>
    <r>
      <rPr>
        <sz val="10.5"/>
        <color theme="1"/>
        <rFont val="Calibri"/>
        <family val="2"/>
      </rPr>
      <t>TND</t>
    </r>
  </si>
  <si>
    <r>
      <rPr>
        <sz val="10.5"/>
        <color theme="1"/>
        <rFont val="Calibri"/>
        <family val="2"/>
      </rPr>
      <t>Tunisie</t>
    </r>
  </si>
  <si>
    <r>
      <rPr>
        <sz val="10.5"/>
        <color theme="1"/>
        <rFont val="Calibri"/>
        <family val="2"/>
      </rPr>
      <t>TOP</t>
    </r>
  </si>
  <si>
    <r>
      <rPr>
        <sz val="10.5"/>
        <color theme="1"/>
        <rFont val="Calibri"/>
        <family val="2"/>
      </rPr>
      <t>TRY</t>
    </r>
  </si>
  <si>
    <r>
      <rPr>
        <sz val="10.5"/>
        <color theme="1"/>
        <rFont val="Calibri"/>
        <family val="2"/>
      </rPr>
      <t>Lire turque</t>
    </r>
  </si>
  <si>
    <r>
      <rPr>
        <sz val="10.5"/>
        <color theme="1"/>
        <rFont val="Calibri"/>
        <family val="2"/>
      </rPr>
      <t>TTD</t>
    </r>
  </si>
  <si>
    <r>
      <rPr>
        <sz val="10.5"/>
        <color theme="1"/>
        <rFont val="Calibri"/>
        <family val="2"/>
      </rPr>
      <t>TWD</t>
    </r>
  </si>
  <si>
    <r>
      <rPr>
        <sz val="10.5"/>
        <color theme="1"/>
        <rFont val="Calibri"/>
        <family val="2"/>
      </rPr>
      <t>Nouveau dollar taïwanais</t>
    </r>
  </si>
  <si>
    <r>
      <rPr>
        <sz val="10.5"/>
        <color theme="1"/>
        <rFont val="Calibri"/>
        <family val="2"/>
      </rPr>
      <t>TZS</t>
    </r>
  </si>
  <si>
    <r>
      <rPr>
        <sz val="10.5"/>
        <color theme="1"/>
        <rFont val="Calibri"/>
        <family val="2"/>
      </rPr>
      <t>Shilling tanzanien</t>
    </r>
  </si>
  <si>
    <r>
      <rPr>
        <sz val="10.5"/>
        <color theme="1"/>
        <rFont val="Calibri"/>
        <family val="2"/>
      </rPr>
      <t>UAH</t>
    </r>
  </si>
  <si>
    <r>
      <rPr>
        <sz val="10.5"/>
        <color theme="1"/>
        <rFont val="Calibri"/>
        <family val="2"/>
      </rPr>
      <t>UGX</t>
    </r>
  </si>
  <si>
    <r>
      <rPr>
        <sz val="10.5"/>
        <color theme="1"/>
        <rFont val="Calibri"/>
        <family val="2"/>
      </rPr>
      <t>Shilling ougandais</t>
    </r>
  </si>
  <si>
    <t>Dollar des États-Unis</t>
  </si>
  <si>
    <r>
      <rPr>
        <sz val="10.5"/>
        <color theme="1"/>
        <rFont val="Calibri"/>
        <family val="2"/>
      </rPr>
      <t>UYU</t>
    </r>
  </si>
  <si>
    <r>
      <rPr>
        <sz val="10.5"/>
        <color theme="1"/>
        <rFont val="Calibri"/>
        <family val="2"/>
      </rPr>
      <t>UZS</t>
    </r>
  </si>
  <si>
    <r>
      <rPr>
        <sz val="10.5"/>
        <color theme="1"/>
        <rFont val="Calibri"/>
        <family val="2"/>
      </rPr>
      <t>VEF</t>
    </r>
  </si>
  <si>
    <r>
      <rPr>
        <sz val="10.5"/>
        <color theme="1"/>
        <rFont val="Calibri"/>
        <family val="2"/>
      </rPr>
      <t>VND</t>
    </r>
  </si>
  <si>
    <r>
      <rPr>
        <sz val="10.5"/>
        <color theme="1"/>
        <rFont val="Calibri"/>
        <family val="2"/>
      </rPr>
      <t>VUV</t>
    </r>
  </si>
  <si>
    <r>
      <rPr>
        <sz val="10.5"/>
        <color theme="1"/>
        <rFont val="Calibri"/>
        <family val="2"/>
      </rPr>
      <t>WST</t>
    </r>
  </si>
  <si>
    <r>
      <rPr>
        <sz val="10.5"/>
        <color theme="1"/>
        <rFont val="Calibri"/>
        <family val="2"/>
      </rPr>
      <t>Tala de Samoa</t>
    </r>
  </si>
  <si>
    <t>XAF</t>
  </si>
  <si>
    <t>XCD</t>
  </si>
  <si>
    <t>Dollar des Caraïbes orientales</t>
  </si>
  <si>
    <t>XOF</t>
  </si>
  <si>
    <r>
      <rPr>
        <sz val="10.5"/>
        <color theme="1"/>
        <rFont val="Calibri"/>
        <family val="2"/>
      </rPr>
      <t>YER</t>
    </r>
  </si>
  <si>
    <r>
      <rPr>
        <sz val="10.5"/>
        <color theme="1"/>
        <rFont val="Calibri"/>
        <family val="2"/>
      </rPr>
      <t>ZAR</t>
    </r>
  </si>
  <si>
    <r>
      <rPr>
        <sz val="10.5"/>
        <color theme="1"/>
        <rFont val="Calibri"/>
        <family val="2"/>
      </rPr>
      <t>ZMW</t>
    </r>
  </si>
  <si>
    <t>Dollar de la Barbade</t>
  </si>
  <si>
    <r>
      <rPr>
        <sz val="10.5"/>
        <color theme="1"/>
        <rFont val="Calibri"/>
        <family val="2"/>
      </rPr>
      <t>Lev bulgare (ancien)</t>
    </r>
  </si>
  <si>
    <t>Boliviano bolivien</t>
  </si>
  <si>
    <t>-</t>
  </si>
  <si>
    <t>BYR</t>
  </si>
  <si>
    <t>Rouble de Belarus</t>
  </si>
  <si>
    <r>
      <rPr>
        <sz val="10.5"/>
        <color theme="1"/>
        <rFont val="Calibri"/>
        <family val="2"/>
      </rPr>
      <t>CNH</t>
    </r>
  </si>
  <si>
    <r>
      <rPr>
        <sz val="10.5"/>
        <color theme="1"/>
        <rFont val="Calibri"/>
        <family val="2"/>
      </rPr>
      <t>Yuan renminbi chinois (off-shore)</t>
    </r>
  </si>
  <si>
    <r>
      <rPr>
        <sz val="10.5"/>
        <color theme="1"/>
        <rFont val="Calibri"/>
        <family val="2"/>
      </rPr>
      <t>Peso cubain convertible</t>
    </r>
  </si>
  <si>
    <t>Escudo cap-verdien</t>
  </si>
  <si>
    <r>
      <rPr>
        <sz val="10.5"/>
        <color theme="1"/>
        <rFont val="Calibri"/>
        <family val="2"/>
      </rPr>
      <t>Dollar fidjien</t>
    </r>
  </si>
  <si>
    <r>
      <rPr>
        <sz val="10.5"/>
        <color theme="1"/>
        <rFont val="Calibri"/>
        <family val="2"/>
      </rPr>
      <t>GGP</t>
    </r>
  </si>
  <si>
    <r>
      <rPr>
        <sz val="10.5"/>
        <color theme="1"/>
        <rFont val="Calibri"/>
        <family val="2"/>
      </rPr>
      <t>Livre</t>
    </r>
  </si>
  <si>
    <r>
      <rPr>
        <sz val="10.5"/>
        <color theme="1"/>
        <rFont val="Calibri"/>
        <family val="2"/>
      </rPr>
      <t>Dollar guyanais</t>
    </r>
  </si>
  <si>
    <r>
      <rPr>
        <sz val="10.5"/>
        <color theme="1"/>
        <rFont val="Calibri"/>
        <family val="2"/>
      </rPr>
      <t>Lempira hondurien</t>
    </r>
  </si>
  <si>
    <r>
      <rPr>
        <sz val="10.5"/>
        <color theme="1"/>
        <rFont val="Calibri"/>
        <family val="2"/>
      </rPr>
      <t>Gourde haïtienne</t>
    </r>
  </si>
  <si>
    <r>
      <rPr>
        <sz val="10.5"/>
        <color theme="1"/>
        <rFont val="Calibri"/>
        <family val="2"/>
      </rPr>
      <t>Forint hongrois</t>
    </r>
  </si>
  <si>
    <r>
      <rPr>
        <sz val="10.5"/>
        <color theme="1"/>
        <rFont val="Calibri"/>
        <family val="2"/>
      </rPr>
      <t>Roupie indonésienne</t>
    </r>
  </si>
  <si>
    <r>
      <rPr>
        <sz val="10.5"/>
        <color theme="1"/>
        <rFont val="Calibri"/>
        <family val="2"/>
      </rPr>
      <t>Nouveau shekel israélien</t>
    </r>
  </si>
  <si>
    <r>
      <rPr>
        <sz val="10.5"/>
        <color theme="1"/>
        <rFont val="Calibri"/>
        <family val="2"/>
      </rPr>
      <t>IMP</t>
    </r>
  </si>
  <si>
    <r>
      <rPr>
        <sz val="10.5"/>
        <color theme="1"/>
        <rFont val="Calibri"/>
        <family val="2"/>
      </rPr>
      <t>Livre de l’Île de Man</t>
    </r>
  </si>
  <si>
    <r>
      <rPr>
        <sz val="10.5"/>
        <color theme="1"/>
        <rFont val="Calibri"/>
        <family val="2"/>
      </rPr>
      <t>Roupie indienne</t>
    </r>
  </si>
  <si>
    <r>
      <rPr>
        <sz val="10.5"/>
        <color theme="1"/>
        <rFont val="Calibri"/>
        <family val="2"/>
      </rPr>
      <t>Rial iranien</t>
    </r>
  </si>
  <si>
    <r>
      <rPr>
        <sz val="10.5"/>
        <color theme="1"/>
        <rFont val="Calibri"/>
        <family val="2"/>
      </rPr>
      <t>JEP</t>
    </r>
  </si>
  <si>
    <r>
      <rPr>
        <sz val="10.5"/>
        <color theme="1"/>
        <rFont val="Calibri"/>
        <family val="2"/>
      </rPr>
      <t>Livre de Jersey</t>
    </r>
  </si>
  <si>
    <r>
      <rPr>
        <sz val="10.5"/>
        <color theme="1"/>
        <rFont val="Calibri"/>
        <family val="2"/>
      </rPr>
      <t>Dollar de la Jamaïque</t>
    </r>
  </si>
  <si>
    <r>
      <rPr>
        <sz val="10.5"/>
        <color theme="1"/>
        <rFont val="Calibri"/>
        <family val="2"/>
      </rPr>
      <t>Dinar jordanien</t>
    </r>
  </si>
  <si>
    <r>
      <rPr>
        <sz val="10.5"/>
        <color theme="1"/>
        <rFont val="Calibri"/>
        <family val="2"/>
      </rPr>
      <t>Yen japonais</t>
    </r>
  </si>
  <si>
    <r>
      <rPr>
        <sz val="10.5"/>
        <color theme="1"/>
        <rFont val="Calibri"/>
        <family val="2"/>
      </rPr>
      <t>Shilling kenyan</t>
    </r>
  </si>
  <si>
    <r>
      <rPr>
        <sz val="10.5"/>
        <color theme="1"/>
        <rFont val="Calibri"/>
        <family val="2"/>
      </rPr>
      <t>Sum kirghize</t>
    </r>
  </si>
  <si>
    <t>Riel cambodgien</t>
  </si>
  <si>
    <t>Franc comorien</t>
  </si>
  <si>
    <r>
      <rPr>
        <sz val="10.5"/>
        <color theme="1"/>
        <rFont val="Calibri"/>
        <family val="2"/>
      </rPr>
      <t>Won nord-coréen</t>
    </r>
  </si>
  <si>
    <r>
      <rPr>
        <sz val="10.5"/>
        <color theme="1"/>
        <rFont val="Calibri"/>
        <family val="2"/>
      </rPr>
      <t>Won sud-coréen</t>
    </r>
  </si>
  <si>
    <t>Dollar des Îles Caïman</t>
  </si>
  <si>
    <r>
      <rPr>
        <sz val="10.5"/>
        <color theme="1"/>
        <rFont val="Calibri"/>
        <family val="2"/>
      </rPr>
      <t>Tenge kazakh</t>
    </r>
  </si>
  <si>
    <r>
      <rPr>
        <sz val="10.5"/>
        <color theme="1"/>
        <rFont val="Calibri"/>
        <family val="2"/>
      </rPr>
      <t>Kip laotien</t>
    </r>
  </si>
  <si>
    <r>
      <rPr>
        <sz val="10.5"/>
        <color theme="1"/>
        <rFont val="Calibri"/>
        <family val="2"/>
      </rPr>
      <t>Livre libanaise</t>
    </r>
  </si>
  <si>
    <r>
      <rPr>
        <sz val="10.5"/>
        <color theme="1"/>
        <rFont val="Calibri"/>
        <family val="2"/>
      </rPr>
      <t>Roupie du Sri Lanka</t>
    </r>
  </si>
  <si>
    <r>
      <rPr>
        <sz val="10.5"/>
        <color theme="1"/>
        <rFont val="Calibri"/>
        <family val="2"/>
      </rPr>
      <t>Dollar du Libéria</t>
    </r>
  </si>
  <si>
    <r>
      <rPr>
        <sz val="10.5"/>
        <color theme="1"/>
        <rFont val="Calibri"/>
        <family val="2"/>
      </rPr>
      <t>Dinar libyen</t>
    </r>
  </si>
  <si>
    <r>
      <rPr>
        <sz val="10.5"/>
        <color theme="1"/>
        <rFont val="Calibri"/>
        <family val="2"/>
      </rPr>
      <t>Dirham marocain</t>
    </r>
  </si>
  <si>
    <r>
      <rPr>
        <sz val="10.5"/>
        <color theme="1"/>
        <rFont val="Calibri"/>
        <family val="2"/>
      </rPr>
      <t>Leu moldave</t>
    </r>
  </si>
  <si>
    <r>
      <rPr>
        <sz val="10.5"/>
        <color theme="1"/>
        <rFont val="Calibri"/>
        <family val="2"/>
      </rPr>
      <t>Ariary malgache</t>
    </r>
  </si>
  <si>
    <r>
      <rPr>
        <sz val="10.5"/>
        <color theme="1"/>
        <rFont val="Calibri"/>
        <family val="2"/>
      </rPr>
      <t>Kyat birman</t>
    </r>
  </si>
  <si>
    <r>
      <rPr>
        <sz val="10.5"/>
        <color theme="1"/>
        <rFont val="Calibri"/>
        <family val="2"/>
      </rPr>
      <t>Tugrik mongole</t>
    </r>
  </si>
  <si>
    <r>
      <rPr>
        <sz val="10.5"/>
        <color theme="1"/>
        <rFont val="Calibri"/>
        <family val="2"/>
      </rPr>
      <t>MRO</t>
    </r>
  </si>
  <si>
    <r>
      <rPr>
        <sz val="10.5"/>
        <color theme="1"/>
        <rFont val="Calibri"/>
        <family val="2"/>
      </rPr>
      <t>Ouguiya mauritanien</t>
    </r>
  </si>
  <si>
    <r>
      <rPr>
        <sz val="10.5"/>
        <color theme="1"/>
        <rFont val="Calibri"/>
        <family val="2"/>
      </rPr>
      <t>Roupie mauricienne</t>
    </r>
  </si>
  <si>
    <r>
      <rPr>
        <sz val="10.5"/>
        <color theme="1"/>
        <rFont val="Calibri"/>
        <family val="2"/>
      </rPr>
      <t>Rufiyaa des Maldives</t>
    </r>
  </si>
  <si>
    <r>
      <rPr>
        <sz val="10.5"/>
        <color theme="1"/>
        <rFont val="Calibri"/>
        <family val="2"/>
      </rPr>
      <t>Peso mexicain</t>
    </r>
  </si>
  <si>
    <r>
      <rPr>
        <sz val="10.5"/>
        <color theme="1"/>
        <rFont val="Calibri"/>
        <family val="2"/>
      </rPr>
      <t>Ringgit malais</t>
    </r>
  </si>
  <si>
    <r>
      <rPr>
        <sz val="10.5"/>
        <color theme="1"/>
        <rFont val="Calibri"/>
        <family val="2"/>
      </rPr>
      <t>Metical mozambicain</t>
    </r>
  </si>
  <si>
    <r>
      <rPr>
        <sz val="10.5"/>
        <color theme="1"/>
        <rFont val="Calibri"/>
        <family val="2"/>
      </rPr>
      <t>Dollar namibien</t>
    </r>
  </si>
  <si>
    <r>
      <rPr>
        <sz val="10.5"/>
        <color theme="1"/>
        <rFont val="Calibri"/>
        <family val="2"/>
      </rPr>
      <t>Naira  nigérian</t>
    </r>
  </si>
  <si>
    <r>
      <rPr>
        <sz val="10.5"/>
        <color theme="1"/>
        <rFont val="Calibri"/>
        <family val="2"/>
      </rPr>
      <t xml:space="preserve">Cordoba oro nicaraguayen </t>
    </r>
  </si>
  <si>
    <r>
      <rPr>
        <sz val="10.5"/>
        <color theme="1"/>
        <rFont val="Calibri"/>
        <family val="2"/>
      </rPr>
      <t>Couronne norvégienne</t>
    </r>
  </si>
  <si>
    <r>
      <rPr>
        <sz val="10.5"/>
        <color theme="1"/>
        <rFont val="Calibri"/>
        <family val="2"/>
      </rPr>
      <t>Roupie népalaise</t>
    </r>
  </si>
  <si>
    <r>
      <rPr>
        <sz val="10.5"/>
        <color theme="1"/>
        <rFont val="Calibri"/>
        <family val="2"/>
      </rPr>
      <t>Dollar néo-zélandais</t>
    </r>
  </si>
  <si>
    <r>
      <rPr>
        <sz val="10.5"/>
        <color theme="1"/>
        <rFont val="Calibri"/>
        <family val="2"/>
      </rPr>
      <t>Rial omanais</t>
    </r>
  </si>
  <si>
    <r>
      <rPr>
        <sz val="10.5"/>
        <color theme="1"/>
        <rFont val="Calibri"/>
        <family val="2"/>
      </rPr>
      <t>Peso philippin</t>
    </r>
  </si>
  <si>
    <r>
      <rPr>
        <sz val="10.5"/>
        <color theme="1"/>
        <rFont val="Calibri"/>
        <family val="2"/>
      </rPr>
      <t>Roupie pakistanaise</t>
    </r>
  </si>
  <si>
    <r>
      <rPr>
        <sz val="10.5"/>
        <color theme="1"/>
        <rFont val="Calibri"/>
        <family val="2"/>
      </rPr>
      <t>Zloty polonais</t>
    </r>
  </si>
  <si>
    <r>
      <rPr>
        <sz val="10.5"/>
        <color theme="1"/>
        <rFont val="Calibri"/>
        <family val="2"/>
      </rPr>
      <t>Leu roumain</t>
    </r>
  </si>
  <si>
    <r>
      <rPr>
        <sz val="10.5"/>
        <color theme="1"/>
        <rFont val="Calibri"/>
        <family val="2"/>
      </rPr>
      <t>Dinar serbe</t>
    </r>
  </si>
  <si>
    <r>
      <rPr>
        <sz val="10.5"/>
        <color theme="1"/>
        <rFont val="Calibri"/>
        <family val="2"/>
      </rPr>
      <t>Rouble russe</t>
    </r>
  </si>
  <si>
    <r>
      <rPr>
        <sz val="10.5"/>
        <color theme="1"/>
        <rFont val="Calibri"/>
        <family val="2"/>
      </rPr>
      <t>Franc rwandais</t>
    </r>
  </si>
  <si>
    <r>
      <rPr>
        <sz val="10.5"/>
        <color theme="1"/>
        <rFont val="Calibri"/>
        <family val="2"/>
      </rPr>
      <t>Rial saoudite</t>
    </r>
  </si>
  <si>
    <r>
      <rPr>
        <sz val="10.5"/>
        <color theme="1"/>
        <rFont val="Calibri"/>
        <family val="2"/>
      </rPr>
      <t>Dollar des Îles Salomon</t>
    </r>
  </si>
  <si>
    <r>
      <rPr>
        <sz val="10.5"/>
        <color theme="1"/>
        <rFont val="Calibri"/>
        <family val="2"/>
      </rPr>
      <t>Roupie seychelloise</t>
    </r>
  </si>
  <si>
    <r>
      <rPr>
        <sz val="10.5"/>
        <color theme="1"/>
        <rFont val="Calibri"/>
        <family val="2"/>
      </rPr>
      <t>Livre soudanaise</t>
    </r>
  </si>
  <si>
    <r>
      <rPr>
        <sz val="10.5"/>
        <color theme="1"/>
        <rFont val="Calibri"/>
        <family val="2"/>
      </rPr>
      <t>Couronne suédoise</t>
    </r>
  </si>
  <si>
    <r>
      <rPr>
        <sz val="10.5"/>
        <color theme="1"/>
        <rFont val="Calibri"/>
        <family val="2"/>
      </rPr>
      <t>Dollar de Singapour</t>
    </r>
  </si>
  <si>
    <r>
      <rPr>
        <sz val="10.5"/>
        <color theme="1"/>
        <rFont val="Calibri"/>
        <family val="2"/>
      </rPr>
      <t>Livre de Saint Hélène</t>
    </r>
  </si>
  <si>
    <r>
      <rPr>
        <sz val="10.5"/>
        <color theme="1"/>
        <rFont val="Calibri"/>
        <family val="2"/>
      </rPr>
      <t>Livre sud-soudanaise</t>
    </r>
  </si>
  <si>
    <r>
      <rPr>
        <sz val="10.5"/>
        <color theme="1"/>
        <rFont val="Calibri"/>
        <family val="2"/>
      </rPr>
      <t>STD</t>
    </r>
  </si>
  <si>
    <r>
      <rPr>
        <sz val="10.5"/>
        <color theme="1"/>
        <rFont val="Calibri"/>
        <family val="2"/>
      </rPr>
      <t>Dobra de Sao Tomé-et-Principe</t>
    </r>
  </si>
  <si>
    <r>
      <rPr>
        <sz val="10.5"/>
        <color theme="1"/>
        <rFont val="Calibri"/>
        <family val="2"/>
      </rPr>
      <t>Livre syrienne</t>
    </r>
  </si>
  <si>
    <t>Lilangeni swazi</t>
  </si>
  <si>
    <r>
      <rPr>
        <sz val="10.5"/>
        <color theme="1"/>
        <rFont val="Calibri"/>
        <family val="2"/>
      </rPr>
      <t>Baht thaïlandais</t>
    </r>
  </si>
  <si>
    <r>
      <rPr>
        <sz val="10.5"/>
        <color theme="1"/>
        <rFont val="Calibri"/>
        <family val="2"/>
      </rPr>
      <t>Nouveau manat turkmène</t>
    </r>
  </si>
  <si>
    <r>
      <rPr>
        <sz val="10.5"/>
        <color theme="1"/>
        <rFont val="Calibri"/>
        <family val="2"/>
      </rPr>
      <t>Pa’anga des Îles Tonga</t>
    </r>
  </si>
  <si>
    <r>
      <rPr>
        <sz val="10.5"/>
        <color theme="1"/>
        <rFont val="Calibri"/>
        <family val="2"/>
      </rPr>
      <t>Dollar de Trinité-et-Tobago</t>
    </r>
  </si>
  <si>
    <r>
      <rPr>
        <sz val="10.5"/>
        <color theme="1"/>
        <rFont val="Calibri"/>
        <family val="2"/>
      </rPr>
      <t>TVD</t>
    </r>
  </si>
  <si>
    <r>
      <rPr>
        <sz val="10.5"/>
        <color theme="1"/>
        <rFont val="Calibri"/>
        <family val="2"/>
      </rPr>
      <t>Dollar de Tuvalu</t>
    </r>
  </si>
  <si>
    <r>
      <rPr>
        <sz val="10.5"/>
        <color theme="1"/>
        <rFont val="Calibri"/>
        <family val="2"/>
      </rPr>
      <t>Hryvnia ukrainien</t>
    </r>
  </si>
  <si>
    <r>
      <rPr>
        <sz val="10.5"/>
        <color theme="1"/>
        <rFont val="Calibri"/>
        <family val="2"/>
      </rPr>
      <t xml:space="preserve">Peso uruguayen </t>
    </r>
  </si>
  <si>
    <r>
      <rPr>
        <sz val="10.5"/>
        <color theme="1"/>
        <rFont val="Calibri"/>
        <family val="2"/>
      </rPr>
      <t>Dong vietnamien</t>
    </r>
  </si>
  <si>
    <r>
      <rPr>
        <sz val="10.5"/>
        <color theme="1"/>
        <rFont val="Calibri"/>
        <family val="2"/>
      </rPr>
      <t>Vatu de Vanuatu</t>
    </r>
  </si>
  <si>
    <t>Franc CFA d’Afrique de l’Ouest</t>
  </si>
  <si>
    <r>
      <rPr>
        <sz val="10.5"/>
        <color theme="1"/>
        <rFont val="Calibri"/>
        <family val="2"/>
      </rPr>
      <t>Rial yéménite</t>
    </r>
  </si>
  <si>
    <r>
      <rPr>
        <sz val="10.5"/>
        <color theme="1"/>
        <rFont val="Calibri"/>
        <family val="2"/>
      </rPr>
      <t>Rand sud-africain</t>
    </r>
  </si>
  <si>
    <r>
      <rPr>
        <sz val="10.5"/>
        <color theme="1"/>
        <rFont val="Calibri"/>
        <family val="2"/>
      </rPr>
      <t>Kwacha zambien</t>
    </r>
  </si>
  <si>
    <r>
      <rPr>
        <b/>
        <sz val="10.5"/>
        <color theme="1"/>
        <rFont val="Calibri"/>
        <family val="2"/>
      </rPr>
      <t>Code de devise (ISO 4217)</t>
    </r>
  </si>
  <si>
    <r>
      <rPr>
        <b/>
        <sz val="10.5"/>
        <color theme="1"/>
        <rFont val="Calibri"/>
        <family val="2"/>
      </rPr>
      <t>Code numérique de devise (ISO 4217)</t>
    </r>
  </si>
  <si>
    <t>Franc CFA d’Afrique centrale</t>
  </si>
  <si>
    <r>
      <rPr>
        <sz val="10.5"/>
        <color theme="1"/>
        <rFont val="Calibri"/>
        <family val="2"/>
      </rPr>
      <t>Patca de Macao</t>
    </r>
  </si>
  <si>
    <t>Kosovo</t>
  </si>
  <si>
    <t>XK</t>
  </si>
  <si>
    <t>XKX</t>
  </si>
  <si>
    <r>
      <rPr>
        <b/>
        <sz val="10.5"/>
        <color theme="1"/>
        <rFont val="Calibri"/>
        <family val="2"/>
      </rPr>
      <t>Tableau 3 - Options de déclaration</t>
    </r>
  </si>
  <si>
    <r>
      <rPr>
        <b/>
        <sz val="10.5"/>
        <color theme="1"/>
        <rFont val="Calibri"/>
        <family val="2"/>
      </rPr>
      <t>Tableau 4 - Liste des codes de devise</t>
    </r>
  </si>
  <si>
    <r>
      <rPr>
        <b/>
        <sz val="10.5"/>
        <color theme="1"/>
        <rFont val="Calibri"/>
        <family val="2"/>
      </rPr>
      <t>Tableau 5 - Liste de matières premières</t>
    </r>
  </si>
  <si>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</si>
  <si>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</si>
  <si>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</si>
  <si>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</si>
  <si>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</si>
  <si>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</si>
  <si>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</si>
  <si>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</si>
  <si>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</si>
  <si>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</si>
  <si>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</si>
  <si>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</si>
  <si>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</si>
  <si>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</si>
  <si>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</si>
  <si>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</si>
  <si>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</si>
  <si>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</si>
  <si>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</si>
  <si>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</si>
  <si>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</si>
  <si>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</si>
  <si>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</si>
  <si>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</si>
  <si>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</si>
  <si>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</si>
  <si>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</si>
  <si>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</si>
  <si>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</si>
  <si>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</si>
  <si>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</si>
  <si>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</si>
  <si>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</si>
  <si>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</si>
  <si>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</si>
  <si>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</si>
  <si>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</si>
  <si>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</si>
  <si>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</si>
  <si>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</si>
  <si>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</si>
  <si>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</si>
  <si>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</si>
  <si>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</si>
  <si>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</si>
  <si>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</si>
  <si>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</si>
  <si>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</si>
  <si>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</si>
  <si>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</si>
  <si>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</si>
  <si>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</si>
  <si>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</si>
  <si>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</si>
  <si>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</si>
  <si>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</si>
  <si>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</si>
  <si>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</si>
  <si>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</si>
  <si>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</si>
  <si>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</si>
  <si>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</si>
  <si>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</si>
  <si>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</si>
  <si>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</si>
  <si>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</si>
  <si>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7102</t>
  </si>
  <si>
    <t>7106</t>
  </si>
  <si>
    <t>7108</t>
  </si>
  <si>
    <r>
      <rPr>
        <b/>
        <sz val="11"/>
        <color theme="1"/>
        <rFont val="Calibri"/>
        <family val="2"/>
        <scheme val="minor"/>
      </rPr>
      <t>Code de produit HS</t>
    </r>
  </si>
  <si>
    <r>
      <rPr>
        <b/>
        <sz val="11"/>
        <color theme="1"/>
        <rFont val="Calibri"/>
        <family val="2"/>
        <scheme val="minor"/>
      </rPr>
      <t>Description de produit HS av. volume</t>
    </r>
  </si>
  <si>
    <r>
      <rPr>
        <b/>
        <sz val="10.5"/>
        <color theme="1"/>
        <rFont val="Calibri"/>
        <family val="2"/>
      </rPr>
      <t>Code GFS</t>
    </r>
  </si>
  <si>
    <t>Nom du flux de revenus</t>
  </si>
  <si>
    <t>Valeur des revenus</t>
  </si>
  <si>
    <t>1112E1</t>
  </si>
  <si>
    <t>1112E2</t>
  </si>
  <si>
    <t>112E</t>
  </si>
  <si>
    <t>Impôts sur la masse salariale et la force de travail</t>
  </si>
  <si>
    <t>113E</t>
  </si>
  <si>
    <t>Impôts sur la propriété</t>
  </si>
  <si>
    <t>1141E</t>
  </si>
  <si>
    <t>1142E</t>
  </si>
  <si>
    <t>114521E</t>
  </si>
  <si>
    <t>114522E</t>
  </si>
  <si>
    <t>11451E</t>
  </si>
  <si>
    <t>1151E</t>
  </si>
  <si>
    <t>1152E</t>
  </si>
  <si>
    <t>1153E1</t>
  </si>
  <si>
    <t>116E</t>
  </si>
  <si>
    <t>Autres impôts payés par les entreprises exploitant des ressources naturelles</t>
  </si>
  <si>
    <t>1212E</t>
  </si>
  <si>
    <t>Cotisations patronales à la sécurité sociale</t>
  </si>
  <si>
    <t>1412E1</t>
  </si>
  <si>
    <t>1412E2</t>
  </si>
  <si>
    <t>1413E</t>
  </si>
  <si>
    <t>1415E1</t>
  </si>
  <si>
    <t>1415E2</t>
  </si>
  <si>
    <t>1415E31</t>
  </si>
  <si>
    <t>1415E32</t>
  </si>
  <si>
    <t>1415E4</t>
  </si>
  <si>
    <t>1415E5</t>
  </si>
  <si>
    <t>1421E</t>
  </si>
  <si>
    <t>1422E</t>
  </si>
  <si>
    <t>143E</t>
  </si>
  <si>
    <t>144E1</t>
  </si>
  <si>
    <t>Transferts volontaires à l’État (donations)</t>
  </si>
  <si>
    <r>
      <rPr>
        <b/>
        <sz val="10.5"/>
        <color theme="1"/>
        <rFont val="Calibri"/>
        <family val="2"/>
      </rPr>
      <t>Codes GFS des flux de revenus issus des entreprises extractives</t>
    </r>
  </si>
  <si>
    <r>
      <rPr>
        <b/>
        <sz val="10.5"/>
        <color theme="1"/>
        <rFont val="Calibri"/>
        <family val="2"/>
      </rPr>
      <t>Tableau 6 - Codes/Classification GFS</t>
    </r>
  </si>
  <si>
    <r>
      <rPr>
        <b/>
        <sz val="10.5"/>
        <color theme="1"/>
        <rFont val="Calibri"/>
        <family val="2"/>
      </rPr>
      <t>Combiné</t>
    </r>
  </si>
  <si>
    <t>Impôts (11E)</t>
  </si>
  <si>
    <t>Impôts sur le revenu, le bénéfice et les plus-values</t>
  </si>
  <si>
    <t>Impôts sur la masse salariale et la force de travail (112E)</t>
  </si>
  <si>
    <t>Impôts sur la propriété (113E)</t>
  </si>
  <si>
    <t>Impôts sur les biens et services (114E)</t>
  </si>
  <si>
    <t>Taxes sur le commerce et les transactions au niveau international (115E)</t>
  </si>
  <si>
    <t>Autres impôts payés par les entreprises exploitant des ressources naturelles (116E)</t>
  </si>
  <si>
    <t>Cotisations sociales (12E)</t>
  </si>
  <si>
    <t>Cotisations patronales à la sécurité sociale (1212E)</t>
  </si>
  <si>
    <t>Autre revenu (14E)</t>
  </si>
  <si>
    <t>Revenu dégagé de la propriété (141E)</t>
  </si>
  <si>
    <t>Ventes de marchandises et de services (142E)</t>
  </si>
  <si>
    <t>Amendes, peines et dédits (143E)</t>
  </si>
  <si>
    <t>Transferts volontaires à l’État (donations) (144E1)</t>
  </si>
  <si>
    <t>GFS Niveau 1</t>
  </si>
  <si>
    <t>GFS Niveau 2</t>
  </si>
  <si>
    <t>GFS Niveau 3</t>
  </si>
  <si>
    <t>GFS Niveau 4</t>
  </si>
  <si>
    <r>
      <rPr>
        <b/>
        <sz val="10.5"/>
        <color theme="1"/>
        <rFont val="Calibri"/>
        <family val="2"/>
      </rPr>
      <t>Secteur (s)</t>
    </r>
  </si>
  <si>
    <t>Nom du projet</t>
  </si>
  <si>
    <t>Entité de l’État</t>
  </si>
  <si>
    <t>Nom du paiement</t>
  </si>
  <si>
    <t>Perçu par projet (O/N)</t>
  </si>
  <si>
    <t>Déclaré par projet (O/N)</t>
  </si>
  <si>
    <t>Commentaires</t>
  </si>
  <si>
    <t>Dividendes (1412E)</t>
  </si>
  <si>
    <t>Des entreprises d’État (1412E1)</t>
  </si>
  <si>
    <t>Provenant de la participation de l’État (1412E2)</t>
  </si>
  <si>
    <t>Retraits à partir du revenu de quasi-sociétés (1413E)</t>
  </si>
  <si>
    <t>Loyers (1415E)</t>
  </si>
  <si>
    <t>Primes (1415E2)</t>
  </si>
  <si>
    <t>Droits sur la production (en nature ou en espèces)(1415E3)</t>
  </si>
  <si>
    <t>Frais administratifs pour services gouvernementaux (1422E)</t>
  </si>
  <si>
    <t>Transferts obligatoires à l’État (infrastructures et autres éléments) (1415E4)</t>
  </si>
  <si>
    <t>Autres paiements de loyer (1415E5)</t>
  </si>
  <si>
    <t>Ventes de marchandises et de services par des entités de l’État (1421E)</t>
  </si>
  <si>
    <t>Impôts ordinaires sur le revenu, le bénéfice et les plus-values (1112E1)</t>
  </si>
  <si>
    <t>Impôts ordinaires sur le revenu, le bénéfice et les plus-values</t>
  </si>
  <si>
    <t>Impôts extraordinaires sur le revenu, le bénéfice et les plus-values</t>
  </si>
  <si>
    <t>Impôts généraux sur les biens et services (TVA, taxes sur les ventes, taxes sur le chiffre d’affaires)</t>
  </si>
  <si>
    <t>Droits d’accise (1142E)</t>
  </si>
  <si>
    <t>Droits d’accise</t>
  </si>
  <si>
    <t>Impôts sur l’usage de biens/permission d’utiliser des biens ou d’exécuter des activités (1145E)</t>
  </si>
  <si>
    <t>Droits de licence</t>
  </si>
  <si>
    <t>Taxes sur les émissions et la pollution</t>
  </si>
  <si>
    <t>Taxes sur les véhicules à moteur (11451E)</t>
  </si>
  <si>
    <t>Taxes sur les véhicules à moteur</t>
  </si>
  <si>
    <t>Droits de douane et autres droits d’importation (1151E)</t>
  </si>
  <si>
    <t>Droits de douane et autres droits d’importation</t>
  </si>
  <si>
    <t>Taxes sur les exportations (1152E)</t>
  </si>
  <si>
    <t>Taxes sur les exportations</t>
  </si>
  <si>
    <t>Bénéfices des monopoles fiscaux sur les ressources naturelles (1153E1)</t>
  </si>
  <si>
    <t>Bénéfices des monopoles fiscaux sur les ressources naturelles</t>
  </si>
  <si>
    <t>Des entreprises d’État</t>
  </si>
  <si>
    <t>Provenant de la participation de l’État</t>
  </si>
  <si>
    <t>Retraits à partir du revenu de quasi-sociétés</t>
  </si>
  <si>
    <t>Redevances</t>
  </si>
  <si>
    <t>Primes</t>
  </si>
  <si>
    <t>Livré/payé directement à l’État (1415E31)</t>
  </si>
  <si>
    <t>Livré/payé directement à l’État</t>
  </si>
  <si>
    <t>Livré/payé à une/des entreprise(s) d’État</t>
  </si>
  <si>
    <t>Transferts obligatoires à l’État (infrastructures et autres éléments)</t>
  </si>
  <si>
    <t>Autres paiements de loyer</t>
  </si>
  <si>
    <t>Ventes de marchandises et de services par des entités de l’État</t>
  </si>
  <si>
    <t>Frais administratifs pour services gouvernementaux</t>
  </si>
  <si>
    <r>
      <rPr>
        <b/>
        <sz val="10.5"/>
        <color theme="1"/>
        <rFont val="Calibri"/>
        <family val="2"/>
      </rPr>
      <t>Tableau 7 - Secteurs</t>
    </r>
  </si>
  <si>
    <t>Entreprise</t>
  </si>
  <si>
    <t>Devise de déclaration</t>
  </si>
  <si>
    <t>Étapes du projet</t>
  </si>
  <si>
    <r>
      <rPr>
        <b/>
        <sz val="10.5"/>
        <color theme="1"/>
        <rFont val="Calibri"/>
        <family val="2"/>
      </rPr>
      <t>Tableau 8 - Phases de projet</t>
    </r>
  </si>
  <si>
    <t>&lt;Sélectionner l’étape&gt;</t>
  </si>
  <si>
    <t>Prospection</t>
  </si>
  <si>
    <t>Développement</t>
  </si>
  <si>
    <r>
      <rPr>
        <sz val="10.5"/>
        <color theme="1"/>
        <rFont val="Calibri"/>
        <family val="2"/>
      </rPr>
      <t>Oui, divulgation systématique</t>
    </r>
  </si>
  <si>
    <t>Référence(s) de la convention juridique : contrat, licence, bail, concession,...</t>
  </si>
  <si>
    <t>AJOUTER UN SECTEUR</t>
  </si>
  <si>
    <t>Secteur</t>
  </si>
  <si>
    <t>Redevances (1415E1)</t>
  </si>
  <si>
    <t>Secteur</t>
  </si>
  <si>
    <t>Entité de l’État</t>
  </si>
  <si>
    <t>Valeur de revenus</t>
  </si>
  <si>
    <t>Oui</t>
  </si>
  <si>
    <r>
      <rPr>
        <b/>
        <sz val="10.5"/>
        <color theme="1"/>
        <rFont val="Calibri"/>
        <family val="2"/>
      </rPr>
      <t>Code ISO de devise (alpha 3)</t>
    </r>
  </si>
  <si>
    <r>
      <rPr>
        <b/>
        <sz val="10.5"/>
        <color theme="1"/>
        <rFont val="Calibri"/>
        <family val="2"/>
      </rPr>
      <t>Devise</t>
    </r>
  </si>
  <si>
    <t>Liste</t>
  </si>
  <si>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</si>
  <si>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</si>
  <si>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</si>
  <si>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</si>
  <si>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t>USD</t>
  </si>
  <si>
    <t>&lt;Sélectionner l’option&gt;</t>
  </si>
  <si>
    <t>Impôts ordinaires sur le revenu, le bénéfice et les plus-values (1112E1)</t>
  </si>
  <si>
    <t>Impôts ordinaires sur le revenu, le bénéfice et les plus-values (1112E1)</t>
  </si>
  <si>
    <t>&lt;Sélectionner le secteur&gt;</t>
  </si>
  <si>
    <t>Oui</t>
  </si>
  <si>
    <t>Impôts extraordinaires sur le revenu, le bénéfice et les plus-values (1112E2)</t>
  </si>
  <si>
    <t>Impôts (11E)</t>
  </si>
  <si>
    <t>Impôts sur le revenu, le bénéfice et les plus-values (111E)</t>
  </si>
  <si>
    <t>Impôts extraordinaires sur le revenu, le bénéfice et les plus-values (1112E2)</t>
  </si>
  <si>
    <t>Impôts extraordinaires sur le revenu, le bénéfice et les plus-values (1112E2)</t>
  </si>
  <si>
    <t>Pétrole</t>
  </si>
  <si>
    <t>Oui, à travers le rapportage ITIE</t>
  </si>
  <si>
    <t>Impôts (11E)</t>
  </si>
  <si>
    <t>Impôts sur la masse salariale et la force de travail (112E)</t>
  </si>
  <si>
    <t>Impôts sur la masse salariale et la force de travail (112E)</t>
  </si>
  <si>
    <t>Impôts sur la masse salariale et la force de travail (112E)</t>
  </si>
  <si>
    <t>Gaz</t>
  </si>
  <si>
    <t>Production</t>
  </si>
  <si>
    <t>Sans objet.</t>
  </si>
  <si>
    <t>Impôts (11E)</t>
  </si>
  <si>
    <t>Impôts sur la propriété (113E)</t>
  </si>
  <si>
    <t>Impôts sur la propriété (113E)</t>
  </si>
  <si>
    <t>Impôts sur la propriété (113E)</t>
  </si>
  <si>
    <t>Sans objet</t>
  </si>
  <si>
    <t>Non disponible</t>
  </si>
  <si>
    <t>Impôts généraux sur les biens et services (TVA, taxes sur les ventes, taxes sur le chiffre d’affaires)(1141E)</t>
  </si>
  <si>
    <t>Impôts (11E)</t>
  </si>
  <si>
    <t>Impôts généraux sur les biens et services (TVA, taxes sur les ventes, taxes sur le chiffre d’affaires (1141E)</t>
  </si>
  <si>
    <t>Impôts généraux sur les biens et services (TVA, taxes sur les ventes, taxes sur le chiffre d’affaires (1141E)</t>
  </si>
  <si>
    <t>Sans objet</t>
  </si>
  <si>
    <t>Autres</t>
  </si>
  <si>
    <t>USD</t>
  </si>
  <si>
    <t>Dollar des États-Unis</t>
  </si>
  <si>
    <t>Impôts (11E)</t>
  </si>
  <si>
    <t>Impôts sur les biens et services (114E)</t>
  </si>
  <si>
    <t>Droits d’accise (1142E)</t>
  </si>
  <si>
    <t>Droits d’accise (1142E)</t>
  </si>
  <si>
    <t>Pétrole &amp; Gaz</t>
  </si>
  <si>
    <t>Sans objet</t>
  </si>
  <si>
    <t>EUR</t>
  </si>
  <si>
    <t>Euro</t>
  </si>
  <si>
    <t>Droits de licence (114521E)</t>
  </si>
  <si>
    <t>Impôts (11E)</t>
  </si>
  <si>
    <t>Impôts sur les biens et services (114E)</t>
  </si>
  <si>
    <t>Droits de licence (114521E)</t>
  </si>
  <si>
    <t>Autres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</si>
  <si>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</si>
  <si>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</si>
  <si>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</si>
  <si>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Taxes sur les émissions et la pollution (114522E)</t>
  </si>
  <si>
    <t>Impôts (11E)</t>
  </si>
  <si>
    <t>Impôts sur les biens et services (114E)</t>
  </si>
  <si>
    <t>Impôts sur l’usage de biens/permission d’utiliser des biens ou d’exécuter des activités (1145E)</t>
  </si>
  <si>
    <t>Taxes sur les émissions et la pollution (114522E)</t>
  </si>
  <si>
    <t>Impôts (11E)</t>
  </si>
  <si>
    <t>Impôts sur les biens et services (114E)</t>
  </si>
  <si>
    <t>Impôts sur l’usage de biens/permission d’utiliser des biens ou d’exécuter des activités (1145E)</t>
  </si>
  <si>
    <t>Taxes sur les véhicules à moteur (11451E)</t>
  </si>
  <si>
    <t>XCD</t>
  </si>
  <si>
    <t>Dollar des Caraïbes orientales</t>
  </si>
  <si>
    <r>
      <rPr>
        <sz val="10.5"/>
        <color theme="1"/>
        <rFont val="Calibri"/>
        <family val="2"/>
      </rPr>
      <t>AFN</t>
    </r>
  </si>
  <si>
    <r>
      <rPr>
        <sz val="10.5"/>
        <color theme="1"/>
        <rFont val="Calibri"/>
        <family val="2"/>
      </rPr>
      <t>Afghani afghan</t>
    </r>
  </si>
  <si>
    <t>Impôts (11E)</t>
  </si>
  <si>
    <t>Droits de douane et autres droits d’importation (1151E)</t>
  </si>
  <si>
    <t>Droits de douane et autres droits d’importation (1151E)</t>
  </si>
  <si>
    <r>
      <rPr>
        <sz val="10.5"/>
        <color theme="1"/>
        <rFont val="Calibri"/>
        <family val="2"/>
      </rPr>
      <t>ALL</t>
    </r>
  </si>
  <si>
    <r>
      <rPr>
        <sz val="10.5"/>
        <color theme="1"/>
        <rFont val="Calibri"/>
        <family val="2"/>
      </rPr>
      <t>Lek albanais</t>
    </r>
  </si>
  <si>
    <t>Impôts (11E)</t>
  </si>
  <si>
    <t>Taxes sur le commerce et les transactions au niveau international (115E)</t>
  </si>
  <si>
    <t>Taxes sur les exportations (1152E)</t>
  </si>
  <si>
    <t>Taxes sur les exportations (1152E)</t>
  </si>
  <si>
    <r>
      <rPr>
        <sz val="10.5"/>
        <color theme="1"/>
        <rFont val="Calibri"/>
        <family val="2"/>
      </rPr>
      <t>AMD</t>
    </r>
  </si>
  <si>
    <r>
      <rPr>
        <sz val="10.5"/>
        <color theme="1"/>
        <rFont val="Calibri"/>
        <family val="2"/>
      </rPr>
      <t>Dram arménien</t>
    </r>
  </si>
  <si>
    <t>Impôts (11E)</t>
  </si>
  <si>
    <t>Taxes sur le commerce et les transactions au niveau international (115E)</t>
  </si>
  <si>
    <t>Bénéfices des monopoles fiscaux sur les ressources naturelles (1153E1)</t>
  </si>
  <si>
    <t>Bénéfices des monopoles fiscaux sur les ressources naturelles (1153E1)</t>
  </si>
  <si>
    <t>Autres impôts payés par les entreprises exploitant des ressources naturelles (116E)</t>
  </si>
  <si>
    <t>Impôts (11E)</t>
  </si>
  <si>
    <t>Autres impôts payés par les entreprises exploitant des ressources naturelles (116E)</t>
  </si>
  <si>
    <t>Autres impôts payés par les entreprises exploitant des ressources naturelles (116E)</t>
  </si>
  <si>
    <t>Autres impôts payés par les entreprises exploitant des ressources naturelles (116E)</t>
  </si>
  <si>
    <r>
      <rPr>
        <sz val="10.5"/>
        <color theme="1"/>
        <rFont val="Calibri"/>
        <family val="2"/>
      </rPr>
      <t>AOA</t>
    </r>
  </si>
  <si>
    <r>
      <rPr>
        <sz val="10.5"/>
        <color theme="1"/>
        <rFont val="Calibri"/>
        <family val="2"/>
      </rPr>
      <t>Kwanza angolais</t>
    </r>
  </si>
  <si>
    <t>Cotisations patronales à la sécurité sociale (1212E)</t>
  </si>
  <si>
    <t>Cotisations patronales à la sécurité sociale (1212E)</t>
  </si>
  <si>
    <t>Cotisations patronales à la sécurité sociale (1212E)</t>
  </si>
  <si>
    <t>EUR</t>
  </si>
  <si>
    <t>Euro</t>
  </si>
  <si>
    <r>
      <rPr>
        <sz val="10.5"/>
        <color theme="1"/>
        <rFont val="Calibri"/>
        <family val="2"/>
      </rPr>
      <t>ARS</t>
    </r>
  </si>
  <si>
    <r>
      <rPr>
        <sz val="10.5"/>
        <color theme="1"/>
        <rFont val="Calibri"/>
        <family val="2"/>
      </rPr>
      <t>Peso argentin</t>
    </r>
  </si>
  <si>
    <t>Des entreprises d’État (1412E1)</t>
  </si>
  <si>
    <r>
      <rPr>
        <sz val="10.5"/>
        <color theme="1"/>
        <rFont val="Calibri"/>
        <family val="2"/>
      </rPr>
      <t>AUD</t>
    </r>
  </si>
  <si>
    <r>
      <rPr>
        <sz val="10.5"/>
        <color theme="1"/>
        <rFont val="Calibri"/>
        <family val="2"/>
      </rPr>
      <t>Dollar australien</t>
    </r>
  </si>
  <si>
    <t>Autre revenu (14E)</t>
  </si>
  <si>
    <t>Revenu dégagé de la propriété (141E)</t>
  </si>
  <si>
    <t>Dividendes (1412E)</t>
  </si>
  <si>
    <t>Provenant de la participation de l’État (1412E2)</t>
  </si>
  <si>
    <r>
      <rPr>
        <sz val="10.5"/>
        <color theme="1"/>
        <rFont val="Calibri"/>
        <family val="2"/>
      </rPr>
      <t>AWG</t>
    </r>
  </si>
  <si>
    <r>
      <rPr>
        <sz val="10.5"/>
        <color theme="1"/>
        <rFont val="Calibri"/>
        <family val="2"/>
      </rPr>
      <t>Florin d’Aruba</t>
    </r>
  </si>
  <si>
    <t>Autre revenu (14E)</t>
  </si>
  <si>
    <t>Revenu dégagé de la propriété (141E)</t>
  </si>
  <si>
    <t>Retraits à partir du revenu de quasi-sociétés (1413E)</t>
  </si>
  <si>
    <t>Retraits à partir du revenu de quasi-sociétés (1413E)</t>
  </si>
  <si>
    <r>
      <rPr>
        <sz val="10.5"/>
        <color theme="1"/>
        <rFont val="Calibri"/>
        <family val="2"/>
      </rPr>
      <t>AZN</t>
    </r>
  </si>
  <si>
    <r>
      <rPr>
        <sz val="10.5"/>
        <color theme="1"/>
        <rFont val="Calibri"/>
        <family val="2"/>
      </rPr>
      <t>Manat azéri</t>
    </r>
  </si>
  <si>
    <t>Redevances (1415E1)</t>
  </si>
  <si>
    <t>Autre revenu (14E)</t>
  </si>
  <si>
    <t>Revenu dégagé de la propriété (141E)</t>
  </si>
  <si>
    <t>Redevances (1415E1)</t>
  </si>
  <si>
    <t>Autre revenu (14E)</t>
  </si>
  <si>
    <t>Revenu dégagé de la propriété (141E)</t>
  </si>
  <si>
    <t>Loyers (1415E)</t>
  </si>
  <si>
    <t>Primes (1415E2)</t>
  </si>
  <si>
    <r>
      <rPr>
        <sz val="10.5"/>
        <color theme="1"/>
        <rFont val="Calibri"/>
        <family val="2"/>
      </rPr>
      <t>BBD</t>
    </r>
  </si>
  <si>
    <r>
      <rPr>
        <sz val="10.5"/>
        <color theme="1"/>
        <rFont val="Calibri"/>
        <family val="2"/>
      </rPr>
      <t>Dollar de la Barbade</t>
    </r>
  </si>
  <si>
    <t>Autre revenu (14E)</t>
  </si>
  <si>
    <t>Revenu dégagé de la propriété (141E)</t>
  </si>
  <si>
    <t>Loyers (1415E)</t>
  </si>
  <si>
    <r>
      <rPr>
        <sz val="10.5"/>
        <color theme="1"/>
        <rFont val="Calibri"/>
        <family val="2"/>
      </rPr>
      <t>BDT</t>
    </r>
  </si>
  <si>
    <r>
      <rPr>
        <sz val="10.5"/>
        <color theme="1"/>
        <rFont val="Calibri"/>
        <family val="2"/>
      </rPr>
      <t>Taka bangladeshi</t>
    </r>
  </si>
  <si>
    <t>Autre revenu (14E)</t>
  </si>
  <si>
    <t>Revenu dégagé de la propriété (141E)</t>
  </si>
  <si>
    <t>Loyers (1415E)</t>
  </si>
  <si>
    <t>Droits sur la production (en nature ou en espèces)(1415E3)</t>
  </si>
  <si>
    <t>EUR</t>
  </si>
  <si>
    <t>Euro</t>
  </si>
  <si>
    <t>Autre revenu (14E)</t>
  </si>
  <si>
    <t>Revenu dégagé de la propriété (141E)</t>
  </si>
  <si>
    <t>Loyers (1415E)</t>
  </si>
  <si>
    <t>Transferts obligatoires à l’État (infrastructures et autres éléments) (1415E4)</t>
  </si>
  <si>
    <r>
      <rPr>
        <sz val="10.5"/>
        <color theme="1"/>
        <rFont val="Calibri"/>
        <family val="2"/>
      </rPr>
      <t>BHD</t>
    </r>
  </si>
  <si>
    <r>
      <rPr>
        <sz val="10.5"/>
        <color theme="1"/>
        <rFont val="Calibri"/>
        <family val="2"/>
      </rPr>
      <t>Dinar de Bahreïn</t>
    </r>
  </si>
  <si>
    <t>Autre revenu (14E)</t>
  </si>
  <si>
    <t>Revenu dégagé de la propriété (141E)</t>
  </si>
  <si>
    <t>Loyers (1415E)</t>
  </si>
  <si>
    <t>Autres paiements de loyer (1415E5)</t>
  </si>
  <si>
    <t>Autre revenu (14E)</t>
  </si>
  <si>
    <t>Ventes de marchandises et de services par des entités de l’État (1421E)</t>
  </si>
  <si>
    <t>Ventes de marchandises et de services par des entités de l’État (1421E)</t>
  </si>
  <si>
    <r>
      <rPr>
        <sz val="10.5"/>
        <color theme="1"/>
        <rFont val="Calibri"/>
        <family val="2"/>
      </rPr>
      <t>BMD</t>
    </r>
  </si>
  <si>
    <r>
      <rPr>
        <sz val="10.5"/>
        <color theme="1"/>
        <rFont val="Calibri"/>
        <family val="2"/>
      </rPr>
      <t>Dollar des Bermudes</t>
    </r>
  </si>
  <si>
    <t>Autre revenu (14E)</t>
  </si>
  <si>
    <t>Ventes de marchandises et de services (142E)</t>
  </si>
  <si>
    <t>Frais administratifs pour services gouvernementaux (1422E)</t>
  </si>
  <si>
    <t>Frais administratifs pour services gouvernementaux (1422E)</t>
  </si>
  <si>
    <t>BTN</t>
  </si>
  <si>
    <t>Autre revenu (14E)</t>
  </si>
  <si>
    <r>
      <rPr>
        <sz val="10.5"/>
        <color theme="1"/>
        <rFont val="Calibri"/>
        <family val="2"/>
      </rPr>
      <t>BOB</t>
    </r>
  </si>
  <si>
    <r>
      <rPr>
        <sz val="10.5"/>
        <color theme="1"/>
        <rFont val="Calibri"/>
        <family val="2"/>
      </rPr>
      <t>Boliviano bolivien</t>
    </r>
  </si>
  <si>
    <t>Autre revenu (14E)</t>
  </si>
  <si>
    <t>Transferts volontaires à l’État (donations)(144E1)</t>
  </si>
  <si>
    <t>Transferts volontaires à l’État (donations)(144E1)</t>
  </si>
  <si>
    <t>Transferts volontaires à l’État (donations)(144E1)</t>
  </si>
  <si>
    <t>BAM</t>
  </si>
  <si>
    <t>Mark convertible de Bosnie-Herzégovine</t>
  </si>
  <si>
    <t>&lt;Sélectionner à partir du menu&gt;</t>
  </si>
  <si>
    <t>&lt;Sélectionner à partir du menu&gt;</t>
  </si>
  <si>
    <t>&lt;Sélectionner à partir du menu&gt;</t>
  </si>
  <si>
    <t>&lt;Sélectionner à partir du menu&gt;</t>
  </si>
  <si>
    <t>&lt;Sélectionner à partir du menu&gt;</t>
  </si>
  <si>
    <t>&lt;Sélectionner à partir du menu&gt;</t>
  </si>
  <si>
    <t>&lt;Sélectionner à partir du menu&gt;</t>
  </si>
  <si>
    <r>
      <rPr>
        <sz val="10.5"/>
        <color theme="1"/>
        <rFont val="Calibri"/>
        <family val="2"/>
      </rPr>
      <t>BSD</t>
    </r>
  </si>
  <si>
    <r>
      <rPr>
        <sz val="10.5"/>
        <color theme="1"/>
        <rFont val="Calibri"/>
        <family val="2"/>
      </rPr>
      <t>Dollar bahamien</t>
    </r>
  </si>
  <si>
    <t>BRL</t>
  </si>
  <si>
    <t>Réal brésilien</t>
  </si>
  <si>
    <r>
      <rPr>
        <sz val="10.5"/>
        <color theme="1"/>
        <rFont val="Calibri"/>
        <family val="2"/>
      </rPr>
      <t>BTN</t>
    </r>
  </si>
  <si>
    <t>USD</t>
  </si>
  <si>
    <t>Dollar des États-Unis</t>
  </si>
  <si>
    <r>
      <rPr>
        <sz val="10.5"/>
        <color theme="1"/>
        <rFont val="Calibri"/>
        <family val="2"/>
      </rPr>
      <t>BWP</t>
    </r>
  </si>
  <si>
    <r>
      <rPr>
        <sz val="10.5"/>
        <color theme="1"/>
        <rFont val="Calibri"/>
        <family val="2"/>
      </rPr>
      <t>Pula du Botswana</t>
    </r>
  </si>
  <si>
    <t>USD</t>
  </si>
  <si>
    <t>Dollar des États-Unis</t>
  </si>
  <si>
    <r>
      <rPr>
        <sz val="10.5"/>
        <color theme="1"/>
        <rFont val="Calibri"/>
        <family val="2"/>
      </rPr>
      <t>BYR</t>
    </r>
  </si>
  <si>
    <r>
      <rPr>
        <sz val="10.5"/>
        <color theme="1"/>
        <rFont val="Calibri"/>
        <family val="2"/>
      </rPr>
      <t>Rouble de Belarus</t>
    </r>
  </si>
  <si>
    <t>BND</t>
  </si>
  <si>
    <t>Dollar de Brunei</t>
  </si>
  <si>
    <r>
      <rPr>
        <sz val="10.5"/>
        <color theme="1"/>
        <rFont val="Calibri"/>
        <family val="2"/>
      </rPr>
      <t>BZD</t>
    </r>
  </si>
  <si>
    <r>
      <rPr>
        <sz val="10.5"/>
        <color theme="1"/>
        <rFont val="Calibri"/>
        <family val="2"/>
      </rPr>
      <t>Dollar de Belize</t>
    </r>
  </si>
  <si>
    <t>BGN</t>
  </si>
  <si>
    <t>Lev bulgare (ancien)</t>
  </si>
  <si>
    <t>XOF</t>
  </si>
  <si>
    <t>Franc CFA d’Afrique de l’Ouest</t>
  </si>
  <si>
    <t>BIF</t>
  </si>
  <si>
    <t>Franc du Burundi</t>
  </si>
  <si>
    <t>Gaz naturel, volume</t>
  </si>
  <si>
    <t>CAD</t>
  </si>
  <si>
    <t>Dollar canadien</t>
  </si>
  <si>
    <t>XAF</t>
  </si>
  <si>
    <t>Franc CFA d’Afrique centrale</t>
  </si>
  <si>
    <r>
      <rPr>
        <sz val="10.5"/>
        <color theme="1"/>
        <rFont val="Calibri"/>
        <family val="2"/>
      </rPr>
      <t>CVE</t>
    </r>
  </si>
  <si>
    <r>
      <rPr>
        <sz val="10.5"/>
        <color theme="1"/>
        <rFont val="Calibri"/>
        <family val="2"/>
      </rPr>
      <t>Escudo cap-verdien</t>
    </r>
  </si>
  <si>
    <t>XAF</t>
  </si>
  <si>
    <t>Franc CFA d’Afrique centrale</t>
  </si>
  <si>
    <t>CLF</t>
  </si>
  <si>
    <t>CNH</t>
  </si>
  <si>
    <t>Yuan renminbi chinois (off-shore)</t>
  </si>
  <si>
    <t>AUD</t>
  </si>
  <si>
    <t>Dollar australien</t>
  </si>
  <si>
    <t>AUD</t>
  </si>
  <si>
    <t>Dollar australien</t>
  </si>
  <si>
    <r>
      <rPr>
        <sz val="10.5"/>
        <color theme="1"/>
        <rFont val="Calibri"/>
        <family val="2"/>
      </rPr>
      <t>DZD</t>
    </r>
  </si>
  <si>
    <r>
      <rPr>
        <sz val="10.5"/>
        <color theme="1"/>
        <rFont val="Calibri"/>
        <family val="2"/>
      </rPr>
      <t>Dinar algérien</t>
    </r>
  </si>
  <si>
    <t>COP</t>
  </si>
  <si>
    <t>Peso colombien</t>
  </si>
  <si>
    <t>CRC</t>
  </si>
  <si>
    <t>Colon costaricain</t>
  </si>
  <si>
    <t>XOF</t>
  </si>
  <si>
    <t>Franc CFA d’Afrique de l’Ouest</t>
  </si>
  <si>
    <r>
      <rPr>
        <sz val="10.5"/>
        <color theme="1"/>
        <rFont val="Calibri"/>
        <family val="2"/>
      </rPr>
      <t>EUR</t>
    </r>
  </si>
  <si>
    <r>
      <rPr>
        <sz val="10.5"/>
        <color theme="1"/>
        <rFont val="Calibri"/>
        <family val="2"/>
      </rPr>
      <t>Euro</t>
    </r>
  </si>
  <si>
    <t>CUC</t>
  </si>
  <si>
    <t>Peso cubain convertible</t>
  </si>
  <si>
    <t>EUR</t>
  </si>
  <si>
    <t>Euro</t>
  </si>
  <si>
    <t>CZK</t>
  </si>
  <si>
    <t>Couronne tchèque</t>
  </si>
  <si>
    <t>CDF</t>
  </si>
  <si>
    <t>Franc congolais</t>
  </si>
  <si>
    <t>DKK</t>
  </si>
  <si>
    <t>Couronne danoise</t>
  </si>
  <si>
    <t>DJF</t>
  </si>
  <si>
    <t>Franc djiboutien</t>
  </si>
  <si>
    <t>XCD</t>
  </si>
  <si>
    <t>Dollar des Caraïbes orientales</t>
  </si>
  <si>
    <t>DOP</t>
  </si>
  <si>
    <t>Peso dominicain</t>
  </si>
  <si>
    <t>USD</t>
  </si>
  <si>
    <t>Dollar des États-Unis</t>
  </si>
  <si>
    <t>EGP</t>
  </si>
  <si>
    <t>Livre égyptienne</t>
  </si>
  <si>
    <t>USD</t>
  </si>
  <si>
    <t>Dollar des États-Unis</t>
  </si>
  <si>
    <t>XAF</t>
  </si>
  <si>
    <t>Franc CFA d’Afrique centrale</t>
  </si>
  <si>
    <t>ERN</t>
  </si>
  <si>
    <t>Nakfa érythréen</t>
  </si>
  <si>
    <r>
      <rPr>
        <sz val="10.5"/>
        <color theme="1"/>
        <rFont val="Calibri"/>
        <family val="2"/>
      </rPr>
      <t>HRK</t>
    </r>
  </si>
  <si>
    <r>
      <rPr>
        <sz val="10.5"/>
        <color theme="1"/>
        <rFont val="Calibri"/>
        <family val="2"/>
      </rPr>
      <t>Kuna croate</t>
    </r>
  </si>
  <si>
    <t>EUR</t>
  </si>
  <si>
    <t>Euro</t>
  </si>
  <si>
    <t>ETB</t>
  </si>
  <si>
    <t>Birr éthiopien</t>
  </si>
  <si>
    <t>FKP</t>
  </si>
  <si>
    <t>Livre des Malouines</t>
  </si>
  <si>
    <t>DKK</t>
  </si>
  <si>
    <t>Couronne danoise</t>
  </si>
  <si>
    <t>FJD</t>
  </si>
  <si>
    <t>Dollar fidjien</t>
  </si>
  <si>
    <t>EUR</t>
  </si>
  <si>
    <t>Euro</t>
  </si>
  <si>
    <t>EUR</t>
  </si>
  <si>
    <t>Euro</t>
  </si>
  <si>
    <t>EUR</t>
  </si>
  <si>
    <t>Euro</t>
  </si>
  <si>
    <t>EUR</t>
  </si>
  <si>
    <t>Euro</t>
  </si>
  <si>
    <t>EUR</t>
  </si>
  <si>
    <t>Euro</t>
  </si>
  <si>
    <t>XAF</t>
  </si>
  <si>
    <t>Franc CFA d’Afrique centrale</t>
  </si>
  <si>
    <t>GMD</t>
  </si>
  <si>
    <t>Dalasi gambien</t>
  </si>
  <si>
    <t>GEL</t>
  </si>
  <si>
    <t>Lari géorgien</t>
  </si>
  <si>
    <t>EUR</t>
  </si>
  <si>
    <t>Euro</t>
  </si>
  <si>
    <t>GHS</t>
  </si>
  <si>
    <t>Cedi ghanéen</t>
  </si>
  <si>
    <r>
      <rPr>
        <sz val="10.5"/>
        <color theme="1"/>
        <rFont val="Calibri"/>
        <family val="2"/>
      </rPr>
      <t>KHR</t>
    </r>
  </si>
  <si>
    <r>
      <rPr>
        <sz val="10.5"/>
        <color theme="1"/>
        <rFont val="Calibri"/>
        <family val="2"/>
      </rPr>
      <t>Riel cambodgien</t>
    </r>
  </si>
  <si>
    <t>GIP</t>
  </si>
  <si>
    <t>Livre de Gibraltar</t>
  </si>
  <si>
    <r>
      <rPr>
        <sz val="10.5"/>
        <color theme="1"/>
        <rFont val="Calibri"/>
        <family val="2"/>
      </rPr>
      <t>KMF</t>
    </r>
  </si>
  <si>
    <r>
      <rPr>
        <sz val="10.5"/>
        <color theme="1"/>
        <rFont val="Calibri"/>
        <family val="2"/>
      </rPr>
      <t>Franc comorien</t>
    </r>
  </si>
  <si>
    <t>EUR</t>
  </si>
  <si>
    <t>Euro</t>
  </si>
  <si>
    <t>DKK</t>
  </si>
  <si>
    <t>Couronne danoise</t>
  </si>
  <si>
    <t>XCD</t>
  </si>
  <si>
    <t>Dollar des Caraïbes orientales</t>
  </si>
  <si>
    <t>EUR</t>
  </si>
  <si>
    <t>Euro</t>
  </si>
  <si>
    <r>
      <rPr>
        <sz val="10.5"/>
        <color theme="1"/>
        <rFont val="Calibri"/>
        <family val="2"/>
      </rPr>
      <t>KYD</t>
    </r>
  </si>
  <si>
    <r>
      <rPr>
        <sz val="10.5"/>
        <color theme="1"/>
        <rFont val="Calibri"/>
        <family val="2"/>
      </rPr>
      <t>Dollar des Îles Caïman</t>
    </r>
  </si>
  <si>
    <t>USD</t>
  </si>
  <si>
    <t>Dollar des États-Unis</t>
  </si>
  <si>
    <t>GTQ</t>
  </si>
  <si>
    <t>Quetzal guatémaltèque</t>
  </si>
  <si>
    <t>GGP</t>
  </si>
  <si>
    <t>Livre</t>
  </si>
  <si>
    <t>GNF</t>
  </si>
  <si>
    <t>Franc guinéen</t>
  </si>
  <si>
    <t>XOF</t>
  </si>
  <si>
    <t>Franc CFA d’Afrique de l’Ouest</t>
  </si>
  <si>
    <t>GYD</t>
  </si>
  <si>
    <t>Dollar guyanais</t>
  </si>
  <si>
    <t>HTG</t>
  </si>
  <si>
    <t>Gourde haïtienne</t>
  </si>
  <si>
    <t>HNL</t>
  </si>
  <si>
    <t>Lempira hondurien</t>
  </si>
  <si>
    <t>HKD</t>
  </si>
  <si>
    <t>Dollar de Hong Kong</t>
  </si>
  <si>
    <t>HUF</t>
  </si>
  <si>
    <t>Forint hongrois</t>
  </si>
  <si>
    <t>ISK</t>
  </si>
  <si>
    <t>Couronne islandaise</t>
  </si>
  <si>
    <t>INR</t>
  </si>
  <si>
    <t>Roupie indienne</t>
  </si>
  <si>
    <t>IDR</t>
  </si>
  <si>
    <t>Roupie indonésienne</t>
  </si>
  <si>
    <t>IRR</t>
  </si>
  <si>
    <t>Rial iranien</t>
  </si>
  <si>
    <t>IQD</t>
  </si>
  <si>
    <t>Dinar irakien</t>
  </si>
  <si>
    <t>EUR</t>
  </si>
  <si>
    <t>Euro</t>
  </si>
  <si>
    <t>IMP</t>
  </si>
  <si>
    <t>Livre de l’Île de Man</t>
  </si>
  <si>
    <t>ILS</t>
  </si>
  <si>
    <t>Nouveau shekel israélien</t>
  </si>
  <si>
    <t>EUR</t>
  </si>
  <si>
    <t>Euro</t>
  </si>
  <si>
    <t>JMD</t>
  </si>
  <si>
    <t>Dollar de la Jamaïque</t>
  </si>
  <si>
    <t>JPY</t>
  </si>
  <si>
    <t>Yen japonais</t>
  </si>
  <si>
    <t>JEP</t>
  </si>
  <si>
    <t>Livre de Jersey</t>
  </si>
  <si>
    <t>JOD</t>
  </si>
  <si>
    <t>Dinar jordanien</t>
  </si>
  <si>
    <t>KZT</t>
  </si>
  <si>
    <t>Tenge kazakh</t>
  </si>
  <si>
    <t>KES</t>
  </si>
  <si>
    <t>Shilling kenyan</t>
  </si>
  <si>
    <t>KPW</t>
  </si>
  <si>
    <t>Won nord-coréen</t>
  </si>
  <si>
    <t>KRW</t>
  </si>
  <si>
    <t>Won sud-coréen</t>
  </si>
  <si>
    <t>EUR</t>
  </si>
  <si>
    <t>Euro</t>
  </si>
  <si>
    <t>KWD</t>
  </si>
  <si>
    <t>KGS</t>
  </si>
  <si>
    <t>Sum kirghize</t>
  </si>
  <si>
    <t>LAK</t>
  </si>
  <si>
    <t>Kip laotien</t>
  </si>
  <si>
    <t>EUR</t>
  </si>
  <si>
    <t>Euro</t>
  </si>
  <si>
    <t>LBP</t>
  </si>
  <si>
    <t>Livre libanaise</t>
  </si>
  <si>
    <t>LSL</t>
  </si>
  <si>
    <t>Loti du Lesotho</t>
  </si>
  <si>
    <t>LRD</t>
  </si>
  <si>
    <t>Dollar du Libéria</t>
  </si>
  <si>
    <t>LYD</t>
  </si>
  <si>
    <t>Dinar libyen</t>
  </si>
  <si>
    <t>CHF</t>
  </si>
  <si>
    <t>Franc suisse</t>
  </si>
  <si>
    <t>EUR</t>
  </si>
  <si>
    <t>Euro</t>
  </si>
  <si>
    <t>EUR</t>
  </si>
  <si>
    <t>Euro</t>
  </si>
  <si>
    <t>MOP</t>
  </si>
  <si>
    <t>Patca de Macao</t>
  </si>
  <si>
    <t>MKD</t>
  </si>
  <si>
    <t>MKD</t>
  </si>
  <si>
    <t>Denar macédonien</t>
  </si>
  <si>
    <t>MGA</t>
  </si>
  <si>
    <t>Ariary malgache</t>
  </si>
  <si>
    <t>MWK</t>
  </si>
  <si>
    <t>Kwacha du Malawi</t>
  </si>
  <si>
    <t>MYR</t>
  </si>
  <si>
    <t>Ringgit malais</t>
  </si>
  <si>
    <t>MVR</t>
  </si>
  <si>
    <t>Rufiyaa des Maldives</t>
  </si>
  <si>
    <t>XOF</t>
  </si>
  <si>
    <t>Franc CFA d’Afrique de l’Ouest</t>
  </si>
  <si>
    <t>EUR</t>
  </si>
  <si>
    <t>Euro</t>
  </si>
  <si>
    <t>USD</t>
  </si>
  <si>
    <t>Dollar des États-Unis</t>
  </si>
  <si>
    <t>EUR</t>
  </si>
  <si>
    <t>Euro</t>
  </si>
  <si>
    <t>MRO</t>
  </si>
  <si>
    <t>Ouguiya mauritanien</t>
  </si>
  <si>
    <t>MUR</t>
  </si>
  <si>
    <t>Roupie mauricienne</t>
  </si>
  <si>
    <t>EUR</t>
  </si>
  <si>
    <t>Euro</t>
  </si>
  <si>
    <r>
      <rPr>
        <sz val="10.5"/>
        <color theme="1"/>
        <rFont val="Calibri"/>
        <family val="2"/>
      </rPr>
      <t>SZL</t>
    </r>
  </si>
  <si>
    <r>
      <rPr>
        <sz val="10.5"/>
        <color theme="1"/>
        <rFont val="Calibri"/>
        <family val="2"/>
      </rPr>
      <t>Lilangeni swazi</t>
    </r>
  </si>
  <si>
    <t>MXN</t>
  </si>
  <si>
    <t>Peso mexicain</t>
  </si>
  <si>
    <t>USD</t>
  </si>
  <si>
    <t>Dollar des États-Unis</t>
  </si>
  <si>
    <t>MDL</t>
  </si>
  <si>
    <t>Leu moldave</t>
  </si>
  <si>
    <t>EUR</t>
  </si>
  <si>
    <t>Euro</t>
  </si>
  <si>
    <t>MNT</t>
  </si>
  <si>
    <t>Tugrik mongole</t>
  </si>
  <si>
    <t>EUR</t>
  </si>
  <si>
    <t>Euro</t>
  </si>
  <si>
    <t>XCD</t>
  </si>
  <si>
    <t>Dollar des Caraïbes orientales</t>
  </si>
  <si>
    <t>MAD</t>
  </si>
  <si>
    <t>Dirham marocain</t>
  </si>
  <si>
    <t>MZN</t>
  </si>
  <si>
    <t>Metical mozambicain</t>
  </si>
  <si>
    <t>MMK</t>
  </si>
  <si>
    <t>Kyat birman</t>
  </si>
  <si>
    <t>NAD</t>
  </si>
  <si>
    <t>Dollar namibien</t>
  </si>
  <si>
    <t>NPR</t>
  </si>
  <si>
    <t>Roupie népalaise</t>
  </si>
  <si>
    <r>
      <rPr>
        <sz val="10.5"/>
        <color theme="1"/>
        <rFont val="Calibri"/>
        <family val="2"/>
      </rPr>
      <t>USD</t>
    </r>
  </si>
  <si>
    <r>
      <rPr>
        <sz val="10.5"/>
        <color theme="1"/>
        <rFont val="Calibri"/>
        <family val="2"/>
      </rPr>
      <t>Dollar des États-Unis</t>
    </r>
  </si>
  <si>
    <t>EUR</t>
  </si>
  <si>
    <t>Euro</t>
  </si>
  <si>
    <r>
      <rPr>
        <sz val="10.5"/>
        <color theme="1"/>
        <rFont val="Calibri"/>
        <family val="2"/>
      </rPr>
      <t>USD</t>
    </r>
  </si>
  <si>
    <t>ANG</t>
  </si>
  <si>
    <t>Florin des Antilles néerlandaises</t>
  </si>
  <si>
    <t>NZD</t>
  </si>
  <si>
    <t>Dollar néo-zélandaise</t>
  </si>
  <si>
    <t>NIO</t>
  </si>
  <si>
    <t xml:space="preserve">Cordoba oro nicaraguayen </t>
  </si>
  <si>
    <t>XOF</t>
  </si>
  <si>
    <t>Franc CFA d’Afrique de l’Ouest</t>
  </si>
  <si>
    <t>NGN</t>
  </si>
  <si>
    <t>Naira  nigérian</t>
  </si>
  <si>
    <r>
      <rPr>
        <sz val="10.5"/>
        <color theme="1"/>
        <rFont val="Calibri"/>
        <family val="2"/>
      </rPr>
      <t>XAF</t>
    </r>
  </si>
  <si>
    <r>
      <rPr>
        <sz val="10.5"/>
        <color theme="1"/>
        <rFont val="Calibri"/>
        <family val="2"/>
      </rPr>
      <t>Franc CFA d’Afrique centrale</t>
    </r>
  </si>
  <si>
    <r>
      <rPr>
        <sz val="10.5"/>
        <color theme="1"/>
        <rFont val="Calibri"/>
        <family val="2"/>
      </rPr>
      <t>XCD</t>
    </r>
  </si>
  <si>
    <r>
      <rPr>
        <sz val="10.5"/>
        <color theme="1"/>
        <rFont val="Calibri"/>
        <family val="2"/>
      </rPr>
      <t>Dollar des Caraïbes orientales</t>
    </r>
  </si>
  <si>
    <t>USD</t>
  </si>
  <si>
    <t>Dollar des États-Unis</t>
  </si>
  <si>
    <r>
      <rPr>
        <sz val="10.5"/>
        <color theme="1"/>
        <rFont val="Calibri"/>
        <family val="2"/>
      </rPr>
      <t>XOF</t>
    </r>
  </si>
  <si>
    <r>
      <rPr>
        <sz val="10.5"/>
        <color theme="1"/>
        <rFont val="Calibri"/>
        <family val="2"/>
      </rPr>
      <t>Franc CFA d’Afrique de l’Ouest</t>
    </r>
  </si>
  <si>
    <t>NOK</t>
  </si>
  <si>
    <t>Couronne norvégienne</t>
  </si>
  <si>
    <t>OMR</t>
  </si>
  <si>
    <t>Rial omani</t>
  </si>
  <si>
    <t>PKR</t>
  </si>
  <si>
    <t>Roupie pakistanaise</t>
  </si>
  <si>
    <t>USD</t>
  </si>
  <si>
    <t>Dollar des États-Unis</t>
  </si>
  <si>
    <t>PAB</t>
  </si>
  <si>
    <t>PGK</t>
  </si>
  <si>
    <t>PYG</t>
  </si>
  <si>
    <t>Guarani paraguayen</t>
  </si>
  <si>
    <t>PEN</t>
  </si>
  <si>
    <t>Sol péruvien</t>
  </si>
  <si>
    <t>PHP</t>
  </si>
  <si>
    <t>Peso philippin</t>
  </si>
  <si>
    <t>PLN</t>
  </si>
  <si>
    <t>Zloty polonais</t>
  </si>
  <si>
    <t>EUR</t>
  </si>
  <si>
    <t>Euro</t>
  </si>
  <si>
    <t>USD</t>
  </si>
  <si>
    <t>Dollar des États-Unis</t>
  </si>
  <si>
    <t>QAR</t>
  </si>
  <si>
    <t>Rial du Qatar</t>
  </si>
  <si>
    <t>XAF</t>
  </si>
  <si>
    <t>Franc CFA d’Afrique centrale</t>
  </si>
  <si>
    <t>EUR</t>
  </si>
  <si>
    <t>Euro</t>
  </si>
  <si>
    <t>RON</t>
  </si>
  <si>
    <t>Leu roumain</t>
  </si>
  <si>
    <t>RUB</t>
  </si>
  <si>
    <t>Rouble russe</t>
  </si>
  <si>
    <t>RWF</t>
  </si>
  <si>
    <t>Franc rwandais</t>
  </si>
  <si>
    <t>SHP</t>
  </si>
  <si>
    <t>Livre de Saint Hélène</t>
  </si>
  <si>
    <t>XCD</t>
  </si>
  <si>
    <t>Dollar des Caraïbes orientales</t>
  </si>
  <si>
    <t>XCD</t>
  </si>
  <si>
    <t>Dollar des Caraïbes orientales</t>
  </si>
  <si>
    <t>EUR</t>
  </si>
  <si>
    <t>Euro</t>
  </si>
  <si>
    <t>XCD</t>
  </si>
  <si>
    <t>Dollar des Caraïbes orientales</t>
  </si>
  <si>
    <t>EUR</t>
  </si>
  <si>
    <t>Euro</t>
  </si>
  <si>
    <t>EUR</t>
  </si>
  <si>
    <t>Euro</t>
  </si>
  <si>
    <t>WST</t>
  </si>
  <si>
    <t>Tala de Samoa</t>
  </si>
  <si>
    <t>EUR</t>
  </si>
  <si>
    <t>Euro</t>
  </si>
  <si>
    <t>STD</t>
  </si>
  <si>
    <t>Dobra de Sao Tomé-et-Principe</t>
  </si>
  <si>
    <t>SAR</t>
  </si>
  <si>
    <t>Rial saoudite</t>
  </si>
  <si>
    <t>XOF</t>
  </si>
  <si>
    <t>Franc CFA d’Afrique de l’Ouest</t>
  </si>
  <si>
    <t>RSD</t>
  </si>
  <si>
    <t>Dinar serbe</t>
  </si>
  <si>
    <t>SCR</t>
  </si>
  <si>
    <t>SLL</t>
  </si>
  <si>
    <t>Leone sierra-léonais</t>
  </si>
  <si>
    <t>SGD</t>
  </si>
  <si>
    <t>Dollar de Singapour</t>
  </si>
  <si>
    <t>EUR</t>
  </si>
  <si>
    <t>Euro</t>
  </si>
  <si>
    <t>EUR</t>
  </si>
  <si>
    <t>Euro</t>
  </si>
  <si>
    <t>SBD</t>
  </si>
  <si>
    <t>Dollar des Îles Salomon</t>
  </si>
  <si>
    <t>SOS</t>
  </si>
  <si>
    <t>Shilling somalien</t>
  </si>
  <si>
    <t>ZAR</t>
  </si>
  <si>
    <t>Rand sud-africain</t>
  </si>
  <si>
    <t>SSP</t>
  </si>
  <si>
    <t>Livre sud-soudanaise</t>
  </si>
  <si>
    <t>EUR</t>
  </si>
  <si>
    <t>Euro</t>
  </si>
  <si>
    <t>LKR</t>
  </si>
  <si>
    <t>Roupie du Sri Lanka</t>
  </si>
  <si>
    <t>SDG</t>
  </si>
  <si>
    <t>Livre soudanaise</t>
  </si>
  <si>
    <t>SRD</t>
  </si>
  <si>
    <t>Dollar du Suriname</t>
  </si>
  <si>
    <t>SEK</t>
  </si>
  <si>
    <t>Couronne suédoise</t>
  </si>
  <si>
    <t>CHF</t>
  </si>
  <si>
    <t>Franc suisse</t>
  </si>
  <si>
    <t>SYP</t>
  </si>
  <si>
    <t>Livre syrienne</t>
  </si>
  <si>
    <t>TWD</t>
  </si>
  <si>
    <t>Nouveau dollar taïwanais</t>
  </si>
  <si>
    <t>TJS</t>
  </si>
  <si>
    <t>Somoni tadjik</t>
  </si>
  <si>
    <t>TZS</t>
  </si>
  <si>
    <t>Shilling tanzanien</t>
  </si>
  <si>
    <t>THB</t>
  </si>
  <si>
    <t>Baht thaïlandais</t>
  </si>
  <si>
    <t>USD</t>
  </si>
  <si>
    <t>Dollar des États-Unis</t>
  </si>
  <si>
    <t>XOF</t>
  </si>
  <si>
    <t>Franc CFA d’Afrique de l’Ouest</t>
  </si>
  <si>
    <t>TOP</t>
  </si>
  <si>
    <t>Pa’anga des Îles Tonga</t>
  </si>
  <si>
    <t>TTD</t>
  </si>
  <si>
    <t>Dollar de Trinité-et-Tobago</t>
  </si>
  <si>
    <t>TND</t>
  </si>
  <si>
    <t>Dinar tunisien</t>
  </si>
  <si>
    <t>TRY</t>
  </si>
  <si>
    <t>Lire turque</t>
  </si>
  <si>
    <t>TMT</t>
  </si>
  <si>
    <t>Nouveau manat turkmène</t>
  </si>
  <si>
    <t>USD</t>
  </si>
  <si>
    <t>Dollar des États-Unis</t>
  </si>
  <si>
    <t>TVD</t>
  </si>
  <si>
    <t>Dollar de Tuvalu</t>
  </si>
  <si>
    <t>UGX</t>
  </si>
  <si>
    <t>Shilling ougandais</t>
  </si>
  <si>
    <t>UAH</t>
  </si>
  <si>
    <t>Hryvnia ukrainien</t>
  </si>
  <si>
    <t>AED</t>
  </si>
  <si>
    <t>Dirham des Émirats arabes unis</t>
  </si>
  <si>
    <t>GBP</t>
  </si>
  <si>
    <t>Livre sterling</t>
  </si>
  <si>
    <t>UYU</t>
  </si>
  <si>
    <t>Peso uruguayen</t>
  </si>
  <si>
    <t>UZS</t>
  </si>
  <si>
    <t>Sum ouzbèque</t>
  </si>
  <si>
    <t>VUV</t>
  </si>
  <si>
    <t>Vatu de Vanuatu</t>
  </si>
  <si>
    <t>VAT</t>
  </si>
  <si>
    <t>EUR</t>
  </si>
  <si>
    <t>Euro</t>
  </si>
  <si>
    <t>VEF</t>
  </si>
  <si>
    <t>VND</t>
  </si>
  <si>
    <t>Dong vietnamien</t>
  </si>
  <si>
    <t>USD</t>
  </si>
  <si>
    <t>Dollar des États-Unis</t>
  </si>
  <si>
    <t>YER</t>
  </si>
  <si>
    <t>Rial yéménite</t>
  </si>
  <si>
    <t>ZMW</t>
  </si>
  <si>
    <t>Kwacha zambien</t>
  </si>
  <si>
    <t>USD</t>
  </si>
  <si>
    <t>Dollar des États-Unis</t>
  </si>
  <si>
    <t xml:space="preserve">Le Secrétariat international peut prodiguer conseils et soutien sur demande. Veuillez le contacter à </t>
  </si>
  <si>
    <t>Vous recevrez des retours immédiats sur un certain nombre des données que vous aurez inscrites, et certaines cellules se rempliront automatiquement.</t>
  </si>
  <si>
    <t>Les cellules en bleu pâle ne servent qu’à indiquer les sources et/ou à inscrire des commentaires</t>
  </si>
  <si>
    <t xml:space="preserve">Pour chaque ligne, veuillez procéder comme suit </t>
  </si>
  <si>
    <t>Les cellules en bleu pâle ne servent qu’à indiquer les sources et/ou inscrire des commentaires</t>
  </si>
  <si>
    <t>Les décisions du Groupe multipartite concernant les seuils de matérialité sont-elles publiquement disponibles ?</t>
  </si>
  <si>
    <t>Si oui, quelle aurait dû être la part des revenus transférés par le gouvernement en vertu de la formule de répartition des revenus ?</t>
  </si>
  <si>
    <t>Si oui, quel est le montant total des dépenses quasi fiscales engagées par les entreprises d’État ?</t>
  </si>
  <si>
    <t>Veuillez fournir une liste de toutes les entités déclarantes, accompagnée de l’information y afférente</t>
  </si>
  <si>
    <t>Nom complet de l’entité</t>
  </si>
  <si>
    <t>Ajoutez de nouvelles lignes au besoin, effectuez un clic droit sur le numéro de ligne à gauche, puis sélectionnez « Insérer »</t>
  </si>
  <si>
    <t>Nom complet de l’entreprise</t>
  </si>
  <si>
    <t>Ajouter ci-dessous, à titre de commentaire, toute information supplémentaire qu’il ne serait pas judicieux d’inclure dans le tableau ci-dessus.</t>
  </si>
  <si>
    <t>Balboa panaméen</t>
  </si>
  <si>
    <t>Roupie seychelloise</t>
  </si>
  <si>
    <t>Trinité-et-Tobago</t>
  </si>
  <si>
    <t>Saint Vincent et les Grenadines</t>
  </si>
  <si>
    <t>Îles Féroé</t>
  </si>
  <si>
    <t>Kina de Papouasie-Nouvelle-Guinée</t>
  </si>
  <si>
    <t>Bolivar fuerte vénézuélien</t>
  </si>
  <si>
    <t>Îles Åland</t>
  </si>
  <si>
    <t>Nutum du Bhoutan</t>
  </si>
  <si>
    <t>Darussalam de Brunei</t>
  </si>
  <si>
    <t>Unidad de Fomento chilien</t>
  </si>
  <si>
    <t>Kuna croate</t>
  </si>
  <si>
    <t>Guernesey</t>
  </si>
  <si>
    <t>Dinar koweitien</t>
  </si>
  <si>
    <t>Riyal du Qatar</t>
  </si>
  <si>
    <t>Monténégro</t>
  </si>
  <si>
    <t>Koweït</t>
  </si>
  <si>
    <t>Vue d’ensemble des industries extractives, y compris de toute activité importante de prospection.</t>
  </si>
  <si>
    <t>Amendes, peines et forfaits</t>
  </si>
  <si>
    <t>Amendes, peines et forfaits (143E)</t>
  </si>
  <si>
    <t>Amendes, peines et forfaits(143E)</t>
  </si>
  <si>
    <t>Minier</t>
  </si>
  <si>
    <t>Partie 4 (Recettes de l’État) Elle contient des données exhaustives sur les revenus de l’État par flux de revenu, en utilisant la classification SFP.</t>
  </si>
  <si>
    <t>Total des recettes de l’État provenant du secteur extractif (utilisant la classification SFP)</t>
  </si>
  <si>
    <t>5. Si des paiements sont recensés dans le Rapport ITIE mais ne correspondent pas aux catégories SFP, veuillez les lister dans la case ci-dessous dénommée « Informations supplémentaires ».</t>
  </si>
  <si>
    <t>Cadre SFP pour le rapportage ITIE</t>
  </si>
  <si>
    <t>En quoi consiste le SFP ?</t>
  </si>
  <si>
    <t>Classification SFP</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</si>
  <si>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</si>
  <si>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data@eiti.org</t>
  </si>
  <si>
    <t xml:space="preserve">2. Lorsqu’il aura été répondu à certaines questions, de nouvelles indications et questions peuvent s’afficher. Merci de répondre à chacune d’elles jusqu’à ce que la section ait été remplie. </t>
  </si>
  <si>
    <t>Sociétés associées, commencer par l’Opérateur</t>
  </si>
  <si>
    <t>Valeur de production</t>
  </si>
  <si>
    <t>Unité</t>
  </si>
  <si>
    <t>Source du taux de change (URL,…):</t>
  </si>
  <si>
    <t>Nombre d’entités de l’État déclarantes (Entreprises d'Etat incluses si collectant)</t>
  </si>
  <si>
    <t>Nombre d’entreprises déclarantes (Entreprises d'Etat incluses si payeur)</t>
  </si>
  <si>
    <t>Les données ITIE sont-elles systématiquement divulguées par le gouvernement à une adresse unique?</t>
  </si>
  <si>
    <t>Autres secteurs (autres que les secteur en amont)</t>
  </si>
  <si>
    <t>PIB - secteur artisanal et informel</t>
  </si>
  <si>
    <t>Paiement effectué en nature?</t>
  </si>
  <si>
    <t>Volume en nature (si applicable)</t>
  </si>
  <si>
    <t>Unité (si applicable)</t>
  </si>
  <si>
    <t>Matières premières (une matière/ligne)</t>
  </si>
  <si>
    <t>Tonnes</t>
  </si>
  <si>
    <t>Type d'Agence</t>
  </si>
  <si>
    <t>Tableau 9 - Types d'agences gouvernementales</t>
  </si>
  <si>
    <t>Autre</t>
  </si>
  <si>
    <t>Administration centrale</t>
  </si>
  <si>
    <t>Administration d'Etat fédéré</t>
  </si>
  <si>
    <t>Administration locale</t>
  </si>
  <si>
    <t>Société publique financière et Entreprise d'Etat</t>
  </si>
  <si>
    <t>Référence au(s) rapport(s) financier(s) audité(s) (Ajouter des lignes si plusieurs Entreprises d'Etat)</t>
  </si>
  <si>
    <t>Toute référence à des entreprises d’État (portails ou sites Internet d’entreprise), telle que paraissant dans le Rapport (Ajouter des lignes si plusieurs Entreprises D'Etat)</t>
  </si>
  <si>
    <t>Si oui, quel est le volume reçu?</t>
  </si>
  <si>
    <t>Si oui, combien a été vendu?</t>
  </si>
  <si>
    <t>Si oui, quel est le total des revenus transférés à l'Etat issus des ventes de pétrole, gas et/ou minerais?</t>
  </si>
  <si>
    <t>Rapport financier audité (si indisponible, bilan comptable ou flux de trésorerie…)</t>
  </si>
  <si>
    <t>Le gouvernement divulgue-t-il des informations sur les paiements liés à l'environnement?</t>
  </si>
  <si>
    <t>Si oui, quel est le montant total des paiements obligatoires liés à l'environnement?</t>
  </si>
  <si>
    <t>Si oui, quel est le montant total des paiements volontaires liés à l'environnement?</t>
  </si>
  <si>
    <t>Rempli le :</t>
  </si>
  <si>
    <t>Modèle de données résumées pour les divulgations ITIE</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</si>
  <si>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</si>
  <si>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</si>
  <si>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</si>
  <si>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</si>
  <si>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</si>
  <si>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</si>
  <si>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</si>
  <si>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</si>
  <si>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</si>
  <si>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</si>
  <si>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</si>
  <si>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</si>
  <si>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</si>
  <si>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Les cellules en bleu ne servent qu’à indiquer les sources et/ou à inscrire des commentaires</t>
  </si>
  <si>
    <t>Les cellules en blanc n’exigent aucune action</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</si>
  <si>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</si>
  <si>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</si>
  <si>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</si>
  <si>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</si>
  <si>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</si>
  <si>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</si>
  <si>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</si>
  <si>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</si>
  <si>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</si>
  <si>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</si>
  <si>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</si>
  <si>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</si>
  <si>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</si>
  <si>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</si>
  <si>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</si>
  <si>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Pays ou région</t>
  </si>
  <si>
    <t>Exercice fiscal couvert par ce fichier de données</t>
  </si>
  <si>
    <t>Source de données</t>
  </si>
  <si>
    <t>Couverture/périmètre des données</t>
  </si>
  <si>
    <t>Coordonnées de contact : soumission de données</t>
  </si>
  <si>
    <t>Modèle de données résumées</t>
  </si>
  <si>
    <t>Comment remplir cette feuille :</t>
  </si>
  <si>
    <t xml:space="preserve">Partie 1 - Présentation </t>
  </si>
  <si>
    <t>Description</t>
  </si>
  <si>
    <t>Inscrire les données dans cette colonne</t>
  </si>
  <si>
    <t>Source/Commentaires</t>
  </si>
  <si>
    <t>Nom du pays ou de la région</t>
  </si>
  <si>
    <t>Code ISO de la devise</t>
  </si>
  <si>
    <t>Nom de la monnaie nationale</t>
  </si>
  <si>
    <t>Monnaie nationale selon ISO-4217</t>
  </si>
  <si>
    <t>Date de début</t>
  </si>
  <si>
    <t>Date de fin</t>
  </si>
  <si>
    <t>Un Rapport ITIE a-t-il été préparé par un Administrateur indépendant ?</t>
  </si>
  <si>
    <t>Quel est le nom de l’entreprise ?</t>
  </si>
  <si>
    <t>Date à laquelle le Rapport ITIE a été rendu public</t>
  </si>
  <si>
    <t>URL, Rapport ITIE</t>
  </si>
  <si>
    <t>Date de publication des données ITIE</t>
  </si>
  <si>
    <t>Lien vers le site Internet (URL) de données ITIE</t>
  </si>
  <si>
    <t>Existe-t-il d’autres fichiers de caractère pertinent ?</t>
  </si>
  <si>
    <t>Date à laquelle l’autre fichier a été rendu public</t>
  </si>
  <si>
    <t>URL</t>
  </si>
  <si>
    <t>Le gouvernement applique-t-il une politique de données ouvertes ?</t>
  </si>
  <si>
    <t>Portail/fichiers de données ouvertes</t>
  </si>
  <si>
    <t>Couverture sectorielle</t>
  </si>
  <si>
    <t>Mines (y compris carrières)</t>
  </si>
  <si>
    <t>Si oui, préciser le nom (insérer de nouvelles lignes si multiples)</t>
  </si>
  <si>
    <t xml:space="preserve">Taux de change utilisé : 1 USD = </t>
  </si>
  <si>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</si>
  <si>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</si>
  <si>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</si>
  <si>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</si>
  <si>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</si>
  <si>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</si>
  <si>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</si>
  <si>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</si>
  <si>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Information non disponible</t>
  </si>
  <si>
    <t>Nom et coordonnées de contact de la personne soumettant ce fichier</t>
  </si>
  <si>
    <t>Name</t>
  </si>
  <si>
    <t>Organisation</t>
  </si>
  <si>
    <t>Adresse électronique</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</si>
  <si>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</si>
  <si>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</si>
  <si>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</si>
  <si>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</si>
  <si>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</si>
  <si>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r>
      <t xml:space="preserve">Exigence ITIE 4.7: </t>
    </r>
    <r>
      <rPr>
        <sz val="12"/>
        <rFont val="Franklin Gothic Book"/>
        <family val="2"/>
      </rPr>
      <t>Désagrégation</t>
    </r>
  </si>
  <si>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</si>
  <si>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</si>
  <si>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</si>
  <si>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</si>
  <si>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</si>
  <si>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</si>
  <si>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</si>
  <si>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</si>
  <si>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</si>
  <si>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</si>
  <si>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</si>
  <si>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</si>
  <si>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</si>
  <si>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</si>
  <si>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</si>
  <si>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</si>
  <si>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</si>
  <si>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Vue d’ensemble des rôles des agences gouvernementales ?</t>
  </si>
  <si>
    <t>Régime fiscal ?</t>
  </si>
  <si>
    <r>
      <t xml:space="preserve">Exigence ITIE 2.2: </t>
    </r>
    <r>
      <rPr>
        <b/>
        <sz val="10.5"/>
        <rFont val="Franklin Gothic Book"/>
        <family val="2"/>
      </rPr>
      <t>Octroi des contrats et licences</t>
    </r>
  </si>
  <si>
    <t>le processus d’octroi des licences ?</t>
  </si>
  <si>
    <t>et les critères techniques et financiers utilisés ?</t>
  </si>
  <si>
    <t>le(s) processus de transfert de licences ?</t>
  </si>
  <si>
    <t>processus d’appel d’offres :</t>
  </si>
  <si>
    <t>Nombre d’octrois et de transferts pour l’exercice couvert</t>
  </si>
  <si>
    <r>
      <t xml:space="preserve">Exigence ITIE 2.3: </t>
    </r>
    <r>
      <rPr>
        <b/>
        <sz val="10.5"/>
        <rFont val="Franklin Gothic Book"/>
        <family val="2"/>
      </rPr>
      <t>Registre des licences</t>
    </r>
  </si>
  <si>
    <t>Registres des licences pour le secteur minier</t>
  </si>
  <si>
    <t>Registre des licences pour le secteur pétrolier</t>
  </si>
  <si>
    <t>Registre des licences pour tout autre secteur - ajouter des lignes au besoin</t>
  </si>
  <si>
    <r>
      <t xml:space="preserve">Exigence ITIE 2.4: </t>
    </r>
    <r>
      <rPr>
        <b/>
        <sz val="10.5"/>
        <rFont val="Franklin Gothic Book"/>
        <family val="2"/>
      </rPr>
      <t>Divulgation des contrats</t>
    </r>
  </si>
  <si>
    <t>Politique sur la divulgation des contrats</t>
  </si>
  <si>
    <t>Les contrats sont-ils divulgués ?</t>
  </si>
  <si>
    <t>Registre des contrats pour le secteur minier</t>
  </si>
  <si>
    <t>Registre des contrats pour le secteur pétrolier</t>
  </si>
  <si>
    <t>Registre des contrats pour tout autre secteur - ajouter des ligne s’il y en a plusieurs</t>
  </si>
  <si>
    <r>
      <t xml:space="preserve">Exigence ITIE 2.5: </t>
    </r>
    <r>
      <rPr>
        <b/>
        <sz val="10.5"/>
        <rFont val="Franklin Gothic Book"/>
        <family val="2"/>
      </rPr>
      <t>Propriété réelle</t>
    </r>
  </si>
  <si>
    <t>Politique du gouvernement concernant la propriété réelle</t>
  </si>
  <si>
    <t>Des données de propriété réelle sont-elles divulguées ?</t>
  </si>
  <si>
    <t>Registre de la propriété réelle</t>
  </si>
  <si>
    <r>
      <t xml:space="preserve">Exigence ITIE 2.6 : </t>
    </r>
    <r>
      <rPr>
        <b/>
        <sz val="10.5"/>
        <rFont val="Franklin Gothic Book"/>
        <family val="2"/>
      </rPr>
      <t>Participation de l’État</t>
    </r>
  </si>
  <si>
    <t>Le gouvernement rend-il compte de sa participation dans le secteur extractif ?</t>
  </si>
  <si>
    <r>
      <t xml:space="preserve">Exigence ITIE 3.1: </t>
    </r>
    <r>
      <rPr>
        <b/>
        <sz val="10.5"/>
        <rFont val="Franklin Gothic Book"/>
        <family val="2"/>
      </rPr>
      <t>Prospection</t>
    </r>
  </si>
  <si>
    <r>
      <t xml:space="preserve">Exigence ITIE 3.2: </t>
    </r>
    <r>
      <rPr>
        <b/>
        <sz val="10.5"/>
        <rFont val="Franklin Gothic Book"/>
        <family val="2"/>
      </rPr>
      <t>Production</t>
    </r>
  </si>
  <si>
    <t>Divulgation des volumes de production</t>
  </si>
  <si>
    <t>Divulgation des valeurs de production</t>
  </si>
  <si>
    <t>Sm3</t>
  </si>
  <si>
    <r>
      <t xml:space="preserve">Exigences ITIE 3.3 : </t>
    </r>
    <r>
      <rPr>
        <b/>
        <sz val="10.5"/>
        <rFont val="Franklin Gothic Book"/>
        <family val="2"/>
      </rPr>
      <t>Exportations</t>
    </r>
  </si>
  <si>
    <t>Divulgation des volumes d’exportation</t>
  </si>
  <si>
    <t>Divulgation des valeurs d’exportation</t>
  </si>
  <si>
    <r>
      <t xml:space="preserve">Exigence ITIE 4.1 : </t>
    </r>
    <r>
      <rPr>
        <b/>
        <sz val="10.5"/>
        <rFont val="Franklin Gothic Book"/>
        <family val="2"/>
      </rPr>
      <t>Exhaustivité</t>
    </r>
  </si>
  <si>
    <t>Le gouvernement divulgue-t-il entièrement les revenus extractifs par flux de revenus ?</t>
  </si>
  <si>
    <r>
      <t xml:space="preserve">Exigence ITIE 4.2: </t>
    </r>
    <r>
      <rPr>
        <b/>
        <sz val="10.5"/>
        <rFont val="Franklin Gothic Book"/>
        <family val="2"/>
      </rPr>
      <t>Revenus en nature</t>
    </r>
  </si>
  <si>
    <t>Le gouvernement divulgue-t-il des données sur les revenus en nature ?</t>
  </si>
  <si>
    <r>
      <t xml:space="preserve">Exigence ITIE 4.3 : </t>
    </r>
    <r>
      <rPr>
        <b/>
        <sz val="10.5"/>
        <rFont val="Franklin Gothic Book"/>
        <family val="2"/>
      </rPr>
      <t xml:space="preserve">Accords de troc </t>
    </r>
  </si>
  <si>
    <t>Le gouvernement divulgue-t-il des informations concernant les accords de troc et de fourniture d’infrastructures ?</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</si>
  <si>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</si>
  <si>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</si>
  <si>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</si>
  <si>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</si>
  <si>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</si>
  <si>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</si>
  <si>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Si oui, quel est le montant total des revenus perçus par les entreprises d’État ?</t>
  </si>
  <si>
    <r>
      <t xml:space="preserve">Exigence ITIE 4.6: </t>
    </r>
    <r>
      <rPr>
        <b/>
        <sz val="10.5"/>
        <rFont val="Franklin Gothic Book"/>
        <family val="2"/>
      </rPr>
      <t xml:space="preserve">Paiements directs infranationaux </t>
    </r>
  </si>
  <si>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</si>
  <si>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</si>
  <si>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</si>
  <si>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</si>
  <si>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</si>
  <si>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Les données financières sont-elles soumises à un audit crédible et indépendant, qui applique les normes internationales ?</t>
  </si>
  <si>
    <t>Les agences gouvernementales font-elles l’objet d’audits crédibles et indépendants ?</t>
  </si>
  <si>
    <t>Base de données des audits d’entités de l’État</t>
  </si>
  <si>
    <t>Les entreprises sont-elles soumises à des audits crédibles et indépendants ?</t>
  </si>
  <si>
    <t>Base de données des audits d’entreprise</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</si>
  <si>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</si>
  <si>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</si>
  <si>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Le gouvernement divulgue-t-il la part des revenus extractifs qui ne sont pas inscrits dans le budget de l’État ?</t>
  </si>
  <si>
    <r>
      <t xml:space="preserve">Exigence ITIE 5.2 : </t>
    </r>
    <r>
      <rPr>
        <b/>
        <sz val="10.5"/>
        <rFont val="Franklin Gothic Book"/>
        <family val="2"/>
      </rPr>
      <t>Transferts infranationaux</t>
    </r>
  </si>
  <si>
    <t>Le gouvernement divulgue-t-il des informations sur les transferts infranationaux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</si>
  <si>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</si>
  <si>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</si>
  <si>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</si>
  <si>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Le gouvernement donne-t-il une description des processus budgétaire et d’audit du pays ?</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</si>
  <si>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</si>
  <si>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r>
      <t xml:space="preserve">Exigence ITIE 6.1: </t>
    </r>
    <r>
      <rPr>
        <b/>
        <sz val="10.5"/>
        <rFont val="Franklin Gothic Book"/>
        <family val="2"/>
      </rPr>
      <t>Dépenses sociales et environnementales</t>
    </r>
  </si>
  <si>
    <t>Le gouvernement divulgue-t-il des informations sur les dépenses sociales ?</t>
  </si>
  <si>
    <t>Si oui, quel est le montant total des dépenses sociales obligatoires reçues ?</t>
  </si>
  <si>
    <t>Si oui, quel est le montant total des dépenses sociales volontaires reçues ?</t>
  </si>
  <si>
    <t>Les entreprises divulguent-elles des informations sur leurs dépenses sociales ?</t>
  </si>
  <si>
    <t>Si oui, quel est le montant total des dépenses sociales obligatoires engagées ?</t>
  </si>
  <si>
    <t>Si oui, quel est le montant total des dépenses sociales volontaires engagées ?</t>
  </si>
  <si>
    <r>
      <t xml:space="preserve">Exigence ITIE 6.2: </t>
    </r>
    <r>
      <rPr>
        <b/>
        <sz val="10.5"/>
        <rFont val="Franklin Gothic Book"/>
        <family val="2"/>
      </rPr>
      <t>Dépenses quasi-fiscales </t>
    </r>
  </si>
  <si>
    <t>Le gouvernement ou les entreprises d’État divulguent-ils des informations sur les dépenses quasi-fiscales ?</t>
  </si>
  <si>
    <r>
      <t xml:space="preserve">Exigence ITIE 6.3: </t>
    </r>
    <r>
      <rPr>
        <b/>
        <sz val="10.5"/>
        <rFont val="Franklin Gothic Book"/>
        <family val="2"/>
      </rPr>
      <t xml:space="preserve">Contribution économique </t>
    </r>
  </si>
  <si>
    <t>Le gouvernement divulgue-t-il des informations sur la contribution économique du secteur extractif ?</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</si>
  <si>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</si>
  <si>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tous secteurs</t>
  </si>
  <si>
    <t>Revenus du gouvernement - industries extractives</t>
  </si>
  <si>
    <t>Revenus du gouvernement - tous secteurs</t>
  </si>
  <si>
    <t>Exportations - industries extractives</t>
  </si>
  <si>
    <t>Exportations - tous secteurs</t>
  </si>
  <si>
    <t>Emploi - tous secteurs</t>
  </si>
  <si>
    <t>Investissements - secteur extractif</t>
  </si>
  <si>
    <t>Investissements - tous secteurs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</si>
  <si>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</si>
  <si>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</si>
  <si>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</si>
  <si>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</si>
  <si>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</si>
  <si>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</si>
  <si>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</si>
  <si>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Liste des entités de l’État déclarantes</t>
  </si>
  <si>
    <t>N° d’identifiant (le cas échéant)</t>
  </si>
  <si>
    <t>Total déclaré</t>
  </si>
  <si>
    <t>Identifiants d’entreprise</t>
  </si>
  <si>
    <t>Exemple : N° identification de contribuable</t>
  </si>
  <si>
    <t>The Brønnøysund Register Centre</t>
  </si>
  <si>
    <t>Si possible, indiquer le lien vers le registre ou l’entité</t>
  </si>
  <si>
    <t>Liste des entreprises déclarantes</t>
  </si>
  <si>
    <t>Identifiant de l’entreprise</t>
  </si>
  <si>
    <t>Matières premières (séparation par virgule)</t>
  </si>
  <si>
    <t xml:space="preserve">Cotation boursière ou site Internet d’entreprise </t>
  </si>
  <si>
    <t>Rapport de paiements à l’État</t>
  </si>
  <si>
    <t>Liste des projets à déclarer</t>
  </si>
  <si>
    <t>Nom complet du projet</t>
  </si>
  <si>
    <t>Statut</t>
  </si>
  <si>
    <t>Volume de production</t>
  </si>
  <si>
    <r>
      <t xml:space="preserve">1. Inscrivez le nom de tous les </t>
    </r>
    <r>
      <rPr>
        <b/>
        <i/>
        <sz val="12"/>
        <color theme="1"/>
        <rFont val="Franklin Gothic Book"/>
        <family val="2"/>
      </rPr>
      <t>flux de revenus</t>
    </r>
    <r>
      <rPr>
        <i/>
        <sz val="12"/>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</si>
  <si>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2"/>
        <rFont val="Franklin Gothic Book"/>
        <family val="2"/>
      </rPr>
      <t>l’entité de l’État percevant les revenus</t>
    </r>
    <r>
      <rPr>
        <i/>
        <sz val="12"/>
        <rFont val="Franklin Gothic Book"/>
        <family val="2"/>
      </rPr>
      <t xml:space="preserve"> (sélectionnez celle-ci sur la liste déroulante) Elle y figurera parce que vous aurez déjà inscrit l’entité de l’État à la Partie 3).</t>
    </r>
  </si>
  <si>
    <r>
      <t xml:space="preserve">3. Choisissez le </t>
    </r>
    <r>
      <rPr>
        <b/>
        <i/>
        <sz val="12"/>
        <rFont val="Franklin Gothic Book"/>
        <family val="2"/>
      </rPr>
      <t>Secteur</t>
    </r>
    <r>
      <rPr>
        <i/>
        <sz val="12"/>
        <rFont val="Franklin Gothic Book"/>
        <family val="2"/>
      </rPr>
      <t xml:space="preserve"> et la </t>
    </r>
    <r>
      <rPr>
        <b/>
        <i/>
        <sz val="12"/>
        <rFont val="Franklin Gothic Book"/>
        <family val="2"/>
      </rPr>
      <t>Classification SFP</t>
    </r>
    <r>
      <rPr>
        <i/>
        <sz val="12"/>
        <rFont val="Franklin Gothic Book"/>
        <family val="2"/>
      </rPr>
      <t xml:space="preserve"> auxquels ce flux de revenus s’applique. Consultez les orientations fournies dans le </t>
    </r>
    <r>
      <rPr>
        <i/>
        <u/>
        <sz val="12"/>
        <rFont val="Franklin Gothic Book"/>
        <family val="2"/>
      </rPr>
      <t>Cadre SFP pour le rapportage ITIE.</t>
    </r>
    <r>
      <rPr>
        <i/>
        <sz val="12"/>
        <rFont val="Franklin Gothic Book"/>
        <family val="2"/>
      </rPr>
      <t xml:space="preserve"> </t>
    </r>
    <r>
      <rPr>
        <i/>
        <u/>
        <sz val="12"/>
        <rFont val="Franklin Gothic Book"/>
        <family val="2"/>
      </rPr>
      <t xml:space="preserve"> </t>
    </r>
    <r>
      <rPr>
        <sz val="12"/>
        <rFont val="Franklin Gothic Book"/>
        <family val="2"/>
      </rPr>
      <t>Si un flux de revenus ne peut être désagrégé par secteur, sélectionnez « Autre ».</t>
    </r>
  </si>
  <si>
    <r>
      <t xml:space="preserve">4. Dans la colonne </t>
    </r>
    <r>
      <rPr>
        <b/>
        <i/>
        <sz val="12"/>
        <rFont val="Franklin Gothic Book"/>
        <family val="2"/>
      </rPr>
      <t>Valeur des revenus</t>
    </r>
    <r>
      <rPr>
        <i/>
        <sz val="12"/>
        <rFont val="Franklin Gothic Book"/>
        <family val="2"/>
      </rPr>
      <t xml:space="preserve"> inscrivez le chiffre total de chaque flux de revenus tel que divulgué par le gouvernement, qui inclut également les revenus qui n’ont pas été rapprochés.</t>
    </r>
  </si>
  <si>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</si>
  <si>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Mines</t>
  </si>
  <si>
    <t>Total</t>
  </si>
  <si>
    <t>Informations supplémentaires</t>
  </si>
  <si>
    <t>Commentaire 1</t>
  </si>
  <si>
    <t>Veuillez inclure des commentaires ici.</t>
  </si>
  <si>
    <t>Commentaire 2</t>
  </si>
  <si>
    <t>Insérer au besoin des lignes supplémentaires :</t>
  </si>
  <si>
    <t>Veuillez inclure tout commentaire ici.</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</si>
  <si>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</si>
  <si>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</si>
  <si>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</si>
  <si>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</si>
  <si>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</si>
  <si>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</si>
  <si>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</si>
  <si>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t>Ajouter ci-dessous, à titre de commentaire, toute information supplémentaire qu’il ne serait pas nécessaire d’inclure dans le tableau ci-dessus.</t>
  </si>
  <si>
    <t>Comment</t>
  </si>
  <si>
    <r>
      <t xml:space="preserve">Adresse </t>
    </r>
    <r>
      <rPr>
        <b/>
        <sz val="10"/>
        <color rgb="FF0076AF"/>
        <rFont val="Franklin Gothic Book"/>
        <family val="2"/>
      </rPr>
      <t>EITI International Secretariat, Rådhusgata 26, 0151 Oslo, Norvège</t>
    </r>
  </si>
  <si>
    <t>Version 2.0 appliquée le 1er Juillet 2019</t>
  </si>
  <si>
    <t>Les cellules en orange doivent être complétées avant la soumission</t>
  </si>
  <si>
    <t>Calcul automatique utilisant le total des revenus du gouvernement et le total des données par entreprise</t>
  </si>
  <si>
    <t>Couverture de la réconciliation</t>
  </si>
  <si>
    <t>Emploi - secteur extractif - homme</t>
  </si>
  <si>
    <t>Emploi - secteur extractif - femme</t>
  </si>
  <si>
    <t xml:space="preserve">Emploi - secteur extractif </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</si>
  <si>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</si>
  <si>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</si>
  <si>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</si>
  <si>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Banque de données contenant études d'impact environnemental, procédures de certification ou documentation similaire relevant de la protection de l'environnement?</t>
  </si>
  <si>
    <t>Autres informations concernant des procédures administratives et de régulation de l'environnement?</t>
  </si>
  <si>
    <t>&lt;Rapportage ITIE ou divulgation systématique?&gt;</t>
  </si>
  <si>
    <t>Description de produit HS</t>
  </si>
  <si>
    <t>Aluminium (2606)</t>
  </si>
  <si>
    <t>Aluminium (2606), volume</t>
  </si>
  <si>
    <t>Amiante (2524)</t>
  </si>
  <si>
    <t>Amiante (2524), volume</t>
  </si>
  <si>
    <t>Ardoise (2514)</t>
  </si>
  <si>
    <t>Ardoise (2514), volume</t>
  </si>
  <si>
    <t>Argent (7106)</t>
  </si>
  <si>
    <t>Argent (7106), volume</t>
  </si>
  <si>
    <t>Argile (2509)</t>
  </si>
  <si>
    <t>Argile (2509), volume</t>
  </si>
  <si>
    <t>Autres (2617)</t>
  </si>
  <si>
    <t>Autres (2617), volume</t>
  </si>
  <si>
    <t>Autres argiles (2508)</t>
  </si>
  <si>
    <t>Autres argiles (2508), volume</t>
  </si>
  <si>
    <t>Autres cendres et mâchefer (2621)</t>
  </si>
  <si>
    <t>Autres cendres et mâchefer (2621), volume</t>
  </si>
  <si>
    <t>Bitume et asphalte (2714)</t>
  </si>
  <si>
    <t>Bitume et asphalte (2714), volume</t>
  </si>
  <si>
    <t>Borates et concentrés naturels (2528)</t>
  </si>
  <si>
    <t>Borates et concentrés naturels (2528), volume</t>
  </si>
  <si>
    <t>Cailloux (2517)</t>
  </si>
  <si>
    <t>Cailloux (2517), volume</t>
  </si>
  <si>
    <t>Calcaire (2521)</t>
  </si>
  <si>
    <t>Calcaire (2521), volume</t>
  </si>
  <si>
    <t>Carbonate de magnésium naturel (2519)</t>
  </si>
  <si>
    <t>Carbonate de magnésium naturel (2519), volume</t>
  </si>
  <si>
    <t>Cendres et résidus (2620)</t>
  </si>
  <si>
    <t>Cendres et résidus (2620), volume</t>
  </si>
  <si>
    <t>Charbon (2701)</t>
  </si>
  <si>
    <t>Charbon (2701), volume</t>
  </si>
  <si>
    <t>Chaux vive (2522)</t>
  </si>
  <si>
    <t>Chaux vive (2522), volume</t>
  </si>
  <si>
    <t>Chrome (2610)</t>
  </si>
  <si>
    <t>Chrome (2610), volume</t>
  </si>
  <si>
    <t>Ciment Portland (2523)</t>
  </si>
  <si>
    <t>Ciment Portland (2523), volume</t>
  </si>
  <si>
    <t>Cobalt (2605)</t>
  </si>
  <si>
    <t>Cobalt (2605), volume</t>
  </si>
  <si>
    <t>Coke de pétrole (2713)</t>
  </si>
  <si>
    <t>Coke de pétrole (2713), volume</t>
  </si>
  <si>
    <t>Coke et semi-coke (2704)</t>
  </si>
  <si>
    <t>Coke et semi-coke (2704), volume</t>
  </si>
  <si>
    <t>Cryolite naturelle (2527)</t>
  </si>
  <si>
    <t>Cryolite naturelle (2527), volume</t>
  </si>
  <si>
    <t>Cuivre (2603)</t>
  </si>
  <si>
    <t>Cuivre (2603), volume</t>
  </si>
  <si>
    <t>Diamants (7102)</t>
  </si>
  <si>
    <t>Diamants (7102), volume</t>
  </si>
  <si>
    <t>Dolomite (2518)</t>
  </si>
  <si>
    <t>Dolomite (2518), volume</t>
  </si>
  <si>
    <t>Énergie électrique (2 716)</t>
  </si>
  <si>
    <t>Énergie électrique (2 716), volume</t>
  </si>
  <si>
    <t>Étain (2609)</t>
  </si>
  <si>
    <t>Étain (2609), volume</t>
  </si>
  <si>
    <t>Farines siliceuses fossiles (2512)</t>
  </si>
  <si>
    <t>Farines siliceuses fossiles (2512), volume</t>
  </si>
  <si>
    <t>Feldspath (2529)</t>
  </si>
  <si>
    <t>Feldspath (2529), volume</t>
  </si>
  <si>
    <t>Fer (2601)</t>
  </si>
  <si>
    <t>Fer (2601), volume</t>
  </si>
  <si>
    <t>Gaz de charbon (2705)</t>
  </si>
  <si>
    <t>Gaz de charbon (2705), volume</t>
  </si>
  <si>
    <t>Gaz naturel (2711)</t>
  </si>
  <si>
    <t>Gaz naturel (2711), volume</t>
  </si>
  <si>
    <t>Gelée de pétrole (2712)</t>
  </si>
  <si>
    <t>Gelée de pétrole (2712), volume</t>
  </si>
  <si>
    <t>Goudron distillé à partir de charbon (2706)</t>
  </si>
  <si>
    <t>Goudron distillé à partir de charbon (2706), volume</t>
  </si>
  <si>
    <t>Granite (2516)</t>
  </si>
  <si>
    <t>Granite (2516), volume</t>
  </si>
  <si>
    <t>Graphite naturel (2504)</t>
  </si>
  <si>
    <t>Graphite naturel (2504), volume</t>
  </si>
  <si>
    <t>Gypse (2520)</t>
  </si>
  <si>
    <t>Gypse (2520), volume</t>
  </si>
  <si>
    <t>Huiles de pétrole hors pétrole brut (2710)</t>
  </si>
  <si>
    <t>Huiles de pétrole hors pétrole brut (2710), volume</t>
  </si>
  <si>
    <t>Kaolin (2507)</t>
  </si>
  <si>
    <t>Kaolin (2507), volume</t>
  </si>
  <si>
    <t>Lignite (2702)</t>
  </si>
  <si>
    <t>Lignite (2702), volume</t>
  </si>
  <si>
    <t>Mâchefer (2619)</t>
  </si>
  <si>
    <t>Mâchefer (2619), volume</t>
  </si>
  <si>
    <t>Manganèse (2602)</t>
  </si>
  <si>
    <t>Manganèse (2602), volume</t>
  </si>
  <si>
    <t>Marbre (2515)</t>
  </si>
  <si>
    <t>Marbre (2515), volume</t>
  </si>
  <si>
    <t>Mélanges bitumineux (2715)</t>
  </si>
  <si>
    <t>Mélanges bitumineux (2715), volume</t>
  </si>
  <si>
    <t>Métaux précieux (2616)</t>
  </si>
  <si>
    <t>Métaux précieux (2616), volume</t>
  </si>
  <si>
    <t>Mica (2525)</t>
  </si>
  <si>
    <t>Mica (2525), volume</t>
  </si>
  <si>
    <t>Molybdène (2613)</t>
  </si>
  <si>
    <t>Molybdène (2613), volume</t>
  </si>
  <si>
    <t>Nickel (2604)</t>
  </si>
  <si>
    <t>Nickel (2604), volume</t>
  </si>
  <si>
    <t>Or (7108)</t>
  </si>
  <si>
    <t>Or (7108), volume</t>
  </si>
  <si>
    <t>Pétrole brut (2709)</t>
  </si>
  <si>
    <t>Pétrole brut (2709), volume</t>
  </si>
  <si>
    <t>Phosphates de calcium naturels (2510)</t>
  </si>
  <si>
    <t>Phosphates de calcium naturels (2510), volume</t>
  </si>
  <si>
    <t>Pierre ponce (2513)</t>
  </si>
  <si>
    <t>Pierre ponce (2513), volume</t>
  </si>
  <si>
    <t>Plomb (2607)</t>
  </si>
  <si>
    <t>Plomb (2607), volume</t>
  </si>
  <si>
    <t>Produits de distillation du goudron de charbon (2707)</t>
  </si>
  <si>
    <t>Produits de distillation du goudron de charbon (2707), volume</t>
  </si>
  <si>
    <t>Pyrites de fer (2502)</t>
  </si>
  <si>
    <t>Pyrites de fer (2502), volume</t>
  </si>
  <si>
    <t>Quartz (2506)</t>
  </si>
  <si>
    <t>Quartz (2506), volume</t>
  </si>
  <si>
    <t>Sables naturels (2505)</t>
  </si>
  <si>
    <t>Sables naturels (2505), volume</t>
  </si>
  <si>
    <t>Scorie granulée (2618)</t>
  </si>
  <si>
    <t>Scorie granulée (2618), volume</t>
  </si>
  <si>
    <t>Sel et chlorure de sodium pur (2501)</t>
  </si>
  <si>
    <t>Sel et chlorure de sodium pur (2501), volume</t>
  </si>
  <si>
    <t>Soufre de tout type (2503)</t>
  </si>
  <si>
    <t>Soufre de tout type (2503), volume</t>
  </si>
  <si>
    <t>Stéatite naturelle (2526)</t>
  </si>
  <si>
    <t>Stéatite naturelle (2526), volume</t>
  </si>
  <si>
    <t>Substances minérales non spécifiées ailleurs (2530)</t>
  </si>
  <si>
    <t>Substances minérales non spécifiées ailleurs (2530), volume</t>
  </si>
  <si>
    <t>Sulfate de baryum naturel (2511)</t>
  </si>
  <si>
    <t>Sulfate de baryum naturel (2511), volume</t>
  </si>
  <si>
    <t>Titane (2614)</t>
  </si>
  <si>
    <t>Titane (2614), volume</t>
  </si>
  <si>
    <t>Tourbe (2703)</t>
  </si>
  <si>
    <t>Tourbe (2703), volume</t>
  </si>
  <si>
    <t>Tourbe et coke de tourbe (2708)</t>
  </si>
  <si>
    <t>Tourbe et coke de tourbe (2708), volume</t>
  </si>
  <si>
    <t>Tungstène (2611)</t>
  </si>
  <si>
    <t>Tungstène (2611), volume</t>
  </si>
  <si>
    <t>Uranium ou thorium (2612)</t>
  </si>
  <si>
    <t>Uranium ou thorium (2612), volume</t>
  </si>
  <si>
    <t>Zinc (2608)</t>
  </si>
  <si>
    <t>Zinc (2608), volume</t>
  </si>
  <si>
    <t>Régime des droits pétroliers et miniers?</t>
  </si>
  <si>
    <t>Exigence ITIE 5.1.b: Classification des revenus</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</si>
  <si>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</si>
  <si>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(Nomenclature SH des Nations Unies)</t>
  </si>
  <si>
    <t xml:space="preserve">En remplissant ce modèle de données résumées avec des données de votre Rapport ITIE, vous rendrez ces dernières accessibles sous un format lisible par machine (Exigence 7.2.d). </t>
  </si>
  <si>
    <t>Non</t>
  </si>
  <si>
    <t>Total en USD</t>
  </si>
  <si>
    <t>Livré/payé à une/des entreprise(s) d’État (1415E32)</t>
  </si>
  <si>
    <t>Type d'entreprise</t>
  </si>
  <si>
    <r>
      <t xml:space="preserve">Accessibilités des données et données ouvertes </t>
    </r>
    <r>
      <rPr>
        <b/>
        <u/>
        <sz val="12"/>
        <color theme="4"/>
        <rFont val="Franklin Gothic Book"/>
        <family val="2"/>
      </rPr>
      <t>(Exigence 7.2)</t>
    </r>
  </si>
  <si>
    <t>Niobium, Vanadium, Zirconium (2615)</t>
  </si>
  <si>
    <t>Niobium, Vanadium, Zirconium (2615), volume</t>
  </si>
  <si>
    <t>7202</t>
  </si>
  <si>
    <t>Ferro-alliages (7202)</t>
  </si>
  <si>
    <t>Ferro-alliages (7202), volume</t>
  </si>
  <si>
    <t>Pierres gemmes (précieuses ou fines) autres que les diamants (7103)</t>
  </si>
  <si>
    <t>Pierres gemmes (précieuses ou fines) autres que les diamants (7103), volume</t>
  </si>
  <si>
    <t>2716</t>
  </si>
  <si>
    <t>https://donnees.itie.sn/dashboard/</t>
  </si>
  <si>
    <t>Oui, divulgation systématique</t>
  </si>
  <si>
    <t>https://itie.sn/entreprises-detat/
http://www.petrosen.sn/
http://www.miferso.sn/</t>
  </si>
  <si>
    <t>Or (7108), valeur</t>
  </si>
  <si>
    <t>Phosphates de calcium naturels (2510), valeur</t>
  </si>
  <si>
    <t>Argile (2509), valeur</t>
  </si>
  <si>
    <t>Calcaire (2521), valeur</t>
  </si>
  <si>
    <t>Manganèse (2602), valeur</t>
  </si>
  <si>
    <t>Autres (2617), valeur</t>
  </si>
  <si>
    <t>Ciment Portland (2523), valeur</t>
  </si>
  <si>
    <t>Gypse (2520), valeur</t>
  </si>
  <si>
    <t>Direction Générale des Douanes</t>
  </si>
  <si>
    <t>Direction Générale des Impôts et des Domaines</t>
  </si>
  <si>
    <t>Direction Générale de la Comptabilité Publique et du Trésor</t>
  </si>
  <si>
    <t>Direction des Eaux, Forêts, Chasses et Conservation des Sols</t>
  </si>
  <si>
    <t>Direction de l'Environnement et des Etablissements Classés</t>
  </si>
  <si>
    <t>Institution de Prévoyance Retraite du Sénégal</t>
  </si>
  <si>
    <t xml:space="preserve">Caisse de Sécurité Sociale </t>
  </si>
  <si>
    <t>Société des Pétroles du Sénégal</t>
  </si>
  <si>
    <t>Société de Commercialisation du Ciment (SOCOCIM)</t>
  </si>
  <si>
    <t>Sabodala Gold Operations (SGO)</t>
  </si>
  <si>
    <t>Ciments du Sahel (CDS)</t>
  </si>
  <si>
    <t>Grande Côte Opérations (GCO)</t>
  </si>
  <si>
    <t>Société Sénégalaise des Phosphates de Thiès (SSPT)</t>
  </si>
  <si>
    <t>Industries Chimiques du Sénégal (ICS)</t>
  </si>
  <si>
    <t>Dangote Industries Sénégal SA (DANGOTE)</t>
  </si>
  <si>
    <t>Société Minière de la Vallée du fleuve Sénégal (SOMIVA)</t>
  </si>
  <si>
    <t>Agem Sénégal Exploration SUARL (AGEM)</t>
  </si>
  <si>
    <t>Sabodala Mining Company (SMC)</t>
  </si>
  <si>
    <t>Sephos Senegal SA (SEPHOS)</t>
  </si>
  <si>
    <t>African Investment Group SA (AIG)</t>
  </si>
  <si>
    <t>Compagnie Générale d'Exploitation de Carrière (COGECA)</t>
  </si>
  <si>
    <t>Société des Pétroles du Sénégal (PETROSEN)</t>
  </si>
  <si>
    <t xml:space="preserve">Woodside Energy Senegal </t>
  </si>
  <si>
    <t>Privée</t>
  </si>
  <si>
    <t>0224498 2G3</t>
  </si>
  <si>
    <t>0066487132V2</t>
  </si>
  <si>
    <t>003059434</t>
  </si>
  <si>
    <t>006420509</t>
  </si>
  <si>
    <t>005014204 2G0</t>
  </si>
  <si>
    <t>0023896 2G3</t>
  </si>
  <si>
    <t>2850023 2G3</t>
  </si>
  <si>
    <t>0325995 2G3</t>
  </si>
  <si>
    <t>2849258 2G3</t>
  </si>
  <si>
    <t>0028797 2G3</t>
  </si>
  <si>
    <t>0022955 2G3</t>
  </si>
  <si>
    <t>2707208 2G3</t>
  </si>
  <si>
    <t>005844700</t>
  </si>
  <si>
    <t>4475142 2G3</t>
  </si>
  <si>
    <t>007768007</t>
  </si>
  <si>
    <t>4151750 2Y2</t>
  </si>
  <si>
    <t>2464410 0G2</t>
  </si>
  <si>
    <t>004716033</t>
  </si>
  <si>
    <t>4507995 2G3</t>
  </si>
  <si>
    <t>0196784</t>
  </si>
  <si>
    <t>2292168 2G3</t>
  </si>
  <si>
    <t>Fer</t>
  </si>
  <si>
    <t>Calcaire/Marne</t>
  </si>
  <si>
    <t>Or</t>
  </si>
  <si>
    <t>Calcaire/Argile/Latérite</t>
  </si>
  <si>
    <t>Minéraux lourds</t>
  </si>
  <si>
    <t>Attapulgites/Phosphates</t>
  </si>
  <si>
    <t>Phosphates</t>
  </si>
  <si>
    <t>Argile, Calcaire, Latérite</t>
  </si>
  <si>
    <t>Or/Argent</t>
  </si>
  <si>
    <t>Phosphates / Minéraux lourds</t>
  </si>
  <si>
    <t>Basalte/calcaire</t>
  </si>
  <si>
    <t>Basalte</t>
  </si>
  <si>
    <t>http://www.petrosen.sn/</t>
  </si>
  <si>
    <t>https://www.kosmosenergy.com/senegal/</t>
  </si>
  <si>
    <t>https://www.total.sn/</t>
  </si>
  <si>
    <t>https://www.bp.com/</t>
  </si>
  <si>
    <t>https://www.woodside.com.au/fr/what-we-do/international-exploration-developments-and-marketing/s%c3%a9n%c3%a9gal</t>
  </si>
  <si>
    <t>https://atlas-oranto.com/portfolio/senegal/</t>
  </si>
  <si>
    <t>http://www.miferso.sn/</t>
  </si>
  <si>
    <t>http://www.sococim.com/SOCOCIM-INDUSTRIES</t>
  </si>
  <si>
    <t>https://gco.eramet.com/</t>
  </si>
  <si>
    <t>http://www.ics.sn/</t>
  </si>
  <si>
    <t>https://www.dangotecement.com/operations/senegal/</t>
  </si>
  <si>
    <t>https://www.africainvestmentgroup.co.uk/</t>
  </si>
  <si>
    <t>https://www.gecamines.cd/</t>
  </si>
  <si>
    <t>https://www.endeavourmining.com/investors/institutional-ownership%20https://www.londonstockexchange.com/stock/EDV/endeavour-mining-plc/analysis</t>
  </si>
  <si>
    <t>https://www.rml.com.au/</t>
  </si>
  <si>
    <t>https://www.iamgold.com/French/exploitations/projets-de-developpement/Projet-Boto-Sngal/default.aspx</t>
  </si>
  <si>
    <t>Sabodala</t>
  </si>
  <si>
    <t>Mako</t>
  </si>
  <si>
    <t xml:space="preserve">Redevance minière </t>
  </si>
  <si>
    <t>Appui institutionnel</t>
  </si>
  <si>
    <t>Droits d'entrée fixes</t>
  </si>
  <si>
    <t>Redevance superficiaire</t>
  </si>
  <si>
    <t>Autres flux de paiements significatifs (&gt; 25 millions de  FCFA) (reconciliables)</t>
  </si>
  <si>
    <t>Contribution spéciale sur les produits des mines et des carrières (CSMC)</t>
  </si>
  <si>
    <t>Impôt sur le revenu des valeurs mobilières</t>
  </si>
  <si>
    <t>Impôt sur les sociétés</t>
  </si>
  <si>
    <t>Redressements fiscaux</t>
  </si>
  <si>
    <t>Retenue à la source sur sommes versées à des tiers</t>
  </si>
  <si>
    <t>Retenues à la source sur bénéfice non commercial</t>
  </si>
  <si>
    <t>Retenues à la source sur salaires (IR, TRIMF et CFCE)</t>
  </si>
  <si>
    <t>Taxe spéciale sur le ciment</t>
  </si>
  <si>
    <t>Taxe sur la valeur ajoutée précomptée</t>
  </si>
  <si>
    <t>Taxe sur la valeur ajoutée reversée</t>
  </si>
  <si>
    <t>Taxe sur le ciment</t>
  </si>
  <si>
    <t>Droits de douane</t>
  </si>
  <si>
    <t xml:space="preserve">Prélèvement communautaire CEDEAO </t>
  </si>
  <si>
    <t xml:space="preserve">Prélèvement communautaire solidaire UEMOA </t>
  </si>
  <si>
    <t xml:space="preserve">Prélèvement pour le Conseil Sénégalais des Chargeurs (COSEC) </t>
  </si>
  <si>
    <t>Redevance statistique UEMOA</t>
  </si>
  <si>
    <t xml:space="preserve">Taxe d'enregistrement des véhicules </t>
  </si>
  <si>
    <t xml:space="preserve">Taxe sur la valeur ajoutée </t>
  </si>
  <si>
    <t xml:space="preserve">Appui institutionnel aux collectivités locales </t>
  </si>
  <si>
    <t xml:space="preserve">Contribution économique locale (CEL VA et CEL VL) </t>
  </si>
  <si>
    <t xml:space="preserve">Dividendes versés à l'Etat </t>
  </si>
  <si>
    <t>Patente</t>
  </si>
  <si>
    <t xml:space="preserve">Appui Institutionnel (DEEC) </t>
  </si>
  <si>
    <t>Taxe superficiaire</t>
  </si>
  <si>
    <t xml:space="preserve">Appui Institutionnel (Fonds d'appui au Mini. De l'Env) </t>
  </si>
  <si>
    <t>Taxes d'abattage</t>
  </si>
  <si>
    <t>Cotisations sociales (y compris les pénalités)(IPRES)</t>
  </si>
  <si>
    <t>Appui à la promotion de la recherche et de l'exploitation</t>
  </si>
  <si>
    <t xml:space="preserve">Loyer superficiaire </t>
  </si>
  <si>
    <t>Taxe à la pollution</t>
  </si>
  <si>
    <t>Diender</t>
  </si>
  <si>
    <t>GTA</t>
  </si>
  <si>
    <t>RSSD</t>
  </si>
  <si>
    <t>Enerteam</t>
  </si>
  <si>
    <t>Argent (7106), valeur</t>
  </si>
  <si>
    <t>Argent</t>
  </si>
  <si>
    <t>Colonne1</t>
  </si>
  <si>
    <r>
      <rPr>
        <i/>
        <u/>
        <sz val="12"/>
        <color rgb="FF0076AF"/>
        <rFont val="Franklin Gothic Book"/>
        <family val="2"/>
      </rPr>
      <t xml:space="preserve"> Exigence ITIE 4.1.d</t>
    </r>
    <r>
      <rPr>
        <i/>
        <sz val="12"/>
        <color theme="1"/>
        <rFont val="Franklin Gothic Book"/>
        <family val="2"/>
      </rPr>
      <t xml:space="preserve">: Divulgation exhaustive de la part du gouvernement </t>
    </r>
  </si>
  <si>
    <r>
      <t xml:space="preserve">Pour plus d’orientations, visitez la page </t>
    </r>
    <r>
      <rPr>
        <u/>
        <sz val="12"/>
        <color rgb="FF0076AF"/>
        <rFont val="Franklin Gothic Book"/>
        <family val="2"/>
      </rPr>
      <t>https://eiti.org/fr/document/modele-donnees-resumees-itie</t>
    </r>
  </si>
  <si>
    <r>
      <rPr>
        <i/>
        <sz val="12"/>
        <rFont val="Franklin Gothic Book"/>
        <family val="2"/>
      </rPr>
      <t xml:space="preserve">ou </t>
    </r>
    <r>
      <rPr>
        <b/>
        <sz val="12"/>
        <color theme="10"/>
        <rFont val="Franklin Gothic Book"/>
        <family val="2"/>
      </rPr>
      <t>https://www.imf.org/external/pubs/ft/gfs/manual/pdf/2014companion/FrenchGFSM.pdf</t>
    </r>
  </si>
  <si>
    <r>
      <rPr>
        <b/>
        <sz val="12"/>
        <rFont val="Franklin Gothic Book"/>
        <family val="2"/>
      </rPr>
      <t xml:space="preserve">Site Internet </t>
    </r>
    <r>
      <rPr>
        <b/>
        <sz val="12"/>
        <color rgb="FF0076AF"/>
        <rFont val="Franklin Gothic Book"/>
        <family val="2"/>
      </rPr>
      <t>www.eiti.org</t>
    </r>
    <r>
      <rPr>
        <b/>
        <sz val="12"/>
        <color theme="1"/>
        <rFont val="Franklin Gothic Book"/>
        <family val="2"/>
      </rPr>
      <t xml:space="preserve"> Courriel </t>
    </r>
    <r>
      <rPr>
        <b/>
        <sz val="12"/>
        <color rgb="FF0076AF"/>
        <rFont val="Franklin Gothic Book"/>
        <family val="2"/>
      </rPr>
      <t>secretariat@eiti.org</t>
    </r>
    <r>
      <rPr>
        <b/>
        <sz val="12"/>
        <color theme="1"/>
        <rFont val="Franklin Gothic Book"/>
        <family val="2"/>
      </rPr>
      <t xml:space="preserve"> Téléphone </t>
    </r>
    <r>
      <rPr>
        <b/>
        <sz val="12"/>
        <color rgb="FF0076AF"/>
        <rFont val="Franklin Gothic Book"/>
        <family val="2"/>
      </rPr>
      <t>+47 22 20 08 00</t>
    </r>
    <r>
      <rPr>
        <b/>
        <sz val="12"/>
        <color theme="1"/>
        <rFont val="Franklin Gothic Book"/>
        <family val="2"/>
      </rPr>
      <t xml:space="preserve"> Télécopieur </t>
    </r>
    <r>
      <rPr>
        <b/>
        <sz val="12"/>
        <color rgb="FF0076AF"/>
        <rFont val="Franklin Gothic Book"/>
        <family val="2"/>
      </rPr>
      <t>+47 22 83 08 02</t>
    </r>
  </si>
  <si>
    <r>
      <t xml:space="preserve">Adresse </t>
    </r>
    <r>
      <rPr>
        <b/>
        <sz val="12"/>
        <color rgb="FF0076AF"/>
        <rFont val="Franklin Gothic Book"/>
        <family val="2"/>
      </rPr>
      <t>EITI International Secretariat, Rådhusgata 26, 0151 Oslo, Norvège</t>
    </r>
  </si>
  <si>
    <t>Barrick Gold</t>
  </si>
  <si>
    <t>BMCC</t>
  </si>
  <si>
    <t>SOCOCIM</t>
  </si>
  <si>
    <t>SGO</t>
  </si>
  <si>
    <t>GCO</t>
  </si>
  <si>
    <t>SSPT</t>
  </si>
  <si>
    <t>ICS</t>
  </si>
  <si>
    <t>PMC</t>
  </si>
  <si>
    <t>SOMIVA</t>
  </si>
  <si>
    <t>CDS</t>
  </si>
  <si>
    <t>COGECA</t>
  </si>
  <si>
    <t>£</t>
  </si>
  <si>
    <t>Argile</t>
  </si>
  <si>
    <t>GH MINING</t>
  </si>
  <si>
    <t>Manganèse</t>
  </si>
  <si>
    <t>Fortesa</t>
  </si>
  <si>
    <t>Gaz naturel</t>
  </si>
  <si>
    <t xml:space="preserve">Cotisations sociales (y compris les pénalités) </t>
  </si>
  <si>
    <t>Prélèvement PROMAD</t>
  </si>
  <si>
    <t>BANDIA</t>
  </si>
  <si>
    <t>BARGNY</t>
  </si>
  <si>
    <t>DIACK</t>
  </si>
  <si>
    <t>POUT</t>
  </si>
  <si>
    <t>Amendes, pénalités et redressements douaniers</t>
  </si>
  <si>
    <t>Direction Générale des Mines</t>
  </si>
  <si>
    <t>IAMGOLD BOTO</t>
  </si>
  <si>
    <t>Massawa</t>
  </si>
  <si>
    <t>Tobène</t>
  </si>
  <si>
    <t>SENALA</t>
  </si>
  <si>
    <t>DAORALA</t>
  </si>
  <si>
    <t>A travers la plateforme "Fusion"</t>
  </si>
  <si>
    <t>Annuellement avec la publication du rapport ITIE</t>
  </si>
  <si>
    <t>itie.sn@enerteam.tn</t>
  </si>
  <si>
    <t>http://itie.sn/contrats-miniers/
http://itie.sn/hydrocarbure/contrats-petroliers/</t>
  </si>
  <si>
    <t>Pas de volume reçu en nature</t>
  </si>
  <si>
    <t xml:space="preserve">20% *(Droits fixes, Redevances minières et redevances superficiaires)  </t>
  </si>
  <si>
    <t>https://itie.sn/rapport-itie-2022/</t>
  </si>
  <si>
    <t>Les annexes au rapport ITIE 2022</t>
  </si>
  <si>
    <t>Rapport annuel 2022 de la BCEAO</t>
  </si>
  <si>
    <t>Othman Marzouk</t>
  </si>
  <si>
    <t>TONNE</t>
  </si>
  <si>
    <t>METRE CUBE</t>
  </si>
  <si>
    <t>CIMENT</t>
  </si>
  <si>
    <t>CLINKER</t>
  </si>
  <si>
    <t>ILMENITE 54</t>
  </si>
  <si>
    <t>PHOSPHATE</t>
  </si>
  <si>
    <t>PHOSPHATE NATUREL</t>
  </si>
  <si>
    <t>ZIRCON PREMIUM</t>
  </si>
  <si>
    <t>ZIRCON STANDARD</t>
  </si>
  <si>
    <t>ILMENITE 58</t>
  </si>
  <si>
    <t>CALCAIRE</t>
  </si>
  <si>
    <t>ILMENITE 56</t>
  </si>
  <si>
    <t xml:space="preserve">ZIRCON SAND MEDIUM GRADE </t>
  </si>
  <si>
    <t>PHOSPHATE SEC CRIBLE</t>
  </si>
  <si>
    <t>LEUCOXENE</t>
  </si>
  <si>
    <t>RUTILE</t>
  </si>
  <si>
    <t>MARNO-CALCAIRE</t>
  </si>
  <si>
    <t>LATERITE</t>
  </si>
  <si>
    <t>Gaz Naturel</t>
  </si>
  <si>
    <t>oz</t>
  </si>
  <si>
    <t>ACIDE PHOSPHORIQUE 52%</t>
  </si>
  <si>
    <t>Ciment</t>
  </si>
  <si>
    <t>Phosphate</t>
  </si>
  <si>
    <t xml:space="preserve">MEDIUM GRADE ZIRCON SAND </t>
  </si>
  <si>
    <t>Attapulgide</t>
  </si>
  <si>
    <t>DSP</t>
  </si>
  <si>
    <t>NPK</t>
  </si>
  <si>
    <t>BASALTE</t>
  </si>
  <si>
    <t>GYPSUM</t>
  </si>
  <si>
    <t>ACIDE SULFURIQUE</t>
  </si>
  <si>
    <t>Section 4.1.3.1 et 4.2.2.1 du rapport ITIE 2022</t>
  </si>
  <si>
    <t>Section 4.1.3.2 et 4.2.2.2 du rapport ITIE 2022</t>
  </si>
  <si>
    <t>Section 4.1.4.2 et 4.2.3.2 du rapport ITIE 2022</t>
  </si>
  <si>
    <t>Section 4.1.3.3 et 4.2.2.3 du rapport ITIE 2022</t>
  </si>
  <si>
    <t>Section 4.1.5.1 du Rapport ITIE 2022 (Mines)
Section 4.2.4.1 du Rapport ITIE 2022 (Hydrocarbures)</t>
  </si>
  <si>
    <t>Section 4.1.5.1 du Rapport ITIE 2022 (Mines)
Section 4.2.4.1 du Rapport ITIE 2022 (Hydrocarbures)
Section 4.2.4.5 du Rapport ITIE 2022 (Hydrocarbures)</t>
  </si>
  <si>
    <t>Section 4.1.5.2 du Rapport ITIE 2022 (Mines)
Section 4.2.4.2 du Rapport ITIE 2022 (Hydrocarbures)</t>
  </si>
  <si>
    <t>Section 4.1.5.2 du Rapport ITIE 2022 (Mines)
Section 4.2.4.2 du Rapport ITIE 2022 (Hydrocarbures)
Section 4.2.4.5 du Rapport ITIE 2022 (Hydrocarbures)</t>
  </si>
  <si>
    <t>Section 4.1.5.6 du Rapport ITIE 2022 (Mines)
Section 4.2.4.6 du Rapport ITIE 2022 (Hydrocarbures)</t>
  </si>
  <si>
    <t>Section 4.1.5.5 du Rapport ITIE 2022 (Mines)
Section 4.2.4.6 du Rapport ITIE 2022 (Hydrocarbures)</t>
  </si>
  <si>
    <t>Section 4.7 du Rapport ITIE 2022</t>
  </si>
  <si>
    <t>Section 4.6 du Rapport ITIE 2022</t>
  </si>
  <si>
    <t>Section 4.1.7 du Rapport ITIE 2022
Section 4.2.5 du Rapport ITIE 2022</t>
  </si>
  <si>
    <t>Section 4.1.7.3 du Rapport ITIE 2022
Section 4.2.5.4 du Rapport ITIE 2022</t>
  </si>
  <si>
    <t>Section 4.1.6 du Rapport ITIE 2022
Section 4.2.5 du Rapport ITIE 2022</t>
  </si>
  <si>
    <t>Section 5.4 du Rapport ITIE 2022</t>
  </si>
  <si>
    <t>Section 5.5 du Rapport ITIE 2022</t>
  </si>
  <si>
    <t>Section 5.1.3 du Rapport ITIE 2022</t>
  </si>
  <si>
    <t>Section 3.1 du Rapport ITIE 2022</t>
  </si>
  <si>
    <t>Section 4.1..9 et 4.2.7 du Rapport ITIE 2022</t>
  </si>
  <si>
    <t>l’Exigence 4.2 de la Norme ITIE est non applicable actuellement pour le secteur minier au Sénégal (voir section 4.1.9 du Rapport ITIE 2022
Pour le secteur des hydrocarbures, c'est la contrepartie de la commercialisation des parts de l'Etat/PETROSEN qui est payé au Trésor/PETROSEN</t>
  </si>
  <si>
    <t>Section 4.2.5.4 du Rapport ITIE 2022</t>
  </si>
  <si>
    <t>Section 4.1.8 et 4.2.6 du Rapport ITIE 2022</t>
  </si>
  <si>
    <t>Section 4.1.10 du Rapport ITIE 2022</t>
  </si>
  <si>
    <t>Section 4.4.8.2 du Rapport ITIE 2022</t>
  </si>
  <si>
    <t>Section 1.3.1 du Rapport ITIE 2022</t>
  </si>
  <si>
    <t>Section 4.5 du Rapport ITIE 2022</t>
  </si>
  <si>
    <t>Section 4.5.6 du Rapport ITIE 2022</t>
  </si>
  <si>
    <t>Annexe 4 du Rapport ITIE 2022</t>
  </si>
  <si>
    <t>Section 4.4.8.1 du Rapport ITIE 2022</t>
  </si>
  <si>
    <t>(tableau 3 du rapport ITIE 2022)</t>
  </si>
  <si>
    <t>Section 4.4.8.3 du Rapport ITIE 2022</t>
  </si>
  <si>
    <t>Section 4.4 du Rapport ITIE 2022</t>
  </si>
  <si>
    <t>Section 4.4.5 du Rapport ITIE 2022</t>
  </si>
  <si>
    <t>Section 4.4.6 du Rapport ITIE 2022</t>
  </si>
  <si>
    <t>Section 5.6 du Rapport ITIE 2022</t>
  </si>
  <si>
    <t>Section 5.7 du Rapport ITIE 2022</t>
  </si>
  <si>
    <t>Un paiement spécifique pour 2022 pour 8 290 018 982 FCFA correspond aux compensations et commissions du comité d'évaluation des impenses consécutives à la délocalisation des villages établis sur l'emprise de l’exploitation de ICS.
Le détail des paiements par société est présenté en annexe 8 du présent rapport</t>
  </si>
  <si>
    <t>Section 5.8 du Rapport ITIE 2022</t>
  </si>
  <si>
    <t>Section 5.3 du Rapport ITIE 2022</t>
  </si>
  <si>
    <t>Données du rapport ITIE 2022</t>
  </si>
  <si>
    <t>Section 4.1.12 et 4.2.10 du Rapport ITIE 2022</t>
  </si>
  <si>
    <t>Impôt sur les sociétés (bénéfices non pétroliers/miniers )</t>
  </si>
  <si>
    <t>TSVPPM</t>
  </si>
  <si>
    <t>NOUMOUFOUKHA</t>
  </si>
  <si>
    <t>Baobab Mining and Chemical Corp SA</t>
  </si>
  <si>
    <t>BP Sénégal Investments Limited</t>
  </si>
  <si>
    <t>Fortesa International Senegal</t>
  </si>
  <si>
    <t>DIENDER</t>
  </si>
  <si>
    <t>Gécamines (GECAMINES)</t>
  </si>
  <si>
    <t>G-PHOS SA</t>
  </si>
  <si>
    <t>DIOGO</t>
  </si>
  <si>
    <t>Iamgold BOTO</t>
  </si>
  <si>
    <t>Boto</t>
  </si>
  <si>
    <t xml:space="preserve">Kosmos Energy Senegal </t>
  </si>
  <si>
    <t>Cayar Ofshore Profond</t>
  </si>
  <si>
    <t>La Société des Mines de Fer du Sénégal Oriental (MIFERSO)</t>
  </si>
  <si>
    <t xml:space="preserve">Oranto Petroleum </t>
  </si>
  <si>
    <t>CAYAR ET ST LOUIS</t>
  </si>
  <si>
    <t>Petowal Mining Company (PMC) SA</t>
  </si>
  <si>
    <t>MAKO</t>
  </si>
  <si>
    <t>LAMLAM</t>
  </si>
  <si>
    <t>DIALACOTO</t>
  </si>
  <si>
    <t>RUFISQUE</t>
  </si>
  <si>
    <t>NGOUNDIANE</t>
  </si>
  <si>
    <t>NDENDORY</t>
  </si>
  <si>
    <t>SORED Mines</t>
  </si>
  <si>
    <t>Talix Mines</t>
  </si>
  <si>
    <t xml:space="preserve">Total E&amp;P Sénégal </t>
  </si>
  <si>
    <t>UDO North</t>
  </si>
  <si>
    <t>AFRIGOLD</t>
  </si>
  <si>
    <t xml:space="preserve">Dangote </t>
  </si>
  <si>
    <t>Allou Kagne</t>
  </si>
  <si>
    <t>Gécamines</t>
  </si>
  <si>
    <t>Sephos / G-PHOS</t>
  </si>
  <si>
    <t xml:space="preserve">      Nm3</t>
  </si>
  <si>
    <r>
      <rPr>
        <b/>
        <u/>
        <sz val="10.5"/>
        <color theme="1"/>
        <rFont val="Franklin Gothic Book"/>
        <family val="2"/>
      </rPr>
      <t xml:space="preserve">Secteur minier : </t>
    </r>
    <r>
      <rPr>
        <sz val="10.5"/>
        <color theme="1"/>
        <rFont val="Franklin Gothic Book"/>
        <family val="2"/>
      </rPr>
      <t xml:space="preserve">
17 octrois, 
Les renouvellements opérés en 2022 ne peuvent pas être consultés dans le registre des titres miniers communiqué par la DGM
Dix (10) transferts ont été opéré en 2022
</t>
    </r>
    <r>
      <rPr>
        <b/>
        <u/>
        <sz val="10.5"/>
        <color theme="1"/>
        <rFont val="Franklin Gothic Book"/>
        <family val="2"/>
      </rPr>
      <t xml:space="preserve">Secteur des hydrocarbures : </t>
    </r>
    <r>
      <rPr>
        <sz val="10.5"/>
        <color theme="1"/>
        <rFont val="Franklin Gothic Book"/>
        <family val="2"/>
      </rPr>
      <t xml:space="preserve">
Aucun nouvel octroi réalisé en 2022
1 seul renouvellement en 2022
Pas de transfert en 2022</t>
    </r>
  </si>
  <si>
    <t>https://cadastreminiersenegal.sn/FR/</t>
  </si>
  <si>
    <t>https ://cadastrepetrolier.sec.gouv.sn/</t>
  </si>
  <si>
    <t>https://www.sec.gouv.sn/publications/lois-et-reglements/code-de-lenvironnement</t>
  </si>
  <si>
    <t>Lien au Code de l'environnement sénégalais révisé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</si>
</sst>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 #,##0.00_ ;_ * \-#,##0.00_ ;_ * &quot;-&quot;??_ ;_ @_ "/>
    <numFmt numFmtId="165" formatCode="_ * #,##0.0000_ ;_ * \-#,##0.0000_ ;_ * &quot;-&quot;??_ ;_ @_ "/>
    <numFmt numFmtId="166" formatCode="yyyy\-mm\-dd"/>
    <numFmt numFmtId="167" formatCode="0.0\ %"/>
    <numFmt numFmtId="168" formatCode="_ * #,##0_ ;_ * \-#,##0_ ;_ * &quot;-&quot;??_ ;_ @_ "/>
    <numFmt numFmtId="169" formatCode="_ * #,##0.0_ ;_ * \-#,##0.0_ ;_ * &quot;-&quot;??_ ;_ @_ "/>
    <numFmt numFmtId="170" formatCode="_-* #,##0.00\ _€_-;\-* #,##0.00\ _€_-;_-* &quot;-&quot;??\ _€_-;_-@_-"/>
    <numFmt numFmtId="171" formatCode="_ * #,##0.000000_ ;_ * \-#,##0.000000_ ;_ * &quot;-&quot;??_ ;_ @_ "/>
  </numFmts>
  <fonts count="75">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i/>
      <u/>
      <sz val="12"/>
      <name val="Franklin Gothic Book"/>
      <family val="2"/>
    </font>
    <font>
      <b/>
      <sz val="18"/>
      <color theme="1"/>
      <name val="Franklin Gothic Book"/>
      <family val="2"/>
    </font>
    <font>
      <i/>
      <u/>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b/>
      <u/>
      <sz val="12"/>
      <color theme="4"/>
      <name val="Franklin Gothic Book"/>
      <family val="2"/>
    </font>
    <font>
      <i/>
      <sz val="12"/>
      <color rgb="FF7F7F7F"/>
      <name val="Franklin Gothic Book"/>
      <family val="2"/>
    </font>
    <font>
      <sz val="12"/>
      <color theme="10"/>
      <name val="Franklin Gothic Book"/>
      <family val="2"/>
    </font>
    <font>
      <b/>
      <sz val="12"/>
      <color theme="10"/>
      <name val="Franklin Gothic Book"/>
      <family val="2"/>
    </font>
    <font>
      <b/>
      <sz val="12"/>
      <color rgb="FF0076AF"/>
      <name val="Franklin Gothic Book"/>
      <family val="2"/>
    </font>
    <font>
      <sz val="8"/>
      <color theme="1"/>
      <name val="Kohinoor Devanagari"/>
    </font>
    <font>
      <sz val="8"/>
      <name val="Calibri"/>
      <family val="2"/>
    </font>
    <font>
      <b/>
      <sz val="8"/>
      <color rgb="FFFF0000"/>
      <name val="Kohinoor Devanagari"/>
    </font>
    <font>
      <b/>
      <u/>
      <sz val="10.5"/>
      <color theme="1"/>
      <name val="Franklin Gothic Book"/>
      <family val="2"/>
    </font>
  </fonts>
  <fills count="11">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s>
  <borders count="45">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double">
        <color indexed="64"/>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medium">
        <color indexed="64"/>
      </left>
      <right/>
      <top/>
      <bottom/>
      <diagonal/>
    </border>
  </borders>
  <cellStyleXfs count="7">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411">
    <xf numFmtId="0" fontId="0" fillId="0" borderId="0" xfId="0"/>
    <xf numFmtId="0" fontId="0" fillId="0" borderId="8" xfId="0" applyBorder="1"/>
    <xf numFmtId="0" fontId="0" fillId="0" borderId="9" xfId="0" applyBorder="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2" fillId="3" borderId="16"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10" fillId="0" borderId="0" xfId="3" applyFont="1" applyAlignment="1">
      <alignment horizontal="left" vertical="center"/>
    </xf>
    <xf numFmtId="0" fontId="10" fillId="0" borderId="0" xfId="3" applyFont="1" applyAlignment="1">
      <alignment horizontal="right" vertical="center"/>
    </xf>
    <xf numFmtId="0" fontId="11" fillId="2" borderId="0" xfId="3" applyFont="1" applyFill="1" applyAlignment="1">
      <alignment horizontal="left" vertical="center"/>
    </xf>
    <xf numFmtId="0" fontId="12" fillId="2" borderId="0" xfId="3" applyFont="1" applyFill="1" applyAlignment="1">
      <alignment horizontal="left" vertical="center"/>
    </xf>
    <xf numFmtId="0" fontId="10" fillId="2" borderId="0" xfId="3" applyFont="1" applyFill="1" applyAlignment="1">
      <alignment horizontal="left" vertical="center"/>
    </xf>
    <xf numFmtId="0" fontId="13" fillId="2" borderId="0" xfId="3" applyFont="1" applyFill="1" applyAlignment="1">
      <alignment vertical="center"/>
    </xf>
    <xf numFmtId="0" fontId="10" fillId="2" borderId="0" xfId="3" applyFont="1" applyFill="1" applyAlignment="1">
      <alignment vertical="center"/>
    </xf>
    <xf numFmtId="0" fontId="14" fillId="2" borderId="0" xfId="3" applyFont="1" applyFill="1" applyAlignment="1">
      <alignment vertical="center"/>
    </xf>
    <xf numFmtId="0" fontId="11" fillId="2" borderId="0" xfId="3" applyFont="1" applyFill="1" applyAlignment="1">
      <alignment vertical="center"/>
    </xf>
    <xf numFmtId="0" fontId="15" fillId="5" borderId="0" xfId="3" applyFont="1" applyFill="1" applyAlignment="1">
      <alignment horizontal="left" vertical="center"/>
    </xf>
    <xf numFmtId="0" fontId="11" fillId="2" borderId="0" xfId="3" applyFont="1" applyFill="1" applyAlignment="1">
      <alignment horizontal="left" vertical="center" wrapText="1" indent="2"/>
    </xf>
    <xf numFmtId="0" fontId="16" fillId="5" borderId="0" xfId="3" applyFont="1" applyFill="1" applyAlignment="1">
      <alignment vertical="center"/>
    </xf>
    <xf numFmtId="0" fontId="11" fillId="2" borderId="0" xfId="3" applyFont="1" applyFill="1" applyAlignment="1">
      <alignment vertical="center" wrapText="1"/>
    </xf>
    <xf numFmtId="0" fontId="15" fillId="5" borderId="0" xfId="3" applyFont="1" applyFill="1" applyAlignment="1">
      <alignment vertical="center"/>
    </xf>
    <xf numFmtId="0" fontId="16" fillId="2" borderId="0" xfId="3" applyFont="1" applyFill="1" applyAlignment="1">
      <alignment vertical="center"/>
    </xf>
    <xf numFmtId="0" fontId="15" fillId="2" borderId="0" xfId="3" applyFont="1" applyFill="1" applyAlignment="1">
      <alignment vertical="center"/>
    </xf>
    <xf numFmtId="0" fontId="12" fillId="2" borderId="0" xfId="3" applyFont="1" applyFill="1" applyAlignment="1">
      <alignment vertical="center"/>
    </xf>
    <xf numFmtId="0" fontId="18" fillId="5" borderId="0" xfId="3" applyFont="1" applyFill="1" applyAlignment="1">
      <alignment vertical="center"/>
    </xf>
    <xf numFmtId="0" fontId="19" fillId="2" borderId="0" xfId="3" applyFont="1" applyFill="1" applyAlignment="1">
      <alignment vertical="center"/>
    </xf>
    <xf numFmtId="0" fontId="15" fillId="5" borderId="0" xfId="3" applyFont="1" applyFill="1" applyAlignment="1">
      <alignment horizontal="left" vertical="center" indent="2"/>
    </xf>
    <xf numFmtId="0" fontId="20" fillId="2" borderId="0" xfId="2" applyFont="1" applyFill="1" applyBorder="1" applyAlignment="1"/>
    <xf numFmtId="0" fontId="10" fillId="7" borderId="0" xfId="3" applyFont="1" applyFill="1" applyAlignment="1">
      <alignment horizontal="left" vertical="center"/>
    </xf>
    <xf numFmtId="0" fontId="12" fillId="7" borderId="0" xfId="3" applyFont="1" applyFill="1" applyAlignment="1">
      <alignment vertical="center"/>
    </xf>
    <xf numFmtId="0" fontId="21" fillId="7" borderId="0" xfId="2" applyFont="1" applyFill="1" applyBorder="1" applyAlignment="1"/>
    <xf numFmtId="0" fontId="10" fillId="0" borderId="0" xfId="3" applyFont="1" applyAlignment="1">
      <alignment horizontal="left" vertical="center" wrapText="1"/>
    </xf>
    <xf numFmtId="0" fontId="18" fillId="6" borderId="38" xfId="3" applyFont="1" applyFill="1" applyBorder="1" applyAlignment="1">
      <alignment horizontal="left" vertical="center" wrapText="1"/>
    </xf>
    <xf numFmtId="0" fontId="18" fillId="0" borderId="38" xfId="3" applyFont="1" applyBorder="1" applyAlignment="1">
      <alignment horizontal="left" vertical="center" wrapText="1"/>
    </xf>
    <xf numFmtId="0" fontId="22" fillId="7" borderId="0" xfId="3" applyFont="1" applyFill="1" applyAlignment="1">
      <alignment horizontal="left" vertical="center"/>
    </xf>
    <xf numFmtId="0" fontId="21" fillId="2" borderId="0" xfId="4" applyFont="1" applyFill="1" applyBorder="1" applyAlignment="1"/>
    <xf numFmtId="0" fontId="12" fillId="0" borderId="0" xfId="3" applyFont="1" applyAlignment="1">
      <alignment vertical="center"/>
    </xf>
    <xf numFmtId="0" fontId="21" fillId="0" borderId="0" xfId="4" applyFont="1" applyFill="1" applyBorder="1" applyAlignment="1"/>
    <xf numFmtId="0" fontId="23" fillId="4" borderId="27" xfId="3" applyFont="1" applyFill="1" applyBorder="1" applyAlignment="1">
      <alignment vertical="center" wrapText="1"/>
    </xf>
    <xf numFmtId="0" fontId="25" fillId="0" borderId="0" xfId="3" applyFont="1" applyAlignment="1">
      <alignment vertical="center" wrapText="1"/>
    </xf>
    <xf numFmtId="0" fontId="23" fillId="4" borderId="30" xfId="3" applyFont="1" applyFill="1" applyBorder="1" applyAlignment="1">
      <alignment vertical="center" wrapText="1"/>
    </xf>
    <xf numFmtId="0" fontId="25" fillId="4" borderId="1" xfId="3" applyFont="1" applyFill="1" applyBorder="1" applyAlignment="1">
      <alignment vertical="center" wrapText="1"/>
    </xf>
    <xf numFmtId="0" fontId="25" fillId="4" borderId="31" xfId="3" applyFont="1" applyFill="1" applyBorder="1" applyAlignment="1">
      <alignment vertical="center" wrapText="1"/>
    </xf>
    <xf numFmtId="0" fontId="25" fillId="4" borderId="28" xfId="3" applyFont="1" applyFill="1" applyBorder="1" applyAlignment="1">
      <alignment vertical="center" wrapText="1"/>
    </xf>
    <xf numFmtId="0" fontId="25" fillId="4" borderId="34" xfId="3" applyFont="1" applyFill="1" applyBorder="1" applyAlignment="1">
      <alignment vertical="center" wrapText="1"/>
    </xf>
    <xf numFmtId="0" fontId="25" fillId="4" borderId="0" xfId="3" applyFont="1" applyFill="1" applyAlignment="1">
      <alignment vertical="center" wrapText="1"/>
    </xf>
    <xf numFmtId="0" fontId="25" fillId="4" borderId="35" xfId="3" applyFont="1" applyFill="1" applyBorder="1" applyAlignment="1">
      <alignment vertical="center" wrapText="1"/>
    </xf>
    <xf numFmtId="0" fontId="26" fillId="4" borderId="29" xfId="3" applyFont="1" applyFill="1" applyBorder="1" applyAlignment="1">
      <alignment vertical="center" wrapText="1"/>
    </xf>
    <xf numFmtId="0" fontId="25" fillId="4" borderId="33" xfId="3" applyFont="1" applyFill="1" applyBorder="1" applyAlignment="1">
      <alignment vertical="center" wrapText="1"/>
    </xf>
    <xf numFmtId="0" fontId="12" fillId="0" borderId="3" xfId="3" applyFont="1" applyBorder="1" applyAlignment="1">
      <alignment vertical="center"/>
    </xf>
    <xf numFmtId="0" fontId="10" fillId="0" borderId="3" xfId="3" applyFont="1" applyBorder="1" applyAlignment="1">
      <alignment horizontal="left" vertical="center"/>
    </xf>
    <xf numFmtId="0" fontId="25" fillId="0" borderId="0" xfId="3" applyFont="1" applyAlignment="1">
      <alignment horizontal="left" vertical="center"/>
    </xf>
    <xf numFmtId="0" fontId="12" fillId="0" borderId="0" xfId="3" applyFont="1" applyAlignment="1">
      <alignment horizontal="left" vertical="center" indent="2"/>
    </xf>
    <xf numFmtId="0" fontId="11" fillId="0" borderId="0" xfId="3" applyFont="1" applyAlignment="1">
      <alignment vertical="center"/>
    </xf>
    <xf numFmtId="0" fontId="19" fillId="0" borderId="0" xfId="3" applyFont="1" applyAlignment="1">
      <alignment vertical="center"/>
    </xf>
    <xf numFmtId="0" fontId="11" fillId="0" borderId="0" xfId="3" applyFont="1" applyAlignment="1">
      <alignment horizontal="left" vertical="center"/>
    </xf>
    <xf numFmtId="0" fontId="11" fillId="0" borderId="0" xfId="3" applyFont="1" applyAlignment="1">
      <alignment horizontal="left" vertical="center" indent="2"/>
    </xf>
    <xf numFmtId="166" fontId="11" fillId="0" borderId="0" xfId="3" applyNumberFormat="1" applyFont="1" applyAlignment="1">
      <alignment vertical="center"/>
    </xf>
    <xf numFmtId="0" fontId="11" fillId="0" borderId="0" xfId="3" applyFont="1" applyAlignment="1">
      <alignment horizontal="left" vertical="center" wrapText="1" indent="2"/>
    </xf>
    <xf numFmtId="0" fontId="31" fillId="0" borderId="0" xfId="3" applyFont="1" applyAlignment="1">
      <alignment vertical="center"/>
    </xf>
    <xf numFmtId="0" fontId="11" fillId="0" borderId="0" xfId="3" applyFont="1" applyAlignment="1">
      <alignment horizontal="left" vertical="center" indent="4"/>
    </xf>
    <xf numFmtId="0" fontId="11" fillId="0" borderId="0" xfId="3" applyFont="1" applyAlignment="1">
      <alignment horizontal="left" vertical="center" indent="6"/>
    </xf>
    <xf numFmtId="0" fontId="32" fillId="0" borderId="0" xfId="2" applyFont="1" applyFill="1" applyBorder="1" applyAlignment="1">
      <alignment horizontal="left" vertical="center" indent="2"/>
    </xf>
    <xf numFmtId="165"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Alignment="1">
      <alignment horizontal="left" vertical="center"/>
    </xf>
    <xf numFmtId="0" fontId="34" fillId="0" borderId="0" xfId="3" applyFont="1" applyAlignment="1">
      <alignment vertical="center"/>
    </xf>
    <xf numFmtId="10" fontId="11" fillId="0" borderId="0" xfId="3" applyNumberFormat="1" applyFont="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25" fillId="5" borderId="0" xfId="3" applyFont="1" applyFill="1" applyAlignment="1">
      <alignment vertical="center" wrapText="1"/>
    </xf>
    <xf numFmtId="0" fontId="37" fillId="2" borderId="0" xfId="2" applyFont="1" applyFill="1"/>
    <xf numFmtId="0" fontId="37" fillId="0" borderId="0" xfId="2" applyFont="1" applyFill="1"/>
    <xf numFmtId="0" fontId="22" fillId="0" borderId="0" xfId="3" applyFont="1" applyAlignment="1">
      <alignment horizontal="left" vertical="center"/>
    </xf>
    <xf numFmtId="0" fontId="18" fillId="0" borderId="38" xfId="3" applyFont="1" applyBorder="1" applyAlignment="1">
      <alignment horizontal="left" vertical="center"/>
    </xf>
    <xf numFmtId="0" fontId="10" fillId="0" borderId="0" xfId="3" quotePrefix="1" applyFont="1" applyAlignment="1">
      <alignment horizontal="left" vertical="center"/>
    </xf>
    <xf numFmtId="0" fontId="13" fillId="0" borderId="2" xfId="3" applyFont="1" applyBorder="1" applyAlignment="1" applyProtection="1">
      <alignment vertical="center"/>
      <protection locked="0"/>
    </xf>
    <xf numFmtId="0" fontId="10" fillId="0" borderId="2" xfId="3" applyFont="1" applyBorder="1" applyAlignment="1">
      <alignment horizontal="left" vertical="center"/>
    </xf>
    <xf numFmtId="0" fontId="10" fillId="0" borderId="2" xfId="3" applyFont="1" applyBorder="1" applyAlignment="1">
      <alignment vertical="center"/>
    </xf>
    <xf numFmtId="0" fontId="26" fillId="0" borderId="0" xfId="3" applyFont="1" applyAlignment="1">
      <alignment horizontal="left" vertical="center"/>
    </xf>
    <xf numFmtId="0" fontId="39" fillId="0" borderId="2" xfId="3" applyFont="1" applyBorder="1" applyAlignment="1" applyProtection="1">
      <alignment horizontal="left" vertical="center"/>
      <protection locked="0"/>
    </xf>
    <xf numFmtId="0" fontId="26" fillId="0" borderId="2" xfId="3" applyFont="1" applyBorder="1" applyAlignment="1">
      <alignment horizontal="left" vertical="center"/>
    </xf>
    <xf numFmtId="0" fontId="40" fillId="0" borderId="2" xfId="3" applyFont="1" applyBorder="1" applyAlignment="1">
      <alignment horizontal="left" vertical="center"/>
    </xf>
    <xf numFmtId="0" fontId="24" fillId="0" borderId="2" xfId="3" applyFont="1" applyBorder="1" applyAlignment="1">
      <alignment horizontal="left" vertical="center"/>
    </xf>
    <xf numFmtId="0" fontId="19" fillId="0" borderId="5" xfId="3" applyFont="1" applyBorder="1" applyAlignment="1">
      <alignment vertical="center"/>
    </xf>
    <xf numFmtId="0" fontId="19" fillId="0" borderId="10" xfId="3" applyFont="1" applyBorder="1" applyAlignment="1" applyProtection="1">
      <alignment vertical="center"/>
      <protection locked="0"/>
    </xf>
    <xf numFmtId="0" fontId="11" fillId="0" borderId="2" xfId="3" applyFont="1" applyBorder="1" applyAlignment="1">
      <alignment horizontal="left" vertical="center"/>
    </xf>
    <xf numFmtId="0" fontId="11" fillId="0" borderId="5" xfId="3" applyFont="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Border="1" applyAlignment="1" applyProtection="1">
      <alignment horizontal="left" vertical="center" indent="2"/>
      <protection locked="0"/>
    </xf>
    <xf numFmtId="0" fontId="11" fillId="0" borderId="6" xfId="3" applyFont="1" applyBorder="1" applyAlignment="1">
      <alignment vertical="center"/>
    </xf>
    <xf numFmtId="0" fontId="12" fillId="0" borderId="10" xfId="3" applyFont="1" applyBorder="1" applyAlignment="1" applyProtection="1">
      <alignment horizontal="left" vertical="center" indent="2"/>
      <protection locked="0"/>
    </xf>
    <xf numFmtId="0" fontId="25" fillId="0" borderId="2" xfId="3" applyFont="1" applyBorder="1" applyAlignment="1">
      <alignment horizontal="left" vertical="center"/>
    </xf>
    <xf numFmtId="0" fontId="11" fillId="0" borderId="11" xfId="3" applyFont="1" applyBorder="1" applyAlignment="1">
      <alignment vertical="center"/>
    </xf>
    <xf numFmtId="0" fontId="25" fillId="6" borderId="12" xfId="3" applyFont="1" applyFill="1" applyBorder="1" applyAlignment="1">
      <alignment horizontal="left" vertical="center"/>
    </xf>
    <xf numFmtId="0" fontId="11" fillId="0" borderId="10" xfId="3" applyFont="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Border="1" applyAlignment="1" applyProtection="1">
      <alignment horizontal="left" vertical="center" wrapText="1" indent="2"/>
      <protection locked="0"/>
    </xf>
    <xf numFmtId="0" fontId="11" fillId="0" borderId="13" xfId="3" applyFont="1" applyBorder="1" applyAlignment="1" applyProtection="1">
      <alignment horizontal="left" vertical="center" wrapText="1" indent="2"/>
      <protection locked="0"/>
    </xf>
    <xf numFmtId="0" fontId="25" fillId="0" borderId="1" xfId="3" applyFont="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Alignment="1">
      <alignment horizontal="left" vertical="center"/>
    </xf>
    <xf numFmtId="0" fontId="25" fillId="0" borderId="13" xfId="3" applyFont="1" applyBorder="1" applyAlignment="1">
      <alignment horizontal="left" vertical="center"/>
    </xf>
    <xf numFmtId="0" fontId="25" fillId="6" borderId="14" xfId="3" applyFont="1" applyFill="1" applyBorder="1" applyAlignment="1">
      <alignment horizontal="left" vertical="center"/>
    </xf>
    <xf numFmtId="0" fontId="25" fillId="0" borderId="12" xfId="3" applyFont="1" applyBorder="1" applyAlignment="1">
      <alignment horizontal="left" vertical="center"/>
    </xf>
    <xf numFmtId="0" fontId="31" fillId="6" borderId="2" xfId="3" applyFont="1" applyFill="1" applyBorder="1" applyAlignment="1">
      <alignment vertical="center"/>
    </xf>
    <xf numFmtId="0" fontId="41" fillId="0" borderId="0" xfId="3" applyFont="1" applyAlignment="1">
      <alignment horizontal="left" vertical="center"/>
    </xf>
    <xf numFmtId="0" fontId="41" fillId="0" borderId="26" xfId="3" applyFont="1" applyBorder="1" applyAlignment="1">
      <alignment horizontal="left" vertical="center"/>
    </xf>
    <xf numFmtId="0" fontId="41" fillId="0" borderId="17" xfId="3" applyFont="1" applyBorder="1" applyAlignment="1">
      <alignment horizontal="left" vertical="center"/>
    </xf>
    <xf numFmtId="0" fontId="11" fillId="0" borderId="0" xfId="3" applyFont="1" applyAlignment="1">
      <alignment horizontal="left" vertical="center" indent="1"/>
    </xf>
    <xf numFmtId="0" fontId="42" fillId="0" borderId="0" xfId="3" applyFont="1" applyAlignment="1">
      <alignment horizontal="left" vertical="center"/>
    </xf>
    <xf numFmtId="0" fontId="31" fillId="6" borderId="39" xfId="3" applyFont="1" applyFill="1" applyBorder="1" applyAlignment="1">
      <alignment vertical="center"/>
    </xf>
    <xf numFmtId="0" fontId="11" fillId="0" borderId="2" xfId="3" applyFont="1" applyBorder="1" applyAlignment="1">
      <alignment horizontal="left" vertical="center" indent="1"/>
    </xf>
    <xf numFmtId="0" fontId="42" fillId="0" borderId="2" xfId="3" applyFont="1" applyBorder="1" applyAlignment="1">
      <alignment horizontal="left" vertical="center"/>
    </xf>
    <xf numFmtId="0" fontId="41" fillId="0" borderId="2" xfId="3" applyFont="1" applyBorder="1" applyAlignment="1">
      <alignment horizontal="left" vertical="center"/>
    </xf>
    <xf numFmtId="0" fontId="31" fillId="6" borderId="0" xfId="3" applyFont="1" applyFill="1" applyAlignment="1">
      <alignment vertical="center"/>
    </xf>
    <xf numFmtId="0" fontId="10" fillId="0" borderId="17" xfId="3" applyFont="1" applyBorder="1" applyAlignment="1">
      <alignment horizontal="left" vertical="center"/>
    </xf>
    <xf numFmtId="0" fontId="11" fillId="0" borderId="5" xfId="3" applyFont="1" applyBorder="1" applyAlignment="1" applyProtection="1">
      <alignment horizontal="left" vertical="center" indent="4"/>
      <protection locked="0"/>
    </xf>
    <xf numFmtId="0" fontId="11" fillId="0" borderId="5" xfId="3" applyFont="1" applyBorder="1" applyAlignment="1" applyProtection="1">
      <alignment horizontal="left" vertical="center" indent="6"/>
      <protection locked="0"/>
    </xf>
    <xf numFmtId="0" fontId="25" fillId="0" borderId="42" xfId="3" applyFont="1" applyBorder="1" applyAlignment="1">
      <alignment horizontal="left" vertical="center"/>
    </xf>
    <xf numFmtId="0" fontId="25" fillId="6" borderId="23"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Alignment="1" applyProtection="1">
      <alignment horizontal="left" vertical="center" indent="4"/>
      <protection locked="0"/>
    </xf>
    <xf numFmtId="0" fontId="11" fillId="0" borderId="23" xfId="3" applyFont="1" applyBorder="1" applyAlignment="1" applyProtection="1">
      <alignment horizontal="left" vertical="center" indent="4"/>
      <protection locked="0"/>
    </xf>
    <xf numFmtId="0" fontId="25" fillId="0" borderId="23" xfId="3" applyFont="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Border="1" applyAlignment="1">
      <alignment vertical="center"/>
    </xf>
    <xf numFmtId="0" fontId="11" fillId="0" borderId="10" xfId="3" applyFont="1" applyBorder="1" applyAlignment="1" applyProtection="1">
      <alignment horizontal="left" vertical="center" indent="4"/>
      <protection locked="0"/>
    </xf>
    <xf numFmtId="0" fontId="25" fillId="6" borderId="2" xfId="3" applyFont="1" applyFill="1" applyBorder="1" applyAlignment="1">
      <alignment horizontal="left" vertical="center"/>
    </xf>
    <xf numFmtId="0" fontId="19" fillId="0" borderId="2" xfId="3" applyFont="1" applyBorder="1" applyAlignment="1" applyProtection="1">
      <alignment vertical="center"/>
      <protection locked="0"/>
    </xf>
    <xf numFmtId="0" fontId="23" fillId="0" borderId="2" xfId="3" applyFont="1" applyBorder="1" applyAlignment="1">
      <alignment horizontal="left" vertical="center"/>
    </xf>
    <xf numFmtId="10" fontId="34" fillId="0" borderId="17" xfId="3" applyNumberFormat="1" applyFont="1" applyBorder="1" applyAlignment="1">
      <alignment vertical="center"/>
    </xf>
    <xf numFmtId="10" fontId="11" fillId="0" borderId="6" xfId="3" applyNumberFormat="1" applyFont="1" applyBorder="1" applyAlignment="1">
      <alignment horizontal="left" vertical="center"/>
    </xf>
    <xf numFmtId="0" fontId="25" fillId="0" borderId="7" xfId="3" applyFont="1" applyBorder="1" applyAlignment="1">
      <alignment horizontal="left" vertical="center"/>
    </xf>
    <xf numFmtId="10" fontId="10" fillId="0" borderId="0" xfId="6" applyNumberFormat="1" applyFont="1" applyFill="1" applyAlignment="1">
      <alignment horizontal="left" vertical="center"/>
    </xf>
    <xf numFmtId="0" fontId="19" fillId="0" borderId="26" xfId="3" applyFont="1" applyBorder="1" applyAlignment="1" applyProtection="1">
      <alignment vertical="center"/>
      <protection locked="0"/>
    </xf>
    <xf numFmtId="0" fontId="23" fillId="0" borderId="17" xfId="3" applyFont="1" applyBorder="1" applyAlignment="1">
      <alignment horizontal="left" vertical="center"/>
    </xf>
    <xf numFmtId="0" fontId="34" fillId="0" borderId="17" xfId="3" applyFont="1" applyBorder="1" applyAlignment="1">
      <alignment vertical="center"/>
    </xf>
    <xf numFmtId="0" fontId="11" fillId="0" borderId="10" xfId="3" applyFont="1" applyBorder="1" applyAlignment="1" applyProtection="1">
      <alignment vertical="center"/>
      <protection locked="0"/>
    </xf>
    <xf numFmtId="0" fontId="12" fillId="5" borderId="0" xfId="3" applyFont="1" applyFill="1" applyAlignment="1">
      <alignment horizontal="left" vertical="center"/>
    </xf>
    <xf numFmtId="0" fontId="22" fillId="6" borderId="38" xfId="3" applyFont="1" applyFill="1" applyBorder="1" applyAlignment="1">
      <alignment horizontal="left" vertical="center" wrapText="1"/>
    </xf>
    <xf numFmtId="0" fontId="22" fillId="0" borderId="38" xfId="3" applyFont="1" applyBorder="1" applyAlignment="1">
      <alignment horizontal="left" vertical="center" wrapText="1"/>
    </xf>
    <xf numFmtId="0" fontId="13" fillId="0" borderId="0" xfId="3" applyFont="1" applyAlignment="1">
      <alignment vertical="center"/>
    </xf>
    <xf numFmtId="0" fontId="10" fillId="0" borderId="0" xfId="3" applyFont="1" applyAlignment="1">
      <alignment vertical="center"/>
    </xf>
    <xf numFmtId="0" fontId="12" fillId="0" borderId="0" xfId="3" applyFont="1" applyAlignment="1">
      <alignment horizontal="left" vertical="center"/>
    </xf>
    <xf numFmtId="0" fontId="45" fillId="0" borderId="0" xfId="3" applyFont="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48" fillId="0" borderId="27" xfId="2" applyFont="1" applyFill="1" applyBorder="1" applyAlignment="1">
      <alignment horizontal="left" vertical="center" wrapText="1"/>
    </xf>
    <xf numFmtId="0" fontId="49" fillId="0" borderId="27" xfId="3" applyFont="1" applyBorder="1" applyAlignment="1">
      <alignment vertical="center" wrapText="1"/>
    </xf>
    <xf numFmtId="0" fontId="41" fillId="6" borderId="27" xfId="3" applyFont="1" applyFill="1" applyBorder="1" applyAlignment="1">
      <alignment horizontal="left" vertical="center"/>
    </xf>
    <xf numFmtId="0" fontId="49" fillId="0" borderId="28" xfId="3" applyFont="1" applyBorder="1" applyAlignment="1">
      <alignment horizontal="left" vertical="center" indent="1"/>
    </xf>
    <xf numFmtId="0" fontId="49" fillId="0" borderId="28" xfId="3" applyFont="1" applyBorder="1" applyAlignment="1">
      <alignment vertical="center" wrapText="1"/>
    </xf>
    <xf numFmtId="0" fontId="41" fillId="6" borderId="28" xfId="3" applyFont="1" applyFill="1" applyBorder="1" applyAlignment="1">
      <alignment horizontal="left" vertical="center"/>
    </xf>
    <xf numFmtId="0" fontId="49" fillId="0" borderId="28" xfId="3" applyFont="1" applyBorder="1" applyAlignment="1">
      <alignment horizontal="left" vertical="center" indent="3"/>
    </xf>
    <xf numFmtId="0" fontId="49" fillId="0" borderId="29" xfId="3" applyFont="1" applyBorder="1" applyAlignment="1">
      <alignment horizontal="left" vertical="center" indent="3"/>
    </xf>
    <xf numFmtId="0" fontId="41" fillId="6" borderId="29" xfId="3" applyFont="1" applyFill="1" applyBorder="1" applyAlignment="1">
      <alignment horizontal="left" vertical="center"/>
    </xf>
    <xf numFmtId="0" fontId="49" fillId="0" borderId="0" xfId="3" applyFont="1" applyAlignment="1">
      <alignment horizontal="left" vertical="center"/>
    </xf>
    <xf numFmtId="0" fontId="50" fillId="0" borderId="0" xfId="3" applyFont="1" applyAlignment="1">
      <alignment horizontal="left" vertical="center"/>
    </xf>
    <xf numFmtId="0" fontId="10" fillId="0" borderId="35" xfId="3" applyFont="1" applyBorder="1" applyAlignment="1">
      <alignment horizontal="left" vertical="center"/>
    </xf>
    <xf numFmtId="0" fontId="49" fillId="0" borderId="0" xfId="3" applyFont="1" applyAlignment="1">
      <alignment horizontal="left" vertical="center" indent="5"/>
    </xf>
    <xf numFmtId="0" fontId="41" fillId="0" borderId="28" xfId="3" applyFont="1" applyBorder="1" applyAlignment="1">
      <alignment horizontal="left" vertical="center"/>
    </xf>
    <xf numFmtId="0" fontId="49" fillId="0" borderId="34" xfId="3" applyFont="1" applyBorder="1" applyAlignment="1">
      <alignment horizontal="left" vertical="center" indent="5"/>
    </xf>
    <xf numFmtId="0" fontId="49" fillId="0" borderId="34" xfId="3" applyFont="1" applyBorder="1" applyAlignment="1">
      <alignment horizontal="left" vertical="center" indent="1"/>
    </xf>
    <xf numFmtId="0" fontId="49" fillId="0" borderId="41" xfId="3" applyFont="1" applyBorder="1" applyAlignment="1">
      <alignment horizontal="left" vertical="center"/>
    </xf>
    <xf numFmtId="0" fontId="41" fillId="0" borderId="41" xfId="3" applyFont="1" applyBorder="1" applyAlignment="1">
      <alignment horizontal="left" vertical="center"/>
    </xf>
    <xf numFmtId="0" fontId="51" fillId="0" borderId="27" xfId="3" applyFont="1" applyBorder="1" applyAlignment="1">
      <alignment vertical="center"/>
    </xf>
    <xf numFmtId="0" fontId="49" fillId="0" borderId="29" xfId="3" applyFont="1" applyBorder="1" applyAlignment="1">
      <alignment horizontal="left" vertical="center" wrapText="1" indent="1"/>
    </xf>
    <xf numFmtId="0" fontId="41" fillId="0" borderId="27" xfId="3" applyFont="1" applyBorder="1" applyAlignment="1">
      <alignment vertical="center"/>
    </xf>
    <xf numFmtId="0" fontId="49" fillId="0" borderId="29" xfId="3" applyFont="1" applyBorder="1" applyAlignment="1">
      <alignment horizontal="left" vertical="center" indent="1"/>
    </xf>
    <xf numFmtId="0" fontId="49" fillId="0" borderId="28" xfId="3" applyFont="1" applyBorder="1" applyAlignment="1">
      <alignment horizontal="left" vertical="center" wrapText="1" indent="1"/>
    </xf>
    <xf numFmtId="0" fontId="49" fillId="0" borderId="28" xfId="3" applyFont="1" applyBorder="1" applyAlignment="1">
      <alignment horizontal="left" vertical="center" wrapText="1" indent="3"/>
    </xf>
    <xf numFmtId="0" fontId="49" fillId="0" borderId="29" xfId="3" applyFont="1" applyBorder="1" applyAlignment="1">
      <alignment horizontal="left" vertical="center" wrapText="1" indent="3"/>
    </xf>
    <xf numFmtId="0" fontId="50" fillId="0" borderId="27" xfId="3" applyFont="1" applyBorder="1" applyAlignment="1">
      <alignment vertical="center"/>
    </xf>
    <xf numFmtId="0" fontId="52" fillId="0" borderId="28" xfId="2" applyFont="1" applyFill="1" applyBorder="1" applyAlignment="1">
      <alignment horizontal="left" vertical="center" wrapText="1" indent="1"/>
    </xf>
    <xf numFmtId="0" fontId="52" fillId="0" borderId="29" xfId="2" applyFont="1" applyFill="1" applyBorder="1" applyAlignment="1">
      <alignment horizontal="left" vertical="center" wrapText="1" indent="1"/>
    </xf>
    <xf numFmtId="167" fontId="49" fillId="0" borderId="29" xfId="6" applyNumberFormat="1" applyFont="1" applyFill="1" applyBorder="1" applyAlignment="1">
      <alignment vertical="center" wrapText="1"/>
    </xf>
    <xf numFmtId="0" fontId="49" fillId="0" borderId="29" xfId="3" applyFont="1" applyBorder="1" applyAlignment="1">
      <alignment vertical="center" wrapText="1"/>
    </xf>
    <xf numFmtId="0" fontId="52" fillId="0" borderId="28" xfId="2" applyFont="1" applyFill="1" applyBorder="1" applyAlignment="1">
      <alignment horizontal="left" vertical="center" wrapText="1" indent="3"/>
    </xf>
    <xf numFmtId="0" fontId="10" fillId="0" borderId="28" xfId="3" applyFont="1" applyBorder="1" applyAlignment="1">
      <alignment horizontal="left" vertical="center"/>
    </xf>
    <xf numFmtId="0" fontId="49" fillId="0" borderId="28" xfId="3" applyFont="1" applyBorder="1" applyAlignment="1">
      <alignment horizontal="left" vertical="center" wrapText="1" indent="5"/>
    </xf>
    <xf numFmtId="0" fontId="50" fillId="0" borderId="0" xfId="3" applyFont="1" applyAlignment="1">
      <alignment vertical="center"/>
    </xf>
    <xf numFmtId="0" fontId="52" fillId="0" borderId="29" xfId="2" applyFont="1" applyFill="1" applyBorder="1" applyAlignment="1">
      <alignment horizontal="left" vertical="center" wrapText="1" indent="3"/>
    </xf>
    <xf numFmtId="0" fontId="41" fillId="0" borderId="35" xfId="3" applyFont="1" applyBorder="1" applyAlignment="1">
      <alignment horizontal="left" vertical="center"/>
    </xf>
    <xf numFmtId="0" fontId="49" fillId="7" borderId="27" xfId="3" applyFont="1" applyFill="1" applyBorder="1" applyAlignment="1">
      <alignment vertical="center" wrapText="1"/>
    </xf>
    <xf numFmtId="0" fontId="50" fillId="7" borderId="27" xfId="3" applyFont="1" applyFill="1" applyBorder="1" applyAlignment="1">
      <alignment vertical="center"/>
    </xf>
    <xf numFmtId="0" fontId="52" fillId="0" borderId="28" xfId="2" applyFont="1" applyFill="1" applyBorder="1" applyAlignment="1">
      <alignment horizontal="left" vertical="center" wrapText="1"/>
    </xf>
    <xf numFmtId="0" fontId="53" fillId="0" borderId="28" xfId="2" applyFont="1" applyFill="1" applyBorder="1" applyAlignment="1">
      <alignment horizontal="left" vertical="center" wrapText="1" indent="1"/>
    </xf>
    <xf numFmtId="0" fontId="49" fillId="0" borderId="0" xfId="3" applyFont="1" applyAlignment="1">
      <alignment vertical="center" wrapText="1"/>
    </xf>
    <xf numFmtId="0" fontId="10" fillId="5" borderId="19" xfId="3" applyFont="1" applyFill="1" applyBorder="1" applyAlignment="1">
      <alignment horizontal="left" vertical="center"/>
    </xf>
    <xf numFmtId="0" fontId="10" fillId="5" borderId="25" xfId="3" applyFont="1" applyFill="1" applyBorder="1" applyAlignment="1">
      <alignment horizontal="left" vertical="center"/>
    </xf>
    <xf numFmtId="0" fontId="29" fillId="0" borderId="0" xfId="0" applyFont="1" applyAlignment="1">
      <alignment vertical="center"/>
    </xf>
    <xf numFmtId="0" fontId="55" fillId="0" borderId="0" xfId="0" applyFont="1" applyAlignment="1">
      <alignment vertical="center"/>
    </xf>
    <xf numFmtId="0" fontId="41" fillId="0" borderId="0" xfId="0" applyFont="1"/>
    <xf numFmtId="0" fontId="24" fillId="5" borderId="0" xfId="3" applyFont="1" applyFill="1" applyAlignment="1">
      <alignment horizontal="left" vertical="center"/>
    </xf>
    <xf numFmtId="0" fontId="24" fillId="0" borderId="0" xfId="3" applyFont="1" applyAlignment="1">
      <alignment horizontal="left" vertical="center"/>
    </xf>
    <xf numFmtId="0" fontId="25" fillId="5" borderId="0" xfId="3" applyFont="1" applyFill="1" applyAlignment="1">
      <alignment horizontal="left" vertical="center" wrapText="1" indent="3"/>
    </xf>
    <xf numFmtId="0" fontId="21" fillId="2" borderId="0" xfId="2" applyFont="1" applyFill="1"/>
    <xf numFmtId="0" fontId="56" fillId="0" borderId="0" xfId="3" applyFont="1" applyAlignment="1">
      <alignment vertical="center"/>
    </xf>
    <xf numFmtId="0" fontId="57" fillId="0" borderId="0" xfId="3" applyFont="1" applyAlignment="1">
      <alignment horizontal="left" vertical="center"/>
    </xf>
    <xf numFmtId="0" fontId="25" fillId="0" borderId="0" xfId="3" applyFont="1" applyAlignment="1">
      <alignment vertical="center"/>
    </xf>
    <xf numFmtId="164" fontId="25" fillId="0" borderId="0" xfId="1" applyFont="1" applyFill="1" applyAlignment="1">
      <alignment horizontal="left" vertical="center"/>
    </xf>
    <xf numFmtId="168" fontId="25" fillId="0" borderId="0" xfId="1" applyNumberFormat="1" applyFont="1" applyFill="1" applyAlignment="1">
      <alignment horizontal="left" vertical="center"/>
    </xf>
    <xf numFmtId="0" fontId="10" fillId="0" borderId="0" xfId="0" applyFont="1"/>
    <xf numFmtId="0" fontId="35" fillId="5" borderId="0" xfId="0" applyFont="1" applyFill="1" applyAlignment="1">
      <alignment vertical="center" wrapText="1"/>
    </xf>
    <xf numFmtId="0" fontId="10" fillId="5" borderId="0" xfId="3" applyFont="1" applyFill="1" applyAlignment="1">
      <alignment vertical="center"/>
    </xf>
    <xf numFmtId="0" fontId="59" fillId="2" borderId="0" xfId="0" applyFont="1" applyFill="1" applyAlignment="1">
      <alignment vertical="center"/>
    </xf>
    <xf numFmtId="0" fontId="41" fillId="0" borderId="0" xfId="0" applyFont="1" applyAlignment="1">
      <alignment wrapText="1"/>
    </xf>
    <xf numFmtId="164" fontId="41" fillId="0" borderId="0" xfId="1" applyFont="1"/>
    <xf numFmtId="0" fontId="57" fillId="4" borderId="2" xfId="0" applyFont="1" applyFill="1" applyBorder="1" applyAlignment="1">
      <alignment vertical="center"/>
    </xf>
    <xf numFmtId="0" fontId="57" fillId="0" borderId="36" xfId="0" applyFont="1" applyBorder="1"/>
    <xf numFmtId="0" fontId="57" fillId="0" borderId="17" xfId="0" applyFont="1" applyBorder="1"/>
    <xf numFmtId="0" fontId="61" fillId="2" borderId="0" xfId="0" applyFont="1" applyFill="1" applyAlignment="1">
      <alignment vertical="center"/>
    </xf>
    <xf numFmtId="0" fontId="42" fillId="2" borderId="0" xfId="3" applyFont="1" applyFill="1" applyAlignment="1">
      <alignment horizontal="left" vertical="center" indent="1"/>
    </xf>
    <xf numFmtId="0" fontId="42" fillId="2" borderId="0" xfId="3" applyFont="1" applyFill="1" applyAlignment="1">
      <alignment horizontal="left" vertical="center"/>
    </xf>
    <xf numFmtId="164" fontId="42" fillId="2" borderId="0" xfId="1" applyFont="1" applyFill="1" applyBorder="1" applyAlignment="1">
      <alignment horizontal="left" vertical="center"/>
    </xf>
    <xf numFmtId="0" fontId="41" fillId="5" borderId="0" xfId="0" applyFont="1" applyFill="1"/>
    <xf numFmtId="0" fontId="41" fillId="5" borderId="0" xfId="0" applyFont="1" applyFill="1" applyAlignment="1">
      <alignment wrapText="1"/>
    </xf>
    <xf numFmtId="0" fontId="35" fillId="5" borderId="0" xfId="0" applyFont="1" applyFill="1" applyAlignment="1">
      <alignment vertical="center"/>
    </xf>
    <xf numFmtId="0" fontId="25" fillId="2" borderId="0" xfId="0" applyFont="1" applyFill="1" applyAlignment="1">
      <alignment horizontal="left" vertical="center" wrapText="1" indent="2"/>
    </xf>
    <xf numFmtId="168" fontId="41" fillId="0" borderId="0" xfId="1" applyNumberFormat="1" applyFont="1"/>
    <xf numFmtId="164" fontId="57" fillId="0" borderId="37" xfId="1" applyFont="1" applyBorder="1"/>
    <xf numFmtId="0" fontId="16" fillId="0" borderId="24" xfId="2" applyFont="1" applyFill="1" applyBorder="1" applyAlignment="1"/>
    <xf numFmtId="0" fontId="16" fillId="0" borderId="0" xfId="2" applyFont="1" applyFill="1" applyBorder="1" applyAlignment="1"/>
    <xf numFmtId="0" fontId="16" fillId="0" borderId="25" xfId="2" applyFont="1" applyFill="1" applyBorder="1" applyAlignment="1"/>
    <xf numFmtId="0" fontId="28" fillId="0" borderId="25" xfId="2" applyFont="1" applyFill="1" applyBorder="1" applyAlignment="1"/>
    <xf numFmtId="0" fontId="10" fillId="8" borderId="0" xfId="3" applyFont="1" applyFill="1" applyAlignment="1">
      <alignment horizontal="left" vertical="center"/>
    </xf>
    <xf numFmtId="0" fontId="22" fillId="8" borderId="38" xfId="3" applyFont="1" applyFill="1" applyBorder="1" applyAlignment="1">
      <alignment horizontal="left" vertical="center" wrapText="1"/>
    </xf>
    <xf numFmtId="0" fontId="11" fillId="8" borderId="6" xfId="3" applyFont="1" applyFill="1" applyBorder="1" applyAlignment="1">
      <alignment vertical="center"/>
    </xf>
    <xf numFmtId="166" fontId="11" fillId="8" borderId="6" xfId="3" applyNumberFormat="1" applyFont="1" applyFill="1" applyBorder="1" applyAlignment="1">
      <alignment vertical="center"/>
    </xf>
    <xf numFmtId="0" fontId="11" fillId="8" borderId="0" xfId="3" applyFont="1" applyFill="1" applyAlignment="1">
      <alignment vertical="center"/>
    </xf>
    <xf numFmtId="166" fontId="11" fillId="8" borderId="0" xfId="3" applyNumberFormat="1" applyFont="1" applyFill="1" applyAlignment="1">
      <alignment vertical="center"/>
    </xf>
    <xf numFmtId="0" fontId="11" fillId="8" borderId="39" xfId="3" applyFont="1" applyFill="1" applyBorder="1" applyAlignment="1">
      <alignment vertical="center" wrapText="1"/>
    </xf>
    <xf numFmtId="0" fontId="11" fillId="8" borderId="1" xfId="3" applyFont="1" applyFill="1" applyBorder="1" applyAlignment="1">
      <alignment vertical="center"/>
    </xf>
    <xf numFmtId="165" fontId="11" fillId="8" borderId="0" xfId="1" applyNumberFormat="1" applyFont="1" applyFill="1" applyBorder="1" applyAlignment="1">
      <alignment vertical="center"/>
    </xf>
    <xf numFmtId="0" fontId="49" fillId="8" borderId="28" xfId="3" applyFont="1" applyFill="1" applyBorder="1" applyAlignment="1">
      <alignment vertical="center" wrapText="1"/>
    </xf>
    <xf numFmtId="0" fontId="52" fillId="8" borderId="29" xfId="4" applyFont="1" applyFill="1" applyBorder="1" applyAlignment="1">
      <alignment vertical="center"/>
    </xf>
    <xf numFmtId="0" fontId="49" fillId="8" borderId="29" xfId="3" applyFont="1" applyFill="1" applyBorder="1" applyAlignment="1">
      <alignment vertical="center" wrapText="1"/>
    </xf>
    <xf numFmtId="0" fontId="62" fillId="0" borderId="0" xfId="3" applyFont="1" applyAlignment="1">
      <alignment horizontal="left" vertical="center"/>
    </xf>
    <xf numFmtId="0" fontId="63" fillId="0" borderId="27" xfId="3" applyFont="1" applyBorder="1" applyAlignment="1">
      <alignment vertical="center" wrapText="1"/>
    </xf>
    <xf numFmtId="0" fontId="62" fillId="6" borderId="27" xfId="3" applyFont="1" applyFill="1" applyBorder="1" applyAlignment="1">
      <alignment horizontal="left" vertical="center"/>
    </xf>
    <xf numFmtId="0" fontId="63" fillId="0" borderId="28" xfId="3" applyFont="1" applyBorder="1" applyAlignment="1">
      <alignment vertical="center" wrapText="1"/>
    </xf>
    <xf numFmtId="0" fontId="62" fillId="6" borderId="28" xfId="3" applyFont="1" applyFill="1" applyBorder="1" applyAlignment="1">
      <alignment horizontal="left" vertical="center"/>
    </xf>
    <xf numFmtId="0" fontId="63" fillId="0" borderId="28" xfId="3" applyFont="1" applyBorder="1" applyAlignment="1">
      <alignment horizontal="left" vertical="center" wrapText="1" indent="3"/>
    </xf>
    <xf numFmtId="0" fontId="62" fillId="0" borderId="28" xfId="3" applyFont="1" applyBorder="1" applyAlignment="1">
      <alignment horizontal="left" vertical="center"/>
    </xf>
    <xf numFmtId="0" fontId="63" fillId="0" borderId="29" xfId="3" applyFont="1" applyBorder="1" applyAlignment="1">
      <alignment horizontal="left" vertical="center" wrapText="1" indent="3"/>
    </xf>
    <xf numFmtId="0" fontId="63" fillId="0" borderId="28" xfId="3" applyFont="1" applyBorder="1" applyAlignment="1">
      <alignment horizontal="left" vertical="center" wrapText="1" indent="1"/>
    </xf>
    <xf numFmtId="0" fontId="49" fillId="8" borderId="28" xfId="3" applyFont="1" applyFill="1" applyBorder="1" applyAlignment="1">
      <alignment horizontal="left" vertical="center" wrapText="1" indent="5"/>
    </xf>
    <xf numFmtId="0" fontId="45" fillId="8" borderId="0" xfId="3" applyFont="1" applyFill="1" applyAlignment="1">
      <alignmen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5" fillId="7" borderId="0" xfId="3" applyFont="1" applyFill="1" applyAlignment="1">
      <alignment vertical="center"/>
    </xf>
    <xf numFmtId="0" fontId="56" fillId="9" borderId="43" xfId="3" applyFont="1" applyFill="1" applyBorder="1" applyAlignment="1">
      <alignment horizontal="left" vertical="center"/>
    </xf>
    <xf numFmtId="0" fontId="25" fillId="10" borderId="32" xfId="3" applyFont="1" applyFill="1" applyBorder="1" applyAlignment="1">
      <alignment vertical="center"/>
    </xf>
    <xf numFmtId="0" fontId="25" fillId="4" borderId="23" xfId="3" applyFont="1" applyFill="1" applyBorder="1" applyAlignment="1">
      <alignment vertical="center"/>
    </xf>
    <xf numFmtId="0" fontId="25" fillId="10" borderId="33" xfId="3" applyFont="1" applyFill="1" applyBorder="1" applyAlignment="1">
      <alignment vertical="center" wrapText="1"/>
    </xf>
    <xf numFmtId="0" fontId="41" fillId="8" borderId="0" xfId="0" applyFont="1" applyFill="1"/>
    <xf numFmtId="0" fontId="41" fillId="0" borderId="23" xfId="3" applyFont="1" applyBorder="1" applyAlignment="1">
      <alignment horizontal="left" vertical="center"/>
    </xf>
    <xf numFmtId="0" fontId="18" fillId="0" borderId="40" xfId="2" applyFont="1" applyFill="1" applyBorder="1" applyAlignment="1" applyProtection="1">
      <alignment vertical="center"/>
      <protection locked="0"/>
    </xf>
    <xf numFmtId="0" fontId="49" fillId="8" borderId="28" xfId="3" applyFont="1" applyFill="1" applyBorder="1" applyAlignment="1">
      <alignment horizontal="left" vertical="center" wrapText="1" indent="3"/>
    </xf>
    <xf numFmtId="0" fontId="41" fillId="0" borderId="28" xfId="3" applyFont="1" applyBorder="1" applyAlignment="1">
      <alignment vertical="center"/>
    </xf>
    <xf numFmtId="0" fontId="60" fillId="0" borderId="28" xfId="2" applyFont="1" applyFill="1" applyBorder="1" applyAlignment="1">
      <alignment horizontal="left" vertical="center" wrapText="1"/>
    </xf>
    <xf numFmtId="0" fontId="49" fillId="0" borderId="29" xfId="3" applyFont="1" applyBorder="1" applyAlignment="1">
      <alignment vertical="center"/>
    </xf>
    <xf numFmtId="0" fontId="50" fillId="0" borderId="41" xfId="3" applyFont="1" applyBorder="1" applyAlignment="1">
      <alignment vertical="center"/>
    </xf>
    <xf numFmtId="0" fontId="57" fillId="0" borderId="0" xfId="0" applyFont="1"/>
    <xf numFmtId="164" fontId="57" fillId="0" borderId="0" xfId="1" applyFont="1" applyBorder="1"/>
    <xf numFmtId="14" fontId="10" fillId="8" borderId="0" xfId="3" applyNumberFormat="1" applyFont="1" applyFill="1" applyAlignment="1">
      <alignment horizontal="right" vertical="center"/>
    </xf>
    <xf numFmtId="0" fontId="4" fillId="8" borderId="23" xfId="2" applyFill="1" applyBorder="1" applyAlignment="1">
      <alignment vertical="center"/>
    </xf>
    <xf numFmtId="0" fontId="4" fillId="8" borderId="23" xfId="2" applyFill="1" applyBorder="1" applyAlignment="1">
      <alignment vertical="center" wrapText="1"/>
    </xf>
    <xf numFmtId="0" fontId="4" fillId="8" borderId="6" xfId="2" applyFill="1" applyBorder="1" applyAlignment="1">
      <alignment vertical="center"/>
    </xf>
    <xf numFmtId="3" fontId="49" fillId="8" borderId="28" xfId="3" applyNumberFormat="1" applyFont="1" applyFill="1" applyBorder="1" applyAlignment="1">
      <alignment vertical="center" wrapText="1"/>
    </xf>
    <xf numFmtId="0" fontId="41" fillId="6" borderId="28" xfId="3" applyFont="1" applyFill="1" applyBorder="1" applyAlignment="1">
      <alignment horizontal="left" vertical="center" wrapText="1"/>
    </xf>
    <xf numFmtId="0" fontId="4" fillId="8" borderId="28" xfId="2" applyFill="1" applyBorder="1" applyAlignment="1">
      <alignment vertical="center" wrapText="1"/>
    </xf>
    <xf numFmtId="3" fontId="4" fillId="8" borderId="28" xfId="2" applyNumberFormat="1" applyFill="1" applyBorder="1" applyAlignment="1">
      <alignment vertical="center" wrapText="1"/>
    </xf>
    <xf numFmtId="164" fontId="49" fillId="8" borderId="28" xfId="1" applyFont="1" applyFill="1" applyBorder="1" applyAlignment="1">
      <alignment vertical="center" wrapText="1"/>
    </xf>
    <xf numFmtId="169" fontId="49" fillId="8" borderId="28" xfId="1" applyNumberFormat="1" applyFont="1" applyFill="1" applyBorder="1" applyAlignment="1">
      <alignment vertical="center" wrapText="1"/>
    </xf>
    <xf numFmtId="168" fontId="49" fillId="8" borderId="28" xfId="1" applyNumberFormat="1" applyFont="1" applyFill="1" applyBorder="1" applyAlignment="1">
      <alignment vertical="center" wrapText="1"/>
    </xf>
    <xf numFmtId="168" fontId="4" fillId="0" borderId="0" xfId="2" applyNumberFormat="1" applyFill="1" applyAlignment="1">
      <alignment horizontal="left" vertical="center"/>
    </xf>
    <xf numFmtId="164" fontId="25" fillId="0" borderId="0" xfId="1" applyFont="1" applyFill="1" applyAlignment="1">
      <alignment horizontal="right" vertical="center"/>
    </xf>
    <xf numFmtId="0" fontId="10" fillId="5" borderId="0" xfId="3" applyFont="1" applyFill="1" applyAlignment="1">
      <alignment horizontal="left" vertical="center" wrapText="1"/>
    </xf>
    <xf numFmtId="0" fontId="14" fillId="2" borderId="0" xfId="0" applyFont="1" applyFill="1" applyAlignment="1">
      <alignment horizontal="lef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57" fillId="0" borderId="36" xfId="0" applyFont="1" applyBorder="1" applyAlignment="1">
      <alignment vertical="center"/>
    </xf>
    <xf numFmtId="164" fontId="57" fillId="0" borderId="17" xfId="1" applyFont="1" applyBorder="1" applyAlignment="1">
      <alignment vertical="center"/>
    </xf>
    <xf numFmtId="3" fontId="49" fillId="8" borderId="29" xfId="3" applyNumberFormat="1" applyFont="1" applyFill="1" applyBorder="1" applyAlignment="1">
      <alignment vertical="center" wrapText="1"/>
    </xf>
    <xf numFmtId="168" fontId="25" fillId="0" borderId="0" xfId="1" applyNumberFormat="1" applyFont="1" applyAlignment="1">
      <alignment vertical="center"/>
    </xf>
    <xf numFmtId="0" fontId="24" fillId="5" borderId="0" xfId="0" applyFont="1" applyFill="1" applyAlignment="1">
      <alignment vertical="center" wrapText="1"/>
    </xf>
    <xf numFmtId="0" fontId="19" fillId="5" borderId="0" xfId="3" applyFont="1" applyFill="1" applyAlignment="1">
      <alignment vertical="center"/>
    </xf>
    <xf numFmtId="0" fontId="57" fillId="2" borderId="0" xfId="0" applyFont="1" applyFill="1" applyAlignment="1">
      <alignment vertical="center"/>
    </xf>
    <xf numFmtId="0" fontId="10" fillId="0" borderId="0" xfId="0" applyFont="1" applyAlignment="1">
      <alignment vertical="center"/>
    </xf>
    <xf numFmtId="0" fontId="25" fillId="8" borderId="0" xfId="2" applyFont="1" applyFill="1" applyBorder="1" applyAlignment="1">
      <alignment horizontal="left" vertical="center" wrapText="1"/>
    </xf>
    <xf numFmtId="0" fontId="67" fillId="0" borderId="0" xfId="5" applyFont="1" applyAlignment="1">
      <alignment vertical="center"/>
    </xf>
    <xf numFmtId="0" fontId="10" fillId="0" borderId="0" xfId="0" applyFont="1" applyAlignment="1">
      <alignment vertical="center" wrapText="1"/>
    </xf>
    <xf numFmtId="164" fontId="10" fillId="0" borderId="0" xfId="1" applyFont="1" applyAlignment="1">
      <alignment vertical="center"/>
    </xf>
    <xf numFmtId="0" fontId="67" fillId="0" borderId="0" xfId="5" applyNumberFormat="1" applyFont="1" applyAlignment="1">
      <alignment vertical="center"/>
    </xf>
    <xf numFmtId="0" fontId="25" fillId="0" borderId="0" xfId="0" applyFont="1" applyAlignment="1">
      <alignment vertical="center"/>
    </xf>
    <xf numFmtId="0" fontId="10" fillId="0" borderId="44" xfId="0" applyFont="1" applyBorder="1" applyAlignment="1">
      <alignment vertical="center"/>
    </xf>
    <xf numFmtId="164" fontId="10" fillId="0" borderId="0" xfId="0" applyNumberFormat="1" applyFont="1" applyAlignment="1">
      <alignment vertical="center"/>
    </xf>
    <xf numFmtId="0" fontId="25" fillId="2" borderId="0" xfId="3" applyFont="1" applyFill="1" applyAlignment="1">
      <alignment horizontal="left" vertical="center"/>
    </xf>
    <xf numFmtId="164" fontId="25" fillId="2" borderId="0" xfId="1" applyFont="1" applyFill="1" applyBorder="1" applyAlignment="1">
      <alignment horizontal="left" vertical="center"/>
    </xf>
    <xf numFmtId="43" fontId="10" fillId="0" borderId="0" xfId="0" applyNumberFormat="1" applyFont="1" applyAlignment="1">
      <alignment vertical="center"/>
    </xf>
    <xf numFmtId="0" fontId="57" fillId="2" borderId="1" xfId="3" applyFont="1" applyFill="1" applyBorder="1" applyAlignment="1">
      <alignment horizontal="left" vertical="center"/>
    </xf>
    <xf numFmtId="164" fontId="57" fillId="2" borderId="1" xfId="1" applyFont="1" applyFill="1" applyBorder="1" applyAlignment="1">
      <alignment horizontal="left" vertical="center"/>
    </xf>
    <xf numFmtId="164" fontId="57" fillId="2" borderId="41" xfId="1" applyFont="1" applyFill="1" applyBorder="1" applyAlignment="1">
      <alignment horizontal="left" vertical="center"/>
    </xf>
    <xf numFmtId="0" fontId="25" fillId="2" borderId="1" xfId="3" applyFont="1" applyFill="1" applyBorder="1" applyAlignment="1">
      <alignment horizontal="left" vertical="center"/>
    </xf>
    <xf numFmtId="164" fontId="25" fillId="2" borderId="23" xfId="1" applyFont="1" applyFill="1" applyBorder="1" applyAlignment="1">
      <alignment horizontal="left" vertical="center"/>
    </xf>
    <xf numFmtId="0" fontId="25" fillId="2" borderId="21" xfId="3" applyFont="1" applyFill="1" applyBorder="1" applyAlignment="1">
      <alignment horizontal="left" vertical="center"/>
    </xf>
    <xf numFmtId="164" fontId="25" fillId="2" borderId="41" xfId="1" applyFont="1" applyFill="1" applyBorder="1" applyAlignment="1">
      <alignment horizontal="left" vertical="center"/>
    </xf>
    <xf numFmtId="0" fontId="57" fillId="0" borderId="0" xfId="0" applyFont="1" applyAlignment="1">
      <alignment vertical="center"/>
    </xf>
    <xf numFmtId="0" fontId="70" fillId="0" borderId="0" xfId="0" applyFont="1" applyAlignment="1">
      <alignment vertical="center"/>
    </xf>
    <xf numFmtId="170" fontId="10" fillId="0" borderId="0" xfId="0" applyNumberFormat="1" applyFont="1" applyAlignment="1">
      <alignment vertical="center"/>
    </xf>
    <xf numFmtId="168" fontId="25" fillId="0" borderId="0" xfId="3" applyNumberFormat="1" applyFont="1" applyAlignment="1">
      <alignment horizontal="left" vertical="center"/>
    </xf>
    <xf numFmtId="3" fontId="71" fillId="0" borderId="0" xfId="0" applyNumberFormat="1" applyFont="1" applyAlignment="1">
      <alignment horizontal="right" vertical="center"/>
    </xf>
    <xf numFmtId="0" fontId="25" fillId="0" borderId="0" xfId="0" applyFont="1" applyAlignment="1">
      <alignment horizontal="left" vertical="center"/>
    </xf>
    <xf numFmtId="168" fontId="25" fillId="0" borderId="0" xfId="0" applyNumberFormat="1" applyFont="1" applyAlignment="1">
      <alignment horizontal="left" vertical="center"/>
    </xf>
    <xf numFmtId="168" fontId="10" fillId="0" borderId="0" xfId="1" applyNumberFormat="1" applyFont="1" applyAlignment="1">
      <alignment horizontal="left" vertical="center"/>
    </xf>
    <xf numFmtId="168" fontId="49" fillId="8" borderId="28" xfId="1" applyNumberFormat="1" applyFont="1" applyFill="1" applyBorder="1" applyAlignment="1">
      <alignment horizontal="right" vertical="center" wrapText="1"/>
    </xf>
    <xf numFmtId="164" fontId="50" fillId="0" borderId="0" xfId="1" applyFont="1" applyAlignment="1">
      <alignment horizontal="left" vertical="center"/>
    </xf>
    <xf numFmtId="168" fontId="49" fillId="8" borderId="29" xfId="1" applyNumberFormat="1" applyFont="1" applyFill="1" applyBorder="1" applyAlignment="1">
      <alignment vertical="center" wrapText="1"/>
    </xf>
    <xf numFmtId="168" fontId="25" fillId="0" borderId="0" xfId="1" applyNumberFormat="1" applyFont="1" applyFill="1" applyAlignment="1">
      <alignment horizontal="right" vertical="center"/>
    </xf>
    <xf numFmtId="164" fontId="41" fillId="0" borderId="0" xfId="1" applyFont="1" applyAlignment="1">
      <alignment horizontal="left" vertical="center"/>
    </xf>
    <xf numFmtId="0" fontId="67" fillId="0" borderId="0" xfId="0" applyFont="1" applyAlignment="1">
      <alignment vertical="center"/>
    </xf>
    <xf numFmtId="168" fontId="10" fillId="0" borderId="0" xfId="1" applyNumberFormat="1" applyFont="1" applyAlignment="1">
      <alignment vertical="center"/>
    </xf>
    <xf numFmtId="168" fontId="41" fillId="7" borderId="0" xfId="1" applyNumberFormat="1" applyFont="1" applyFill="1"/>
    <xf numFmtId="164" fontId="10" fillId="0" borderId="0" xfId="1" applyFont="1" applyFill="1" applyAlignment="1">
      <alignment vertical="center"/>
    </xf>
    <xf numFmtId="164" fontId="11" fillId="8" borderId="0" xfId="1" applyFont="1" applyFill="1" applyBorder="1" applyAlignment="1">
      <alignment vertical="center"/>
    </xf>
    <xf numFmtId="164" fontId="25" fillId="0" borderId="0" xfId="1" applyFont="1" applyAlignment="1">
      <alignment horizontal="left" vertical="center"/>
    </xf>
    <xf numFmtId="164" fontId="10" fillId="0" borderId="0" xfId="1" applyFont="1" applyAlignment="1">
      <alignment horizontal="left" vertical="center"/>
    </xf>
    <xf numFmtId="164" fontId="37" fillId="0" borderId="0" xfId="1" applyFont="1" applyFill="1"/>
    <xf numFmtId="164" fontId="26" fillId="0" borderId="0" xfId="1" applyFont="1" applyAlignment="1">
      <alignment horizontal="left" vertical="center"/>
    </xf>
    <xf numFmtId="164" fontId="56" fillId="0" borderId="0" xfId="1" applyFont="1" applyAlignment="1">
      <alignment vertical="center"/>
    </xf>
    <xf numFmtId="164" fontId="25" fillId="0" borderId="0" xfId="1" applyFont="1" applyAlignment="1">
      <alignment vertical="center"/>
    </xf>
    <xf numFmtId="164" fontId="25" fillId="8" borderId="0" xfId="1" applyFont="1" applyFill="1" applyAlignment="1">
      <alignment horizontal="left" vertical="center"/>
    </xf>
    <xf numFmtId="0" fontId="25" fillId="0" borderId="0" xfId="3" applyFont="1" applyAlignment="1">
      <alignment horizontal="left" vertical="center" wrapText="1"/>
    </xf>
    <xf numFmtId="164" fontId="25" fillId="0" borderId="0" xfId="0" applyNumberFormat="1" applyFont="1" applyAlignment="1">
      <alignment horizontal="left" vertical="center"/>
    </xf>
    <xf numFmtId="164" fontId="25" fillId="7" borderId="0" xfId="1" applyFont="1" applyFill="1" applyAlignment="1">
      <alignment horizontal="left" vertical="center"/>
    </xf>
    <xf numFmtId="164" fontId="25" fillId="7" borderId="0" xfId="1" applyFont="1" applyFill="1" applyBorder="1" applyAlignment="1">
      <alignment horizontal="left" vertical="center"/>
    </xf>
    <xf numFmtId="164" fontId="25" fillId="7" borderId="0" xfId="3" applyNumberFormat="1" applyFont="1" applyFill="1" applyAlignment="1">
      <alignment horizontal="left" vertical="center"/>
    </xf>
    <xf numFmtId="0" fontId="25" fillId="7" borderId="0" xfId="3" applyFont="1" applyFill="1" applyAlignment="1">
      <alignment horizontal="left" vertical="center" wrapText="1"/>
    </xf>
    <xf numFmtId="168" fontId="4" fillId="7" borderId="0" xfId="2" applyNumberFormat="1" applyFill="1" applyAlignment="1">
      <alignment horizontal="left" vertical="center"/>
    </xf>
    <xf numFmtId="168" fontId="25" fillId="7" borderId="0" xfId="1" applyNumberFormat="1" applyFont="1" applyFill="1" applyAlignment="1">
      <alignment horizontal="left" vertical="center"/>
    </xf>
    <xf numFmtId="3" fontId="73" fillId="0" borderId="0" xfId="0" applyNumberFormat="1" applyFont="1"/>
    <xf numFmtId="0" fontId="41" fillId="6" borderId="29" xfId="3" applyFont="1" applyFill="1" applyBorder="1" applyAlignment="1">
      <alignment horizontal="left" vertical="center" wrapText="1"/>
    </xf>
    <xf numFmtId="0" fontId="49" fillId="8" borderId="38" xfId="3" applyFont="1" applyFill="1" applyBorder="1" applyAlignment="1">
      <alignment vertical="center" wrapText="1"/>
    </xf>
    <xf numFmtId="165" fontId="49" fillId="8" borderId="28" xfId="1" applyNumberFormat="1" applyFont="1" applyFill="1" applyBorder="1" applyAlignment="1">
      <alignment vertical="center" wrapText="1"/>
    </xf>
    <xf numFmtId="171" fontId="49" fillId="8" borderId="28" xfId="1" applyNumberFormat="1" applyFont="1" applyFill="1" applyBorder="1" applyAlignment="1">
      <alignment vertical="center" wrapText="1"/>
    </xf>
    <xf numFmtId="164" fontId="49" fillId="8" borderId="28" xfId="1" applyFont="1" applyFill="1" applyBorder="1" applyAlignment="1">
      <alignment horizontal="right" vertical="center" wrapText="1"/>
    </xf>
    <xf numFmtId="0" fontId="41" fillId="6" borderId="28" xfId="3" applyFont="1" applyFill="1" applyBorder="1" applyAlignment="1">
      <alignment vertical="center"/>
    </xf>
    <xf numFmtId="0" fontId="62" fillId="6" borderId="29" xfId="3" applyFont="1" applyFill="1" applyBorder="1" applyAlignment="1">
      <alignment horizontal="left" vertical="center" wrapText="1"/>
    </xf>
    <xf numFmtId="14" fontId="10" fillId="8" borderId="0" xfId="3" applyNumberFormat="1" applyFont="1" applyFill="1" applyAlignment="1">
      <alignment horizontal="left" vertical="center"/>
    </xf>
    <xf numFmtId="0" fontId="28" fillId="2" borderId="4" xfId="2" applyFont="1" applyFill="1" applyBorder="1" applyAlignment="1">
      <alignment horizontal="center"/>
    </xf>
    <xf numFmtId="0" fontId="29" fillId="0" borderId="22"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Alignment="1">
      <alignment horizontal="left" vertical="center" wrapText="1" indent="2"/>
    </xf>
    <xf numFmtId="0" fontId="12" fillId="2" borderId="0" xfId="3" applyFont="1" applyFill="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4" xfId="3" applyFont="1" applyFill="1" applyBorder="1" applyAlignment="1">
      <alignment horizontal="left" vertical="center" wrapText="1"/>
    </xf>
    <xf numFmtId="0" fontId="26" fillId="4" borderId="0" xfId="3" applyFont="1" applyFill="1" applyAlignment="1">
      <alignment horizontal="left" vertical="center" wrapText="1"/>
    </xf>
    <xf numFmtId="0" fontId="26" fillId="4" borderId="32" xfId="3" applyFont="1" applyFill="1" applyBorder="1" applyAlignment="1">
      <alignment horizontal="left" vertical="center" wrapText="1"/>
    </xf>
    <xf numFmtId="0" fontId="26" fillId="4" borderId="23" xfId="3" applyFont="1" applyFill="1" applyBorder="1" applyAlignment="1">
      <alignment horizontal="left" vertical="center" wrapText="1"/>
    </xf>
    <xf numFmtId="0" fontId="15" fillId="5" borderId="0" xfId="2" applyFont="1" applyFill="1" applyBorder="1" applyAlignment="1">
      <alignment vertical="center"/>
    </xf>
    <xf numFmtId="0" fontId="14" fillId="5" borderId="0" xfId="3" applyFont="1" applyFill="1" applyAlignment="1">
      <alignment horizontal="left" vertical="center" wrapText="1" indent="3"/>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8" fillId="0" borderId="0" xfId="2" applyFont="1" applyFill="1" applyBorder="1" applyAlignment="1">
      <alignment horizontal="center" vertical="center"/>
    </xf>
    <xf numFmtId="0" fontId="41" fillId="6" borderId="28" xfId="3" applyFont="1" applyFill="1" applyBorder="1" applyAlignment="1">
      <alignment horizontal="left" vertical="center" wrapText="1"/>
    </xf>
    <xf numFmtId="0" fontId="41" fillId="6" borderId="29" xfId="3" applyFont="1" applyFill="1" applyBorder="1" applyAlignment="1">
      <alignment horizontal="left" vertical="center" wrapText="1"/>
    </xf>
    <xf numFmtId="0" fontId="28" fillId="2" borderId="20" xfId="2" applyFont="1" applyFill="1" applyBorder="1" applyAlignment="1">
      <alignment horizontal="center"/>
    </xf>
    <xf numFmtId="0" fontId="28" fillId="2" borderId="18" xfId="2" applyFont="1" applyFill="1" applyBorder="1" applyAlignment="1">
      <alignment horizontal="center"/>
    </xf>
    <xf numFmtId="0" fontId="21" fillId="2" borderId="0" xfId="2" applyFont="1" applyFill="1"/>
    <xf numFmtId="0" fontId="37" fillId="2" borderId="0" xfId="2" applyFont="1" applyFill="1"/>
    <xf numFmtId="0" fontId="16" fillId="5" borderId="24" xfId="2" applyFont="1" applyFill="1" applyBorder="1" applyAlignment="1">
      <alignment horizontal="center"/>
    </xf>
    <xf numFmtId="0" fontId="4" fillId="8" borderId="28" xfId="2" applyFill="1" applyBorder="1" applyAlignment="1">
      <alignment horizontal="left" vertical="center" wrapText="1"/>
    </xf>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Alignment="1">
      <alignment horizontal="left" vertical="center"/>
    </xf>
    <xf numFmtId="0" fontId="57" fillId="0" borderId="0" xfId="0" applyFont="1" applyAlignment="1">
      <alignment vertical="center"/>
    </xf>
    <xf numFmtId="0" fontId="16" fillId="5" borderId="24" xfId="2" applyFont="1" applyFill="1" applyBorder="1" applyAlignment="1">
      <alignment horizontal="center" vertical="center"/>
    </xf>
    <xf numFmtId="0" fontId="16" fillId="5" borderId="0" xfId="2" applyFont="1" applyFill="1" applyBorder="1" applyAlignment="1">
      <alignment horizontal="center" vertical="center"/>
    </xf>
    <xf numFmtId="0" fontId="16" fillId="5" borderId="25" xfId="2" applyFont="1" applyFill="1" applyBorder="1" applyAlignment="1">
      <alignment horizontal="center" vertical="center"/>
    </xf>
    <xf numFmtId="0" fontId="28" fillId="2" borderId="25" xfId="2" applyFont="1" applyFill="1" applyBorder="1" applyAlignment="1">
      <alignment horizontal="center" vertical="center"/>
    </xf>
    <xf numFmtId="0" fontId="24" fillId="5" borderId="0" xfId="0" applyFont="1" applyFill="1" applyAlignment="1">
      <alignmen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14" fillId="2" borderId="0" xfId="0" applyFont="1" applyFill="1" applyAlignment="1">
      <alignment horizontal="left" vertical="center" wrapText="1"/>
    </xf>
    <xf numFmtId="0" fontId="25" fillId="8" borderId="5" xfId="2" applyFont="1" applyFill="1" applyBorder="1" applyAlignment="1">
      <alignment horizontal="left" vertical="center" wrapText="1"/>
    </xf>
    <xf numFmtId="0" fontId="10" fillId="5" borderId="0" xfId="3" applyFont="1" applyFill="1" applyAlignment="1">
      <alignment horizontal="left" vertical="center" wrapText="1"/>
    </xf>
    <xf numFmtId="0" fontId="37" fillId="0" borderId="0" xfId="2" applyFont="1" applyFill="1" applyBorder="1" applyAlignment="1">
      <alignment horizontal="left" vertical="center" wrapText="1"/>
    </xf>
    <xf numFmtId="0" fontId="37" fillId="2" borderId="5" xfId="2" applyFont="1" applyFill="1" applyBorder="1" applyAlignment="1">
      <alignment horizontal="left" vertical="center" wrapText="1"/>
    </xf>
    <xf numFmtId="0" fontId="37" fillId="2" borderId="0" xfId="2" applyFont="1" applyFill="1" applyBorder="1" applyAlignment="1">
      <alignment horizontal="left" vertical="center" wrapText="1"/>
    </xf>
    <xf numFmtId="0" fontId="15" fillId="2" borderId="0" xfId="2" applyFont="1" applyFill="1" applyAlignment="1">
      <alignment vertical="center"/>
    </xf>
    <xf numFmtId="0" fontId="68" fillId="2" borderId="0" xfId="2" applyFont="1" applyFill="1" applyAlignment="1">
      <alignment vertical="center"/>
    </xf>
    <xf numFmtId="0" fontId="24" fillId="2" borderId="0" xfId="0" applyFont="1" applyFill="1" applyAlignment="1">
      <alignment vertical="center" wrapText="1"/>
    </xf>
    <xf numFmtId="0" fontId="37" fillId="2" borderId="0" xfId="2" applyFont="1" applyFill="1" applyAlignment="1">
      <alignment vertical="center"/>
    </xf>
    <xf numFmtId="0" fontId="28" fillId="2" borderId="25" xfId="2" applyFont="1" applyFill="1" applyBorder="1" applyAlignment="1">
      <alignment horizontal="center"/>
    </xf>
    <xf numFmtId="0" fontId="35" fillId="5" borderId="0" xfId="0" applyFont="1" applyFill="1" applyAlignment="1">
      <alignment vertical="center" wrapText="1"/>
    </xf>
    <xf numFmtId="0" fontId="25" fillId="2" borderId="0" xfId="0" applyFont="1" applyFill="1" applyAlignment="1">
      <alignment horizontal="left" vertical="center" wrapText="1" indent="2"/>
    </xf>
    <xf numFmtId="0" fontId="13" fillId="2" borderId="0" xfId="3" applyFont="1" applyFill="1" applyAlignment="1">
      <alignment vertical="center"/>
    </xf>
    <xf numFmtId="0" fontId="60" fillId="8" borderId="0" xfId="2" applyFont="1" applyFill="1" applyBorder="1" applyAlignment="1">
      <alignment horizontal="left" vertical="center" wrapText="1"/>
    </xf>
    <xf numFmtId="0" fontId="60" fillId="8" borderId="5" xfId="2" applyFont="1" applyFill="1" applyBorder="1" applyAlignment="1">
      <alignment horizontal="left" vertical="center" wrapText="1"/>
    </xf>
    <xf numFmtId="0" fontId="42" fillId="2" borderId="0" xfId="3" applyFont="1" applyFill="1" applyAlignment="1">
      <alignment horizontal="left" vertical="center"/>
    </xf>
  </cellXfs>
  <cellStyles count="7">
    <cellStyle name="Hyperlink 2" xfId="4" xr:uid="{00000000-0005-0000-0000-000001000000}"/>
    <cellStyle name="Lien hypertexte" xfId="2" builtinId="8"/>
    <cellStyle name="Milliers" xfId="1" builtinId="3"/>
    <cellStyle name="Normal" xfId="0" builtinId="0"/>
    <cellStyle name="Normal 2" xfId="3" xr:uid="{00000000-0005-0000-0000-000004000000}"/>
    <cellStyle name="Pourcentage" xfId="6" builtinId="5"/>
    <cellStyle name="Texte explicatif" xfId="5" builtinId="53"/>
  </cellStyles>
  <dxfs count="132">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168" formatCode="_ * #,##0_ ;_ * \-#,##0_ ;_ * &quot;-&quot;??_ ;_ @_ "/>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numFmt numFmtId="164" formatCode="_ * #,##0.00_ ;_ * \-#,##0.00_ ;_ * &quot;-&quot;??_ ;_ @_ "/>
      <alignment horizontal="general" vertical="center" textRotation="0" wrapText="0" indent="0" justifyLastLine="0" shrinkToFit="0" readingOrder="0"/>
    </dxf>
    <dxf>
      <font>
        <b val="0"/>
        <i val="0"/>
        <strike val="0"/>
        <condense val="0"/>
        <extend val="0"/>
        <outline val="0"/>
        <shadow val="0"/>
        <u val="none"/>
        <vertAlign val="baseline"/>
        <sz val="12"/>
        <color theme="1"/>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2"/>
        <color theme="1"/>
        <name val="Franklin Gothic Book"/>
        <family val="2"/>
        <scheme val="none"/>
      </font>
      <numFmt numFmtId="164" formatCode="_ * #,##0.00_ ;_ * \-#,##0.00_ ;_ * &quot;-&quot;??_ ;_ @_ "/>
      <alignment horizontal="general" vertical="center" textRotation="0" wrapText="0" indent="0" justifyLastLine="0" shrinkToFit="0" readingOrder="0"/>
    </dxf>
    <dxf>
      <font>
        <strike val="0"/>
        <outline val="0"/>
        <shadow val="0"/>
        <vertAlign val="baseline"/>
        <sz val="12"/>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Franklin Gothic Book"/>
        <family val="2"/>
        <scheme val="none"/>
      </font>
      <alignment horizontal="general" vertical="center" textRotation="0" wrapText="0" indent="0" justifyLastLine="0" shrinkToFit="0" readingOrder="0"/>
    </dxf>
    <dxf>
      <font>
        <i val="0"/>
        <strike val="0"/>
        <outline val="0"/>
        <shadow val="0"/>
        <vertAlign val="baseline"/>
        <sz val="12"/>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2"/>
        <color theme="1"/>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theme="1"/>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alignment vertical="center" textRotation="0" indent="0" justifyLastLine="0" shrinkToFit="0" readingOrder="0"/>
    </dxf>
    <dxf>
      <font>
        <b val="0"/>
        <i/>
        <strike val="0"/>
        <condense val="0"/>
        <extend val="0"/>
        <outline val="0"/>
        <shadow val="0"/>
        <u val="none"/>
        <vertAlign val="baseline"/>
        <sz val="12"/>
        <color theme="1"/>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alignment vertical="center" textRotation="0" wrapText="0" indent="0" justifyLastLine="0" shrinkToFit="0" readingOrder="0"/>
    </dxf>
    <dxf>
      <font>
        <b val="0"/>
        <i/>
        <strike val="0"/>
        <condense val="0"/>
        <extend val="0"/>
        <outline val="0"/>
        <shadow val="0"/>
        <u val="none"/>
        <vertAlign val="baseline"/>
        <sz val="12"/>
        <color rgb="FF7F7F7F"/>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2"/>
        <color rgb="FF7F7F7F"/>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2"/>
        <color rgb="FF7F7F7F"/>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2"/>
        <color rgb="FF7F7F7F"/>
        <name val="Franklin Gothic Book"/>
        <family val="2"/>
        <scheme val="none"/>
      </font>
      <alignment horizontal="general" vertical="center" textRotation="0" wrapText="0" indent="0" justifyLastLine="0" shrinkToFit="0" readingOrder="0"/>
    </dxf>
    <dxf>
      <font>
        <strike val="0"/>
        <outline val="0"/>
        <shadow val="0"/>
        <vertAlign val="baseline"/>
        <sz val="12"/>
        <name val="Franklin Gothic Book"/>
        <family val="2"/>
        <scheme val="none"/>
      </font>
      <numFmt numFmtId="0" formatCode="General"/>
      <alignment vertical="center" textRotation="0" indent="0" justifyLastLine="0" shrinkToFit="0" readingOrder="0"/>
    </dxf>
    <dxf>
      <font>
        <strike val="0"/>
        <outline val="0"/>
        <shadow val="0"/>
        <vertAlign val="baseline"/>
        <sz val="12"/>
        <name val="Franklin Gothic Book"/>
        <family val="2"/>
        <scheme val="none"/>
      </font>
      <alignment vertical="center" textRotation="0" indent="0" justifyLastLine="0" shrinkToFit="0" readingOrder="0"/>
    </dxf>
    <dxf>
      <font>
        <strike val="0"/>
        <outline val="0"/>
        <shadow val="0"/>
        <vertAlign val="baseline"/>
        <sz val="12"/>
        <name val="Franklin Gothic Book"/>
        <family val="2"/>
        <scheme val="none"/>
      </font>
      <alignment vertical="center" textRotation="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alignment horizontal="righ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i/>
        <strike val="0"/>
        <outline val="0"/>
        <shadow val="0"/>
        <vertAlign val="baseline"/>
        <sz val="12"/>
        <name val="Franklin Gothic Book"/>
        <family val="2"/>
        <scheme val="none"/>
      </font>
      <numFmt numFmtId="164" formatCode="_ * #,##0.00_ ;_ * \-#,##0.00_ ;_ * &quot;-&quot;??_ ;_ @_ "/>
      <fill>
        <patternFill patternType="solid">
          <fgColor indexed="64"/>
          <bgColor theme="0"/>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ill>
        <patternFill patternType="none">
          <fgColor indexed="64"/>
          <bgColor auto="1"/>
        </patternFill>
      </fill>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1E105F24-99F8-43C5-BDF9-D6A753A24FA2}"/>
    <tableStyle name="EITI Table 2" pivot="0" count="3" xr9:uid="{75225649-1FD3-452E-B344-3C5F7BA5401C}">
      <tableStyleElement type="headerRow" dxfId="131"/>
      <tableStyleElement type="firstRowStripe" dxfId="130"/>
      <tableStyleElement type="secondRowStripe" dxfId="129"/>
    </tableStyle>
    <tableStyle name="EITI Table 3" pivot="0" count="3" xr9:uid="{75225649-1FD3-452E-B344-3C5F7BA5401C}">
      <tableStyleElement type="headerRow" dxfId="128"/>
      <tableStyleElement type="firstRowStripe" dxfId="127"/>
      <tableStyleElement type="secondRowStripe" dxfId="126"/>
    </tableStyle>
  </tableStyles>
  <colors>
    <mruColors>
      <color rgb="FFF6A70A"/>
      <color rgb="FFF2F2F2"/>
      <color rgb="FF0076AF"/>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4</xdr:row>
      <xdr:rowOff>183252</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72143" y="1065553"/>
          <a:ext cx="13675178"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64583" y="0"/>
          <a:ext cx="13684250"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68941" y="0"/>
          <a:ext cx="15553765" cy="0"/>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9598479"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200025" y="0"/>
          <a:ext cx="24660225" cy="0"/>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9788</xdr:colOff>
      <xdr:row>70</xdr:row>
      <xdr:rowOff>81533</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177800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54</xdr:row>
      <xdr:rowOff>120650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69</xdr:row>
      <xdr:rowOff>304800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enerteamtn-my.sharepoint.com/personal/m_benmbarek_enerteam_tn/Documents/Bureau/S&#233;n&#233;gal%202022/S&#233;n&#233;gal%202022/Pr&#233;final/Final%20transmis%20-%2020-12-2023/Rapport%20ITIE-S&#233;n&#233;gal%202021%20-%20Annexes%20-%20Final%20-%2021-12-2022%20(Sign&#233;).xlsx?E1D30E5C" TargetMode="External"/><Relationship Id="rId1" Type="http://schemas.openxmlformats.org/officeDocument/2006/relationships/externalLinkPath" Target="file:///\\E1D30E5C\Rapport%20ITIE-S&#233;n&#233;gal%202021%20-%20Annexes%20-%20Final%20-%2021-12-2022%20(Sign&#2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Part 3 - Reporting entitie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exe 1"/>
      <sheetName val="Annexe 2"/>
      <sheetName val="Annexe 3"/>
      <sheetName val="Annexe 4"/>
      <sheetName val="Annexe 5"/>
      <sheetName val="Annexe 6"/>
      <sheetName val="Annexe 7"/>
      <sheetName val="Annexe 8"/>
      <sheetName val="Annexe 9"/>
      <sheetName val="Annexe 10"/>
      <sheetName val="Annexe 11"/>
      <sheetName val="Annexe 11-(1)"/>
      <sheetName val="Annexe 11-(2)"/>
      <sheetName val="Annexe 11-(3)"/>
      <sheetName val="Annexe 11-(4)"/>
      <sheetName val="Annexe 11-(5)"/>
      <sheetName val="Annexe 11-(6)"/>
      <sheetName val="Annexe 11-(7)"/>
      <sheetName val="Annexe 11-(8)"/>
      <sheetName val="Annexe 11-(9)"/>
      <sheetName val="Annexe 11-(10)"/>
      <sheetName val="Annexe 11-(11)"/>
      <sheetName val="Annexe 11-(12)"/>
      <sheetName val="Annexe 11-(13)"/>
      <sheetName val="Annexe 11-(14)"/>
      <sheetName val="Annexe 11-(15)"/>
      <sheetName val="Annexe 11-(16)"/>
      <sheetName val="Annexe 11-(17)"/>
      <sheetName val="Annexe 11-(18)"/>
      <sheetName val="Annexe 11-(19)"/>
      <sheetName val="Annexe 11-(20)"/>
      <sheetName val="Annexe 11-(21)"/>
      <sheetName val="Annexe 11-(22)"/>
      <sheetName val="Annexe 11-(23)"/>
      <sheetName val="Annexe 11-(24)"/>
      <sheetName val="Annexe 11-(25)"/>
      <sheetName val="Annexe 11-(26)"/>
      <sheetName val="Annexe 11-(27)"/>
      <sheetName val="Annexe 11-(28)"/>
      <sheetName val="Annexe 11-(29)"/>
      <sheetName val="Annexe 12"/>
      <sheetName val="Annexe 13"/>
      <sheetName val="Annexe 14"/>
      <sheetName val="Annexe 15"/>
      <sheetName val="Annexe 16"/>
      <sheetName val="Annexe 17"/>
      <sheetName val="Annexe 18"/>
      <sheetName val="Annexe 19"/>
      <sheetName val="Annexe 20"/>
      <sheetName val="Annexe 21"/>
      <sheetName val="Annexe 22"/>
      <sheetName val="Annexe 23"/>
      <sheetName val="Annexe 24"/>
      <sheetName val="Annexe 25"/>
      <sheetName val="Annexe 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Companies" displayName="Companies" ref="B36:J66" totalsRowCount="1" headerRowDxfId="125" dataDxfId="124" tableBorderDxfId="123" headerRowCellStyle="Normal 2">
  <autoFilter ref="B36:J65" xr:uid="{00000000-0009-0000-0100-000009000000}"/>
  <sortState xmlns:xlrd2="http://schemas.microsoft.com/office/spreadsheetml/2017/richdata2" ref="B37:J65">
    <sortCondition descending="1" ref="I36:I65"/>
  </sortState>
  <tableColumns count="9">
    <tableColumn id="1" xr3:uid="{00000000-0010-0000-0000-000001000000}" name="Nom complet de l’entreprise" dataDxfId="122" totalsRowDxfId="121"/>
    <tableColumn id="7" xr3:uid="{808AAC1E-1D33-4EC8-B148-4FFBA7D63DC5}" name="Type d'entreprise" dataDxfId="120" totalsRowDxfId="119" dataCellStyle="Normal 2"/>
    <tableColumn id="2" xr3:uid="{00000000-0010-0000-0000-000002000000}" name="Identifiant de l’entreprise" dataDxfId="118" totalsRowDxfId="117"/>
    <tableColumn id="5" xr3:uid="{00000000-0010-0000-0000-000005000000}" name="Secteur" dataDxfId="116" totalsRowDxfId="115" dataCellStyle="Normal 2"/>
    <tableColumn id="3" xr3:uid="{00000000-0010-0000-0000-000003000000}" name="Matières premières (séparation par virgule)" dataDxfId="114" totalsRowDxfId="113" dataCellStyle="Normal 2"/>
    <tableColumn id="4" xr3:uid="{00000000-0010-0000-0000-000004000000}" name="Cotation boursière ou site Internet d’entreprise " dataDxfId="112" totalsRowDxfId="111"/>
    <tableColumn id="8" xr3:uid="{22462830-EB9B-4EA7-8DF6-E0AD5C287116}" name="Rapport financier audité (si indisponible, bilan comptable ou flux de trésorerie…)" dataDxfId="110" totalsRowDxfId="109"/>
    <tableColumn id="6" xr3:uid="{00000000-0010-0000-0000-000006000000}" name="Rapport de paiements à l’État" dataDxfId="108" totalsRowDxfId="107" dataCellStyle="Milliers">
      <calculatedColumnFormula>SUMIF(Table10[Entreprise],Companies[[#This Row],[Nom complet de l’entreprise]],Table10[Valeur de revenus])</calculatedColumnFormula>
    </tableColumn>
    <tableColumn id="9" xr3:uid="{6201BC31-D90A-4C04-B7A2-C6CEEF8CBAD1}" name="Colonne1" dataDxfId="106" totalsRowDxfId="105" dataCellStyle="Normal 2"/>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Government_agencies" displayName="Government_agencies" ref="B20:E30" totalsRowCount="1" headerRowDxfId="104" dataDxfId="103" tableBorderDxfId="102" headerRowCellStyle="Normal 2">
  <tableColumns count="4">
    <tableColumn id="1" xr3:uid="{00000000-0010-0000-0100-000001000000}" name="Nom complet de l’entité" dataDxfId="101" totalsRowDxfId="100" dataCellStyle="Normal 2"/>
    <tableColumn id="4" xr3:uid="{A515A55C-F4BE-4632-9726-8C5991446E4D}" name="Type d'Agence" dataDxfId="99" totalsRowDxfId="98" dataCellStyle="Normal 2"/>
    <tableColumn id="2" xr3:uid="{00000000-0010-0000-0100-000002000000}" name="N° d’identifiant (le cas échéant)" dataDxfId="97" totalsRowDxfId="96"/>
    <tableColumn id="3" xr3:uid="{00000000-0010-0000-0100-000003000000}" name="Total déclaré" totalsRowFunction="sum" dataDxfId="95" totalsRowDxfId="94"/>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Companies15" displayName="Companies15" ref="B72:J108" totalsRowShown="0" headerRowDxfId="93" dataDxfId="92" tableBorderDxfId="91" headerRowCellStyle="Normal 2">
  <autoFilter ref="B72:J108" xr:uid="{00000000-000C-0000-FFFF-FFFF02000000}"/>
  <tableColumns count="9">
    <tableColumn id="1" xr3:uid="{00000000-0010-0000-0200-000001000000}" name="Nom complet du projet" dataDxfId="90"/>
    <tableColumn id="2" xr3:uid="{00000000-0010-0000-0200-000002000000}" name="Référence(s) de la convention juridique : contrat, licence, bail, concession,..." dataDxfId="89"/>
    <tableColumn id="3" xr3:uid="{00000000-0010-0000-0200-000003000000}" name="Sociétés associées, commencer par l’Opérateur" dataDxfId="88"/>
    <tableColumn id="5" xr3:uid="{00000000-0010-0000-0200-000005000000}" name="Matières premières (une matière/ligne)" dataDxfId="87" dataCellStyle="Normal 2"/>
    <tableColumn id="6" xr3:uid="{00000000-0010-0000-0200-000006000000}" name="Statut" dataDxfId="86"/>
    <tableColumn id="7" xr3:uid="{00000000-0010-0000-0200-000007000000}" name="Volume de production" dataDxfId="85"/>
    <tableColumn id="8" xr3:uid="{00000000-0010-0000-0200-000008000000}" name="Unité" dataDxfId="84"/>
    <tableColumn id="9" xr3:uid="{69ACE613-4186-4537-828E-9BCF9A056E9C}" name="Valeur de production" dataDxfId="83"/>
    <tableColumn id="10" xr3:uid="{34361E49-3DC3-4CE9-84F8-49A8DCDE718A}" name="Devise" dataDxfId="82" dataCellStyle="Milliers"/>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Government_revenues_table" displayName="Government_revenues_table" ref="B21:K96" totalsRowCount="1" headerRowDxfId="81" dataDxfId="80">
  <autoFilter ref="B21:K95" xr:uid="{00000000-000C-0000-FFFF-FFFF03000000}"/>
  <tableColumns count="10">
    <tableColumn id="8" xr3:uid="{00000000-0010-0000-0300-000008000000}" name="GFS Niveau 1" dataDxfId="79" totalsRowDxfId="78"/>
    <tableColumn id="9" xr3:uid="{00000000-0010-0000-0300-000009000000}" name="GFS Niveau 2" dataDxfId="77" totalsRowDxfId="76"/>
    <tableColumn id="10" xr3:uid="{00000000-0010-0000-0300-00000A000000}" name="GFS Niveau 3" dataDxfId="75" totalsRowDxfId="74"/>
    <tableColumn id="7" xr3:uid="{00000000-0010-0000-0300-000007000000}" name="GFS Niveau 4" dataDxfId="73" totalsRowDxfId="72"/>
    <tableColumn id="1" xr3:uid="{00000000-0010-0000-0300-000001000000}" name="Classification SFP" dataDxfId="71" totalsRowDxfId="70"/>
    <tableColumn id="11" xr3:uid="{00000000-0010-0000-0300-00000B000000}" name="Secteur" dataDxfId="69" totalsRowDxfId="68"/>
    <tableColumn id="3" xr3:uid="{00000000-0010-0000-0300-000003000000}" name="Nom du flux de revenus" dataDxfId="67" totalsRowDxfId="66"/>
    <tableColumn id="4" xr3:uid="{00000000-0010-0000-0300-000004000000}" name="Entité de l’État" dataDxfId="65" totalsRowDxfId="64"/>
    <tableColumn id="5" xr3:uid="{00000000-0010-0000-0300-000005000000}" name="Valeur des revenus" totalsRowFunction="sum" dataDxfId="63" totalsRowDxfId="62" dataCellStyle="Milliers">
      <calculatedColumnFormula>SUMIF('[2]Annexe 15'!$B:$B,Government_revenues_table[[#This Row],[Nom du flux de revenus]],'[2]Annexe 15'!$C:$C)</calculatedColumnFormula>
    </tableColumn>
    <tableColumn id="2" xr3:uid="{8F9EFD48-22AC-49D1-90C9-330FE689ED70}" name="Devise" dataDxfId="61" totalsRow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14:N399" totalsRowShown="0" headerRowDxfId="59" dataDxfId="58">
  <autoFilter ref="B14:N399" xr:uid="{00000000-000C-0000-FFFF-FFFF04000000}"/>
  <tableColumns count="13">
    <tableColumn id="7" xr3:uid="{00000000-0010-0000-0400-000007000000}" name="Secteur" dataDxfId="57"/>
    <tableColumn id="1" xr3:uid="{00000000-0010-0000-0400-000001000000}" name="Entreprise" dataDxfId="56"/>
    <tableColumn id="3" xr3:uid="{00000000-0010-0000-0400-000003000000}" name="Entité de l’État" dataDxfId="55"/>
    <tableColumn id="4" xr3:uid="{00000000-0010-0000-0400-000004000000}" name="Nom du paiement" dataDxfId="54"/>
    <tableColumn id="5" xr3:uid="{00000000-0010-0000-0400-000005000000}" name="Perçu par projet (O/N)" dataDxfId="53"/>
    <tableColumn id="6" xr3:uid="{00000000-0010-0000-0400-000006000000}" name="Déclaré par projet (O/N)" dataDxfId="52"/>
    <tableColumn id="2" xr3:uid="{00000000-0010-0000-0400-000002000000}" name="Nom du projet" dataDxfId="51"/>
    <tableColumn id="13" xr3:uid="{00000000-0010-0000-0400-00000D000000}" name="Devise de déclaration" dataDxfId="50"/>
    <tableColumn id="14" xr3:uid="{00000000-0010-0000-0400-00000E000000}" name="Valeur de revenus" dataDxfId="49"/>
    <tableColumn id="18" xr3:uid="{00000000-0010-0000-0400-000012000000}" name="Paiement effectué en nature?" dataDxfId="48"/>
    <tableColumn id="8" xr3:uid="{4EDA321B-D206-45BE-AA21-450873EED28F}" name="Volume en nature (si applicable)" dataDxfId="47"/>
    <tableColumn id="9" xr3:uid="{7C32B81E-95F3-4AFA-A063-B66F8C1C5A0B}" name="Unité (si applicable)" dataDxfId="46"/>
    <tableColumn id="11" xr3:uid="{F3B0EE0C-7585-4B02-A792-5C92BFE24FBA}" name="Commentaire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00000000-0010-0000-0500-000001000000}" name="Nom de pays ou région" dataDxfId="42"/>
    <tableColumn id="2" xr3:uid="{00000000-0010-0000-0500-000002000000}" name="Code ISO de pays (alpha 2)" dataDxfId="41"/>
    <tableColumn id="3" xr3:uid="{00000000-0010-0000-0500-000003000000}" name="Code ISO de devise (alpha 3)" dataDxfId="40"/>
    <tableColumn id="4" xr3:uid="{00000000-0010-0000-0500-000004000000}" name="Code numérique ISO (UN M49)" dataDxfId="39"/>
    <tableColumn id="5" xr3:uid="{00000000-0010-0000-0500-000005000000}" name="Code de devise (ISO 4217)" dataDxfId="38"/>
    <tableColumn id="6" xr3:uid="{00000000-0010-0000-0500-000006000000}" name="Code numérique de devise (ISO 4217)" dataDxfId="37"/>
    <tableColumn id="7" xr3:uid="{00000000-0010-0000-0500-00000700000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_Simple_options" displayName="Table2_Simple_options" ref="I2:I7" totalsRowShown="0" headerRowDxfId="35" dataDxfId="34">
  <autoFilter ref="I2:I7" xr:uid="{00000000-0009-0000-0100-000002000000}"/>
  <tableColumns count="1">
    <tableColumn id="1" xr3:uid="{00000000-0010-0000-0600-000001000000}"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_Currency_code_list" displayName="Table4_Currency_code_list" ref="I10:K168" totalsRowShown="0" headerRowDxfId="32" dataDxfId="30" headerRowBorderDxfId="31" tableBorderDxfId="29">
  <autoFilter ref="I10:K168" xr:uid="{00000000-0009-0000-0100-000004000000}"/>
  <tableColumns count="3">
    <tableColumn id="1" xr3:uid="{00000000-0010-0000-0700-000001000000}" name="Code de devise (ISO 4217)" dataDxfId="28"/>
    <tableColumn id="2" xr3:uid="{00000000-0010-0000-0700-000002000000}" name="Code numérique de devise (ISO 4217)" dataDxfId="27"/>
    <tableColumn id="3" xr3:uid="{00000000-0010-0000-0700-000003000000}"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_Reporting_options" displayName="Table3_Reporting_options" ref="K2:K7" totalsRowShown="0" headerRowDxfId="25" dataDxfId="24">
  <autoFilter ref="K2:K7" xr:uid="{00000000-0009-0000-0100-000003000000}"/>
  <tableColumns count="1">
    <tableColumn id="1" xr3:uid="{00000000-0010-0000-0800-000001000000}"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2" dataDxfId="21">
  <autoFilter ref="S2:Y30" xr:uid="{00000000-0009-0000-0100-000007000000}"/>
  <tableColumns count="7">
    <tableColumn id="4" xr3:uid="{00000000-0010-0000-0A00-000004000000}" name="Combiné" dataDxfId="20"/>
    <tableColumn id="1" xr3:uid="{00000000-0010-0000-0A00-000001000000}" name="Codes GFS des flux de revenus issus des entreprises extractives" dataDxfId="19"/>
    <tableColumn id="2" xr3:uid="{00000000-0010-0000-0A00-000002000000}" name="Code GFS" dataDxfId="18"/>
    <tableColumn id="5" xr3:uid="{00000000-0010-0000-0A00-000005000000}" name="GFS Niveau 1" dataDxfId="17"/>
    <tableColumn id="6" xr3:uid="{00000000-0010-0000-0A00-000006000000}" name="GFS Niveau 2" dataDxfId="16"/>
    <tableColumn id="7" xr3:uid="{00000000-0010-0000-0A00-000007000000}" name="GFS Niveau 3" dataDxfId="15"/>
    <tableColumn id="8" xr3:uid="{00000000-0010-0000-0A00-00000800000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3" dataDxfId="12">
  <autoFilter ref="AA2:AA9" xr:uid="{00000000-0009-0000-0100-000008000000}"/>
  <tableColumns count="1">
    <tableColumn id="1" xr3:uid="{00000000-0010-0000-0B00-00000100000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0" dataDxfId="9">
  <autoFilter ref="AC2:AC8" xr:uid="{00000000-0009-0000-0100-00000C000000}"/>
  <tableColumns count="1">
    <tableColumn id="1" xr3:uid="{00000000-0010-0000-0C00-000001000000}"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D3455F-4958-4C88-AAD7-2B3E95C9C1C1}" name="Table15" displayName="Table15" ref="AE2:AE7" totalsRowShown="0" headerRowDxfId="7" dataDxfId="6">
  <autoFilter ref="AE2:AE7" xr:uid="{CD58DBE6-DBB8-4355-BE05-6A7896FEE10E}"/>
  <tableColumns count="1">
    <tableColumn id="1" xr3:uid="{6A3BD155-D04E-45FA-B3C6-8D7C66767FAA}"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Table5_Commodities_list" displayName="Table5_Commodities_list" ref="N2:P74" totalsRowShown="0" headerRowDxfId="4" dataDxfId="3">
  <autoFilter ref="N2:P74" xr:uid="{00000000-0009-0000-0100-000005000000}"/>
  <tableColumns count="3">
    <tableColumn id="1" xr3:uid="{00000000-0010-0000-0900-000001000000}" name="Code de produit HS" dataDxfId="2"/>
    <tableColumn id="4" xr3:uid="{3E801F50-2500-42BD-BE8A-30F558C882A2}" name="Description de produit HS" dataDxfId="1"/>
    <tableColumn id="3" xr3:uid="{00000000-0010-0000-0900-00000300000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https://donnees.itie.sn/dashboard/" TargetMode="External"/><Relationship Id="rId18" Type="http://schemas.openxmlformats.org/officeDocument/2006/relationships/drawing" Target="../drawings/drawing2.xm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itie.sn/rapport-itie-2022/" TargetMode="External"/><Relationship Id="rId17" Type="http://schemas.openxmlformats.org/officeDocument/2006/relationships/printerSettings" Target="../printerSettings/printerSettings2.bin"/><Relationship Id="rId2" Type="http://schemas.openxmlformats.org/officeDocument/2006/relationships/hyperlink" Target="mailto:data@eiti.org" TargetMode="External"/><Relationship Id="rId16" Type="http://schemas.openxmlformats.org/officeDocument/2006/relationships/hyperlink" Target="mailto:itie.sn@enerteam.tn" TargetMode="External"/><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hyperlink" Target="https://donnees.itie.sn/dashboard/"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itie.sn/rapport-itie-202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itie.sn/contrats-miniers/"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drawing" Target="../drawings/drawing3.xm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s://itie.sn/entreprises-detat/" TargetMode="External"/><Relationship Id="rId40" Type="http://schemas.openxmlformats.org/officeDocument/2006/relationships/printerSettings" Target="../printerSettings/printerSettings3.bin"/><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cadastreminiersenegal.sn/FR/"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cadastrepetrolier.sec.gouv.sn/" TargetMode="Externa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s://www.sec.gouv.sn/publications/lois-et-reglements/code-de-lenvironn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p.com/" TargetMode="External"/><Relationship Id="rId13" Type="http://schemas.openxmlformats.org/officeDocument/2006/relationships/hyperlink" Target="https://www.endeavourmining.com/investors/institutional-ownership%20https:/www.londonstockexchange.com/stock/EDV/endeavour-mining-plc/analysis" TargetMode="External"/><Relationship Id="rId18" Type="http://schemas.openxmlformats.org/officeDocument/2006/relationships/hyperlink" Target="https://www.iamgold.com/French/exploitations/projets-de-developpement/Projet-Boto-Sngal/default.aspx" TargetMode="External"/><Relationship Id="rId26" Type="http://schemas.openxmlformats.org/officeDocument/2006/relationships/table" Target="../tables/table3.xml"/><Relationship Id="rId3" Type="http://schemas.openxmlformats.org/officeDocument/2006/relationships/hyperlink" Target="https://eiti.org/fr/pays" TargetMode="External"/><Relationship Id="rId21" Type="http://schemas.openxmlformats.org/officeDocument/2006/relationships/hyperlink" Target="https://www.woodside.com.au/fr/what-we-do/international-exploration-developments-and-marketing/s%c3%a9n%c3%a9gal" TargetMode="External"/><Relationship Id="rId7" Type="http://schemas.openxmlformats.org/officeDocument/2006/relationships/hyperlink" Target="https://www.total.sn/" TargetMode="External"/><Relationship Id="rId12" Type="http://schemas.openxmlformats.org/officeDocument/2006/relationships/hyperlink" Target="https://www.endeavourmining.com/investors/institutional-ownership%20https:/www.londonstockexchange.com/stock/EDV/endeavour-mining-plc/analysis" TargetMode="External"/><Relationship Id="rId17" Type="http://schemas.openxmlformats.org/officeDocument/2006/relationships/hyperlink" Target="https://www.rml.com.au/" TargetMode="External"/><Relationship Id="rId25" Type="http://schemas.openxmlformats.org/officeDocument/2006/relationships/table" Target="../tables/table2.xml"/><Relationship Id="rId2" Type="http://schemas.openxmlformats.org/officeDocument/2006/relationships/hyperlink" Target="https://eiti.org/fr/document/modele-donnees-resumees-itie" TargetMode="External"/><Relationship Id="rId16" Type="http://schemas.openxmlformats.org/officeDocument/2006/relationships/hyperlink" Target="https://www.dangotecement.com/operations/senegal/" TargetMode="External"/><Relationship Id="rId20" Type="http://schemas.openxmlformats.org/officeDocument/2006/relationships/hyperlink" Target="https://www.gecamines.cd/" TargetMode="External"/><Relationship Id="rId1" Type="http://schemas.openxmlformats.org/officeDocument/2006/relationships/hyperlink" Target="mailto:data@eiti.org" TargetMode="External"/><Relationship Id="rId6" Type="http://schemas.openxmlformats.org/officeDocument/2006/relationships/hyperlink" Target="https://www.kosmosenergy.com/senegal/" TargetMode="External"/><Relationship Id="rId11" Type="http://schemas.openxmlformats.org/officeDocument/2006/relationships/hyperlink" Target="http://www.sococim.com/SOCOCIM-INDUSTRIES" TargetMode="External"/><Relationship Id="rId24" Type="http://schemas.openxmlformats.org/officeDocument/2006/relationships/table" Target="../tables/table1.xml"/><Relationship Id="rId5" Type="http://schemas.openxmlformats.org/officeDocument/2006/relationships/hyperlink" Target="http://www.petrosen.sn/" TargetMode="External"/><Relationship Id="rId15" Type="http://schemas.openxmlformats.org/officeDocument/2006/relationships/hyperlink" Target="http://www.ics.sn/" TargetMode="External"/><Relationship Id="rId23" Type="http://schemas.openxmlformats.org/officeDocument/2006/relationships/drawing" Target="../drawings/drawing4.xml"/><Relationship Id="rId10" Type="http://schemas.openxmlformats.org/officeDocument/2006/relationships/hyperlink" Target="http://www.miferso.sn/" TargetMode="External"/><Relationship Id="rId19" Type="http://schemas.openxmlformats.org/officeDocument/2006/relationships/hyperlink" Target="https://www.africainvestmentgroup.co.uk/" TargetMode="External"/><Relationship Id="rId4" Type="http://schemas.openxmlformats.org/officeDocument/2006/relationships/hyperlink" Target="mailto:data@eiti.org" TargetMode="External"/><Relationship Id="rId9" Type="http://schemas.openxmlformats.org/officeDocument/2006/relationships/hyperlink" Target="https://atlas-oranto.com/portfolio/senegal/" TargetMode="External"/><Relationship Id="rId14" Type="http://schemas.openxmlformats.org/officeDocument/2006/relationships/hyperlink" Target="https://gco.eramet.com/" TargetMode="Externa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iti.org/fr/document/exigences-norme-itie-2016" TargetMode="Externa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5" Type="http://schemas.openxmlformats.org/officeDocument/2006/relationships/table" Target="../tables/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B1:O122"/>
  <sheetViews>
    <sheetView showGridLines="0" topLeftCell="A5" zoomScale="70" zoomScaleNormal="70" workbookViewId="0">
      <selection activeCell="N9" sqref="N9"/>
    </sheetView>
  </sheetViews>
  <sheetFormatPr baseColWidth="10" defaultColWidth="4" defaultRowHeight="24" customHeight="1"/>
  <cols>
    <col min="1" max="1" width="4" style="12"/>
    <col min="2" max="2" width="4" style="12" hidden="1" customWidth="1"/>
    <col min="3" max="3" width="76.5703125" style="12" customWidth="1"/>
    <col min="4" max="4" width="2.7109375" style="12" customWidth="1"/>
    <col min="5" max="5" width="61.7109375" style="12" customWidth="1"/>
    <col min="6" max="6" width="13.5703125" style="12" bestFit="1" customWidth="1"/>
    <col min="7" max="7" width="50.5703125" style="12" customWidth="1"/>
    <col min="8" max="14" width="4" style="12"/>
    <col min="15" max="15" width="42" style="12" bestFit="1" customWidth="1"/>
    <col min="16" max="16384" width="4" style="12"/>
  </cols>
  <sheetData>
    <row r="1" spans="3:7" ht="15.75" customHeight="1"/>
    <row r="2" spans="3:7" ht="16.5"/>
    <row r="3" spans="3:7" ht="16.5">
      <c r="E3" s="13"/>
      <c r="G3" s="13"/>
    </row>
    <row r="4" spans="3:7" ht="16.5">
      <c r="E4" s="13" t="s">
        <v>2136</v>
      </c>
      <c r="F4" s="355">
        <v>45293</v>
      </c>
      <c r="G4" s="271"/>
    </row>
    <row r="5" spans="3:7" ht="16.5"/>
    <row r="6" spans="3:7" ht="27" customHeight="1"/>
    <row r="7" spans="3:7" ht="0.4" customHeight="1"/>
    <row r="8" spans="3:7" ht="19.899999999999999" customHeight="1"/>
    <row r="9" spans="3:7" ht="16.5">
      <c r="C9" s="14"/>
      <c r="D9" s="15"/>
      <c r="E9" s="15"/>
      <c r="F9" s="16"/>
      <c r="G9" s="16"/>
    </row>
    <row r="10" spans="3:7">
      <c r="C10" s="17" t="s">
        <v>2137</v>
      </c>
      <c r="D10" s="18"/>
      <c r="E10" s="18"/>
      <c r="F10" s="16"/>
      <c r="G10" s="16"/>
    </row>
    <row r="11" spans="3:7" ht="16.5">
      <c r="C11" s="19" t="s">
        <v>2368</v>
      </c>
      <c r="D11" s="20"/>
      <c r="E11" s="20"/>
      <c r="F11" s="16"/>
      <c r="G11" s="16"/>
    </row>
    <row r="12" spans="3:7" ht="16.5">
      <c r="C12" s="14"/>
      <c r="D12" s="15"/>
      <c r="E12" s="15"/>
      <c r="F12" s="16"/>
      <c r="G12" s="16"/>
    </row>
    <row r="13" spans="3:7" ht="16.5">
      <c r="C13" s="21" t="s">
        <v>2524</v>
      </c>
      <c r="D13" s="15"/>
      <c r="E13" s="15"/>
      <c r="F13" s="16"/>
      <c r="G13" s="16"/>
    </row>
    <row r="14" spans="3:7" ht="16.5">
      <c r="C14" s="360" t="s">
        <v>2138</v>
      </c>
      <c r="D14" s="360"/>
      <c r="E14" s="360"/>
      <c r="F14" s="16"/>
      <c r="G14" s="16"/>
    </row>
    <row r="15" spans="3:7" ht="16.5">
      <c r="C15" s="22"/>
      <c r="D15" s="22"/>
      <c r="E15" s="22"/>
      <c r="F15" s="16"/>
      <c r="G15" s="16"/>
    </row>
    <row r="16" spans="3:7" ht="16.5">
      <c r="C16" s="23" t="s">
        <v>2139</v>
      </c>
      <c r="D16" s="24"/>
      <c r="E16" s="24"/>
      <c r="F16" s="16"/>
      <c r="G16" s="16"/>
    </row>
    <row r="17" spans="3:7" ht="16.5">
      <c r="C17" s="25" t="s">
        <v>2140</v>
      </c>
      <c r="D17" s="24"/>
      <c r="E17" s="24"/>
      <c r="F17" s="16"/>
      <c r="G17" s="16"/>
    </row>
    <row r="18" spans="3:7" ht="16.5">
      <c r="C18" s="25" t="s">
        <v>2141</v>
      </c>
      <c r="D18" s="24"/>
      <c r="E18" s="24"/>
      <c r="F18" s="16"/>
      <c r="G18" s="16"/>
    </row>
    <row r="19" spans="3:7" ht="16.5">
      <c r="C19" s="368" t="s">
        <v>2142</v>
      </c>
      <c r="D19" s="368"/>
      <c r="E19" s="368"/>
      <c r="F19" s="16"/>
      <c r="G19" s="16"/>
    </row>
    <row r="20" spans="3:7" ht="32.1" customHeight="1">
      <c r="C20" s="359" t="s">
        <v>2143</v>
      </c>
      <c r="D20" s="359"/>
      <c r="E20" s="359"/>
      <c r="F20" s="16"/>
      <c r="G20" s="16"/>
    </row>
    <row r="21" spans="3:7" ht="16.5">
      <c r="C21" s="24"/>
      <c r="D21" s="24"/>
      <c r="E21" s="24"/>
      <c r="F21" s="16"/>
      <c r="G21" s="16"/>
    </row>
    <row r="22" spans="3:7" ht="16.5">
      <c r="C22" s="26" t="s">
        <v>2144</v>
      </c>
      <c r="D22" s="27"/>
      <c r="E22" s="27"/>
      <c r="F22" s="16"/>
      <c r="G22" s="16"/>
    </row>
    <row r="23" spans="3:7" ht="16.5">
      <c r="C23" s="27"/>
      <c r="D23" s="27"/>
      <c r="E23" s="27"/>
      <c r="F23" s="16"/>
      <c r="G23" s="16"/>
    </row>
    <row r="24" spans="3:7" ht="16.5">
      <c r="C24" s="28"/>
      <c r="D24" s="18"/>
      <c r="E24" s="18"/>
      <c r="F24" s="16"/>
      <c r="G24" s="16"/>
    </row>
    <row r="25" spans="3:7" ht="16.5">
      <c r="C25" s="29" t="s">
        <v>2145</v>
      </c>
      <c r="D25" s="18"/>
      <c r="E25" s="18"/>
      <c r="F25" s="16"/>
      <c r="G25" s="16"/>
    </row>
    <row r="26" spans="3:7" ht="16.5">
      <c r="C26" s="30"/>
      <c r="D26" s="18"/>
      <c r="E26" s="18"/>
      <c r="F26" s="16"/>
      <c r="G26" s="16"/>
    </row>
    <row r="27" spans="3:7" ht="16.5">
      <c r="C27" s="31" t="s">
        <v>2146</v>
      </c>
      <c r="D27" s="18"/>
      <c r="E27" s="18"/>
      <c r="F27" s="16"/>
      <c r="G27" s="16"/>
    </row>
    <row r="28" spans="3:7" ht="16.5">
      <c r="C28" s="31" t="s">
        <v>2147</v>
      </c>
      <c r="D28" s="18"/>
      <c r="E28" s="18"/>
      <c r="F28" s="16"/>
      <c r="G28" s="16"/>
    </row>
    <row r="29" spans="3:7" ht="16.5">
      <c r="C29" s="31" t="s">
        <v>2148</v>
      </c>
      <c r="D29" s="18"/>
      <c r="E29" s="18"/>
      <c r="F29" s="16"/>
      <c r="G29" s="16"/>
    </row>
    <row r="30" spans="3:7" ht="16.5">
      <c r="C30" s="31" t="s">
        <v>2149</v>
      </c>
      <c r="D30" s="18"/>
      <c r="E30" s="18"/>
      <c r="F30" s="16"/>
      <c r="G30" s="16"/>
    </row>
    <row r="31" spans="3:7" ht="16.5">
      <c r="C31" s="31" t="s">
        <v>2150</v>
      </c>
      <c r="D31" s="18"/>
      <c r="E31" s="18"/>
      <c r="F31" s="16"/>
      <c r="G31" s="16"/>
    </row>
    <row r="32" spans="3:7" ht="16.5">
      <c r="C32" s="28"/>
      <c r="D32" s="28"/>
      <c r="E32" s="28"/>
      <c r="F32" s="16"/>
      <c r="G32" s="16"/>
    </row>
    <row r="33" spans="3:7" ht="16.5">
      <c r="C33" s="361" t="s">
        <v>2062</v>
      </c>
      <c r="D33" s="361"/>
      <c r="E33" s="32" t="s">
        <v>2104</v>
      </c>
      <c r="F33" s="16"/>
      <c r="G33" s="16"/>
    </row>
    <row r="34" spans="3:7" s="33" customFormat="1" ht="16.5">
      <c r="C34" s="34"/>
      <c r="D34" s="34"/>
      <c r="E34" s="35"/>
    </row>
    <row r="35" spans="3:7" s="36" customFormat="1" ht="33">
      <c r="C35" s="232" t="s">
        <v>2369</v>
      </c>
      <c r="E35" s="37" t="s">
        <v>2151</v>
      </c>
      <c r="G35" s="38" t="s">
        <v>2152</v>
      </c>
    </row>
    <row r="36" spans="3:7" s="33" customFormat="1" ht="16.5">
      <c r="C36" s="39"/>
      <c r="E36" s="39"/>
      <c r="G36" s="39"/>
    </row>
    <row r="37" spans="3:7" ht="16.5">
      <c r="C37" s="23" t="s">
        <v>2063</v>
      </c>
      <c r="D37" s="28"/>
      <c r="E37" s="40"/>
      <c r="F37" s="16"/>
      <c r="G37" s="16"/>
    </row>
    <row r="38" spans="3:7" ht="16.5">
      <c r="C38" s="41"/>
      <c r="D38" s="41"/>
      <c r="E38" s="42"/>
    </row>
    <row r="40" spans="3:7" ht="15.6" customHeight="1">
      <c r="C40" s="43" t="s">
        <v>2153</v>
      </c>
      <c r="D40" s="44"/>
      <c r="E40" s="45" t="s">
        <v>2154</v>
      </c>
      <c r="F40" s="46"/>
      <c r="G40" s="47"/>
    </row>
    <row r="41" spans="3:7" ht="43.5" customHeight="1">
      <c r="C41" s="48" t="s">
        <v>2155</v>
      </c>
      <c r="D41" s="44"/>
      <c r="E41" s="49" t="s">
        <v>2156</v>
      </c>
      <c r="F41" s="50"/>
      <c r="G41" s="51"/>
    </row>
    <row r="42" spans="3:7" ht="45" customHeight="1">
      <c r="C42" s="48" t="s">
        <v>2157</v>
      </c>
      <c r="D42" s="44"/>
      <c r="E42" s="364" t="s">
        <v>2158</v>
      </c>
      <c r="F42" s="365"/>
      <c r="G42" s="51"/>
    </row>
    <row r="43" spans="3:7" ht="30" customHeight="1">
      <c r="C43" s="48" t="s">
        <v>2159</v>
      </c>
      <c r="D43" s="44"/>
      <c r="E43" s="49" t="s">
        <v>2160</v>
      </c>
      <c r="F43" s="50"/>
      <c r="G43" s="51"/>
    </row>
    <row r="44" spans="3:7" ht="48" customHeight="1">
      <c r="C44" s="52" t="s">
        <v>2161</v>
      </c>
      <c r="D44" s="44"/>
      <c r="E44" s="366" t="s">
        <v>2162</v>
      </c>
      <c r="F44" s="367"/>
      <c r="G44" s="53"/>
    </row>
    <row r="45" spans="3:7" ht="9" customHeight="1"/>
    <row r="46" spans="3:7" ht="17.25" customHeight="1" thickBot="1">
      <c r="C46" s="362" t="s">
        <v>2163</v>
      </c>
      <c r="D46" s="362"/>
      <c r="E46" s="362"/>
      <c r="F46" s="362"/>
      <c r="G46" s="362"/>
    </row>
    <row r="47" spans="3:7" ht="24" customHeight="1" thickBot="1">
      <c r="C47" s="363" t="s">
        <v>2164</v>
      </c>
      <c r="D47" s="363"/>
      <c r="E47" s="363"/>
      <c r="F47" s="363"/>
      <c r="G47" s="363"/>
    </row>
    <row r="48" spans="3:7" ht="19.5" customHeight="1" thickBot="1">
      <c r="C48" s="362" t="s">
        <v>2165</v>
      </c>
      <c r="D48" s="362"/>
      <c r="E48" s="362"/>
      <c r="F48" s="362"/>
      <c r="G48" s="362"/>
    </row>
    <row r="49" spans="2:15" ht="18.75" customHeight="1" thickBot="1">
      <c r="C49" s="356" t="s">
        <v>2166</v>
      </c>
      <c r="D49" s="356"/>
      <c r="E49" s="356"/>
      <c r="F49" s="356"/>
      <c r="G49" s="356"/>
    </row>
    <row r="50" spans="2:15" ht="17.25" thickBot="1">
      <c r="C50" s="54"/>
      <c r="D50" s="54"/>
      <c r="E50" s="54"/>
      <c r="F50" s="54"/>
      <c r="G50" s="55"/>
    </row>
    <row r="51" spans="2:15" ht="18.75" customHeight="1">
      <c r="C51" s="357" t="s">
        <v>2167</v>
      </c>
      <c r="D51" s="357"/>
      <c r="E51" s="357"/>
    </row>
    <row r="52" spans="2:15" ht="16.5">
      <c r="C52" s="358" t="s">
        <v>2367</v>
      </c>
      <c r="D52" s="358"/>
      <c r="E52" s="358"/>
    </row>
    <row r="53" spans="2:15" ht="16.5">
      <c r="B53" s="56" t="s">
        <v>2168</v>
      </c>
      <c r="C53" s="57"/>
      <c r="D53" s="56"/>
      <c r="E53" s="58"/>
      <c r="F53" s="56"/>
      <c r="G53" s="56"/>
    </row>
    <row r="54" spans="2:15" ht="16.5">
      <c r="B54" s="59"/>
      <c r="C54" s="59"/>
      <c r="E54" s="60"/>
      <c r="G54" s="60"/>
    </row>
    <row r="55" spans="2:15" s="56" customFormat="1" ht="16.5">
      <c r="B55" s="56" t="s">
        <v>2169</v>
      </c>
      <c r="C55" s="61"/>
      <c r="E55" s="62"/>
    </row>
    <row r="56" spans="2:15" s="56" customFormat="1" ht="16.5">
      <c r="B56" s="56" t="s">
        <v>2169</v>
      </c>
      <c r="C56" s="61"/>
      <c r="E56" s="62"/>
    </row>
    <row r="57" spans="2:15" ht="15" customHeight="1">
      <c r="B57" s="59"/>
      <c r="C57" s="59"/>
      <c r="E57" s="60"/>
      <c r="G57" s="60"/>
    </row>
    <row r="58" spans="2:15" ht="16.5">
      <c r="B58" s="56" t="s">
        <v>2170</v>
      </c>
      <c r="C58" s="63"/>
      <c r="D58" s="56"/>
      <c r="E58" s="58"/>
      <c r="F58" s="56"/>
      <c r="G58" s="56"/>
      <c r="O58" s="56"/>
    </row>
    <row r="59" spans="2:15" s="56" customFormat="1" ht="16.5">
      <c r="B59" s="56" t="s">
        <v>2170</v>
      </c>
      <c r="C59" s="61"/>
      <c r="E59" s="58"/>
    </row>
    <row r="60" spans="2:15" ht="16.5">
      <c r="B60" s="56" t="s">
        <v>2170</v>
      </c>
      <c r="C60" s="61"/>
      <c r="D60" s="56"/>
      <c r="E60" s="62"/>
      <c r="F60" s="56"/>
      <c r="G60" s="56"/>
    </row>
    <row r="61" spans="2:15" s="56" customFormat="1" ht="16.5">
      <c r="B61" s="56" t="s">
        <v>2170</v>
      </c>
      <c r="C61" s="61"/>
      <c r="E61" s="58"/>
      <c r="G61" s="64"/>
    </row>
    <row r="62" spans="2:15" ht="16.5">
      <c r="B62" s="56" t="s">
        <v>2170</v>
      </c>
      <c r="C62" s="63"/>
      <c r="D62" s="56"/>
      <c r="E62" s="58"/>
      <c r="F62" s="56"/>
      <c r="G62" s="56"/>
    </row>
    <row r="63" spans="2:15" ht="16.5">
      <c r="B63" s="56" t="s">
        <v>2170</v>
      </c>
      <c r="C63" s="61"/>
      <c r="D63" s="56"/>
      <c r="E63" s="62"/>
      <c r="F63" s="56"/>
      <c r="G63" s="56"/>
    </row>
    <row r="64" spans="2:15" s="56" customFormat="1" ht="16.5">
      <c r="B64" s="56" t="s">
        <v>2170</v>
      </c>
      <c r="C64" s="61"/>
      <c r="E64" s="58"/>
      <c r="G64" s="64"/>
    </row>
    <row r="65" spans="2:7" ht="16.5">
      <c r="B65" s="56" t="s">
        <v>2170</v>
      </c>
      <c r="C65" s="63"/>
      <c r="D65" s="56"/>
      <c r="E65" s="58"/>
      <c r="F65" s="56"/>
      <c r="G65" s="56"/>
    </row>
    <row r="66" spans="2:7" s="56" customFormat="1" ht="16.5">
      <c r="B66" s="56" t="s">
        <v>2170</v>
      </c>
      <c r="C66" s="61"/>
      <c r="E66" s="62"/>
    </row>
    <row r="67" spans="2:7" s="56" customFormat="1" ht="16.5">
      <c r="B67" s="56" t="s">
        <v>2170</v>
      </c>
      <c r="C67" s="61"/>
      <c r="E67" s="58"/>
      <c r="G67" s="64"/>
    </row>
    <row r="68" spans="2:7" s="56" customFormat="1" ht="16.5">
      <c r="B68" s="59"/>
      <c r="C68" s="59"/>
      <c r="D68" s="12"/>
      <c r="E68" s="60"/>
      <c r="F68" s="12"/>
      <c r="G68" s="60"/>
    </row>
    <row r="69" spans="2:7" ht="16.5">
      <c r="B69" s="56" t="s">
        <v>2171</v>
      </c>
      <c r="C69" s="57"/>
      <c r="D69" s="56"/>
      <c r="E69" s="58"/>
      <c r="F69" s="56"/>
      <c r="G69" s="56"/>
    </row>
    <row r="70" spans="2:7" s="56" customFormat="1" ht="16.5">
      <c r="B70" s="56" t="s">
        <v>2171</v>
      </c>
      <c r="C70" s="65"/>
      <c r="E70" s="58"/>
    </row>
    <row r="71" spans="2:7" s="56" customFormat="1" ht="16.5">
      <c r="B71" s="56" t="s">
        <v>2171</v>
      </c>
      <c r="C71" s="65"/>
      <c r="E71" s="58"/>
    </row>
    <row r="72" spans="2:7" ht="16.5">
      <c r="B72" s="56" t="s">
        <v>2171</v>
      </c>
      <c r="C72" s="65"/>
      <c r="D72" s="56"/>
      <c r="E72" s="58"/>
      <c r="F72" s="56"/>
      <c r="G72" s="56"/>
    </row>
    <row r="73" spans="2:7" s="56" customFormat="1" ht="16.5">
      <c r="B73" s="56" t="s">
        <v>2171</v>
      </c>
      <c r="C73" s="65"/>
      <c r="E73" s="58"/>
    </row>
    <row r="74" spans="2:7" s="56" customFormat="1" ht="16.5">
      <c r="B74" s="56" t="s">
        <v>2171</v>
      </c>
      <c r="C74" s="66"/>
      <c r="E74" s="58"/>
    </row>
    <row r="75" spans="2:7" ht="16.5">
      <c r="B75" s="56" t="s">
        <v>2171</v>
      </c>
      <c r="C75" s="65"/>
      <c r="D75" s="56"/>
      <c r="E75" s="58"/>
      <c r="F75" s="56"/>
      <c r="G75" s="56"/>
    </row>
    <row r="76" spans="2:7" ht="16.5">
      <c r="B76" s="56" t="s">
        <v>2171</v>
      </c>
      <c r="C76" s="65"/>
      <c r="D76" s="56"/>
      <c r="E76" s="58"/>
      <c r="F76" s="56"/>
      <c r="G76" s="56"/>
    </row>
    <row r="77" spans="2:7" ht="16.5">
      <c r="B77" s="56" t="s">
        <v>2171</v>
      </c>
      <c r="C77" s="67"/>
      <c r="D77" s="56"/>
      <c r="E77" s="58"/>
      <c r="F77" s="56"/>
      <c r="G77" s="56"/>
    </row>
    <row r="78" spans="2:7" ht="16.5">
      <c r="B78" s="56" t="s">
        <v>2171</v>
      </c>
      <c r="C78" s="65"/>
      <c r="D78" s="56"/>
      <c r="E78" s="68"/>
      <c r="F78" s="56"/>
      <c r="G78" s="56"/>
    </row>
    <row r="79" spans="2:7" ht="16.5">
      <c r="B79" s="56" t="s">
        <v>2171</v>
      </c>
      <c r="C79" s="69"/>
      <c r="D79" s="56"/>
      <c r="E79" s="58"/>
      <c r="F79" s="56"/>
      <c r="G79" s="56"/>
    </row>
    <row r="80" spans="2:7" ht="16.5">
      <c r="B80" s="56" t="s">
        <v>2171</v>
      </c>
      <c r="C80" s="65"/>
      <c r="D80" s="56"/>
      <c r="E80" s="58"/>
      <c r="F80" s="56"/>
      <c r="G80" s="56"/>
    </row>
    <row r="81" spans="2:7" ht="16.5">
      <c r="B81" s="56" t="s">
        <v>2171</v>
      </c>
      <c r="C81" s="65"/>
      <c r="D81" s="56"/>
      <c r="E81" s="58"/>
      <c r="F81" s="56"/>
      <c r="G81" s="56"/>
    </row>
    <row r="82" spans="2:7" ht="16.5">
      <c r="B82" s="56" t="s">
        <v>2171</v>
      </c>
      <c r="C82" s="65"/>
      <c r="D82" s="56"/>
      <c r="E82" s="58"/>
      <c r="F82" s="56"/>
      <c r="G82" s="56"/>
    </row>
    <row r="83" spans="2:7" ht="16.5">
      <c r="B83" s="56" t="s">
        <v>2171</v>
      </c>
      <c r="C83" s="65"/>
      <c r="D83" s="56"/>
      <c r="E83" s="58"/>
      <c r="F83" s="56"/>
      <c r="G83" s="56"/>
    </row>
    <row r="84" spans="2:7" ht="16.5">
      <c r="B84" s="56"/>
      <c r="C84" s="59"/>
      <c r="D84" s="70"/>
      <c r="E84" s="71"/>
      <c r="F84" s="70"/>
      <c r="G84" s="70"/>
    </row>
    <row r="85" spans="2:7" ht="16.5">
      <c r="B85" s="56"/>
      <c r="C85" s="61"/>
      <c r="D85" s="56"/>
      <c r="E85" s="72"/>
      <c r="F85" s="56"/>
      <c r="G85" s="56"/>
    </row>
    <row r="86" spans="2:7" ht="16.5">
      <c r="B86" s="56"/>
      <c r="C86" s="61"/>
      <c r="D86" s="56"/>
      <c r="E86" s="72"/>
      <c r="F86" s="56"/>
      <c r="G86" s="56"/>
    </row>
    <row r="87" spans="2:7" ht="16.5">
      <c r="B87" s="56"/>
      <c r="C87" s="61"/>
      <c r="D87" s="56"/>
      <c r="E87" s="72"/>
      <c r="F87" s="56"/>
      <c r="G87" s="56"/>
    </row>
    <row r="88" spans="2:7" ht="16.5">
      <c r="B88" s="56"/>
      <c r="C88" s="61"/>
      <c r="D88" s="56"/>
      <c r="E88" s="72"/>
      <c r="F88" s="56"/>
      <c r="G88" s="56"/>
    </row>
    <row r="89" spans="2:7" s="56" customFormat="1" ht="16.5">
      <c r="B89" s="59"/>
      <c r="C89" s="59"/>
      <c r="D89" s="70"/>
      <c r="E89" s="71"/>
      <c r="F89" s="70"/>
      <c r="G89" s="70"/>
    </row>
    <row r="90" spans="2:7" ht="16.5">
      <c r="B90" s="56" t="s">
        <v>2172</v>
      </c>
      <c r="C90" s="61"/>
      <c r="D90" s="56"/>
      <c r="E90" s="58"/>
      <c r="F90" s="56"/>
      <c r="G90" s="56"/>
    </row>
    <row r="91" spans="2:7" ht="16.5">
      <c r="B91" s="56" t="s">
        <v>2172</v>
      </c>
      <c r="C91" s="61"/>
      <c r="D91" s="56"/>
      <c r="E91" s="58"/>
      <c r="F91" s="56"/>
      <c r="G91" s="56"/>
    </row>
    <row r="92" spans="2:7" ht="16.5">
      <c r="B92" s="56" t="s">
        <v>2172</v>
      </c>
      <c r="C92" s="61"/>
      <c r="D92" s="56"/>
      <c r="E92" s="58"/>
      <c r="F92" s="56"/>
      <c r="G92" s="56"/>
    </row>
    <row r="93" spans="2:7" ht="16.5">
      <c r="B93" s="56" t="s">
        <v>2172</v>
      </c>
      <c r="C93" s="58"/>
      <c r="D93" s="56"/>
      <c r="E93" s="58"/>
      <c r="F93" s="56"/>
      <c r="G93" s="56"/>
    </row>
    <row r="94" spans="2:7" ht="16.5">
      <c r="C94" s="41"/>
      <c r="D94" s="41"/>
      <c r="E94" s="41"/>
      <c r="F94" s="41"/>
    </row>
    <row r="95" spans="2:7"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count="5">
    <dataValidation type="whole" allowBlank="1" showInputMessage="1" showErrorMessage="1" errorTitle="Veuillez ne pas modifier" error="Veuillez ne pas modifier ces cellules" sqref="C50:E51 F50:G52 C43:C45 C9:C10 C12:C41 D9:G45" xr:uid="{13F155AD-BBB8-4E9A-B392-DA413267DE35}">
      <formula1>10000</formula1>
      <formula2>50000</formula2>
    </dataValidation>
    <dataValidation type="whole" errorStyle="warning" allowBlank="1" showInputMessage="1" showErrorMessage="1" errorTitle="Veuillez ne pas modifier" error="Renseigné par le Secrétariat International" sqref="G4" xr:uid="{F920BEDA-BF7E-4A43-83C5-3937312D3587}">
      <formula1>444</formula1>
      <formula2>555</formula2>
    </dataValidation>
    <dataValidation type="whole" allowBlank="1" showInputMessage="1" showErrorMessage="1" errorTitle="Veuillez ne pas modifier" error="Veuillez ne pas modifier ces cellules" sqref="C46:G49 C42" xr:uid="{EAE1BBC4-6443-47CD-9131-7AE0B65466F1}">
      <formula1>444</formula1>
      <formula2>445</formula2>
    </dataValidation>
    <dataValidation allowBlank="1" showInputMessage="1" showErrorMessage="1" errorTitle="Veuillez ne pas modifier" error="Veuillez ne pas modifier ces cellules" sqref="C52:E52" xr:uid="{655ACAC1-5954-4C64-B9C5-3C0536942680}"/>
    <dataValidation type="whole" allowBlank="1" showInputMessage="1" showErrorMessage="1" errorTitle="Veuillez ne pas modifier" error="Veuillez ne pas modifier ces cellules" sqref="C11" xr:uid="{4DD1DD63-FCE6-41BF-8EB8-0746FAC32F0A}">
      <formula1>4</formula1>
      <formula2>5</formula2>
    </dataValidation>
  </dataValidations>
  <hyperlinks>
    <hyperlink ref="C49:G49" r:id="rId1" display="Give us your feedback or report a conflict in the data! Write to us at  data@eiti.org" xr:uid="{00000000-0004-0000-0000-000003000000}"/>
    <hyperlink ref="G49" r:id="rId2" display="Give us your feedback or report a conflict in the data! Write to us at  data@eiti.org" xr:uid="{00000000-0004-0000-0000-000007000000}"/>
    <hyperlink ref="E49:F49" r:id="rId3" display="Give us your feedback or report a conflict in the data! Write to us at  data@eiti.org" xr:uid="{00000000-0004-0000-0000-00000B000000}"/>
    <hyperlink ref="F49" r:id="rId4" display="Give us your feedback or report a conflict in the data! Write to us at  data@eiti.org" xr:uid="{00000000-0004-0000-0000-00000F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000-000011000000}"/>
    <hyperlink ref="E33" r:id="rId6" xr:uid="{00000000-0004-0000-0000-000010000000}"/>
    <hyperlink ref="C46:G46" r:id="rId7" display="Pour plus d’information sur l’ITIE, visitez notre site Internet  https://eiti.org" xr:uid="{3E04576D-7ECA-4DE4-8061-A5DAEEDAD777}"/>
    <hyperlink ref="C47:G47" r:id="rId8" display="Vous voulez en savoir plus sur votre pays ? Vérifiez si votre pays met en œuvre la Norme ITIE en visitant https://eiti.org/countries" xr:uid="{59122BD4-E3AC-460E-97D6-C3A524F16B1E}"/>
    <hyperlink ref="C48:G48" r:id="rId9" display="Pour la version la plus récente des modèles de données résumées, consultez https://eiti.org/fr/document/modele-donnees-resumees-itie" xr:uid="{383869F0-2B8C-4CEC-ACE7-9224BDDDC087}"/>
    <hyperlink ref="C19:E19" r:id="rId10" display="3. Prière de soumettre cette fiche de données en même temps que le Rapport ITIE. L’envoyer au Secrétariat international à : data@eiti.org. " xr:uid="{FB3CFA49-57A4-49D6-8B35-1EE96AAAD3B8}"/>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26"/>
  <sheetViews>
    <sheetView showGridLines="0" topLeftCell="A45" zoomScale="90" zoomScaleNormal="90" workbookViewId="0">
      <selection activeCell="C66" sqref="C66"/>
    </sheetView>
  </sheetViews>
  <sheetFormatPr baseColWidth="10" defaultColWidth="4" defaultRowHeight="24" customHeight="1"/>
  <cols>
    <col min="1" max="1" width="4" style="12"/>
    <col min="2" max="2" width="4" style="12" hidden="1" customWidth="1"/>
    <col min="3" max="3" width="84.140625" style="12" customWidth="1"/>
    <col min="4" max="4" width="2.7109375" style="12" customWidth="1"/>
    <col min="5" max="5" width="57.28515625" style="12" customWidth="1"/>
    <col min="6" max="6" width="2.7109375" style="12" customWidth="1"/>
    <col min="7" max="7" width="58.42578125" style="12" customWidth="1"/>
    <col min="8" max="10" width="4" style="12"/>
    <col min="11" max="11" width="9.5703125" style="12" bestFit="1" customWidth="1"/>
    <col min="12" max="14" width="4" style="12"/>
    <col min="15" max="15" width="42" style="12" bestFit="1" customWidth="1"/>
    <col min="16" max="16" width="50" style="12" customWidth="1"/>
    <col min="17" max="16384" width="4" style="12"/>
  </cols>
  <sheetData>
    <row r="1" spans="3:9" ht="15.75" hidden="1" customHeight="1"/>
    <row r="2" spans="3:9" ht="16.5" hidden="1"/>
    <row r="3" spans="3:9" ht="16.5" hidden="1">
      <c r="E3" s="13"/>
      <c r="G3" s="13" t="s">
        <v>2173</v>
      </c>
    </row>
    <row r="4" spans="3:9" ht="16.5" hidden="1">
      <c r="E4" s="13"/>
      <c r="G4" s="13">
        <f>Introduction!G4</f>
        <v>0</v>
      </c>
    </row>
    <row r="5" spans="3:9" ht="16.5" hidden="1"/>
    <row r="6" spans="3:9" ht="16.5" hidden="1"/>
    <row r="7" spans="3:9" ht="16.5"/>
    <row r="8" spans="3:9" ht="16.5">
      <c r="C8" s="15" t="s">
        <v>2213</v>
      </c>
      <c r="D8" s="15"/>
      <c r="E8" s="15"/>
      <c r="F8" s="15"/>
      <c r="G8" s="15"/>
    </row>
    <row r="9" spans="3:9" ht="19.5" customHeight="1">
      <c r="C9" s="73" t="s">
        <v>2174</v>
      </c>
      <c r="D9" s="74"/>
      <c r="E9" s="74"/>
      <c r="F9" s="74"/>
      <c r="G9" s="73"/>
    </row>
    <row r="10" spans="3:9" ht="30.6" customHeight="1">
      <c r="C10" s="369" t="s">
        <v>2214</v>
      </c>
      <c r="D10" s="369"/>
      <c r="E10" s="369"/>
      <c r="F10" s="75"/>
      <c r="G10" s="371"/>
    </row>
    <row r="11" spans="3:9" ht="31.5" customHeight="1">
      <c r="C11" s="370" t="s">
        <v>2105</v>
      </c>
      <c r="D11" s="370"/>
      <c r="E11" s="370"/>
      <c r="F11" s="75"/>
      <c r="G11" s="371"/>
    </row>
    <row r="12" spans="3:9" ht="14.65" customHeight="1">
      <c r="C12" s="370" t="s">
        <v>2215</v>
      </c>
      <c r="D12" s="370"/>
      <c r="E12" s="370"/>
      <c r="F12" s="370"/>
      <c r="G12" s="371"/>
    </row>
    <row r="13" spans="3:9" ht="14.1" customHeight="1">
      <c r="C13" s="76" t="s">
        <v>2216</v>
      </c>
      <c r="D13" s="76"/>
      <c r="E13" s="76"/>
      <c r="F13" s="76"/>
      <c r="G13" s="371"/>
      <c r="H13" s="77"/>
      <c r="I13" s="77"/>
    </row>
    <row r="14" spans="3:9" ht="16.5">
      <c r="D14" s="78"/>
      <c r="E14" s="78"/>
    </row>
    <row r="15" spans="3:9" ht="49.5">
      <c r="C15" s="232" t="s">
        <v>2369</v>
      </c>
      <c r="D15" s="33"/>
      <c r="E15" s="37" t="s">
        <v>2064</v>
      </c>
      <c r="F15" s="33"/>
      <c r="G15" s="79" t="s">
        <v>2152</v>
      </c>
    </row>
    <row r="16" spans="3:9" ht="16.5">
      <c r="D16" s="78"/>
      <c r="E16" s="78"/>
    </row>
    <row r="17" spans="1:7" ht="24.75" thickBot="1">
      <c r="B17" s="80"/>
      <c r="C17" s="81" t="s">
        <v>2175</v>
      </c>
      <c r="D17" s="82"/>
      <c r="E17" s="83"/>
      <c r="F17" s="82"/>
      <c r="G17" s="82"/>
    </row>
    <row r="18" spans="1:7" ht="17.25" thickBot="1">
      <c r="A18" s="84"/>
      <c r="B18" s="84"/>
      <c r="C18" s="85" t="s">
        <v>2176</v>
      </c>
      <c r="D18" s="86"/>
      <c r="E18" s="87" t="s">
        <v>2177</v>
      </c>
      <c r="F18" s="86"/>
      <c r="G18" s="88" t="s">
        <v>2178</v>
      </c>
    </row>
    <row r="19" spans="1:7" ht="17.25" thickBot="1">
      <c r="B19" s="89"/>
      <c r="C19" s="90" t="s">
        <v>2168</v>
      </c>
      <c r="D19" s="82"/>
      <c r="E19" s="91"/>
      <c r="F19" s="82"/>
      <c r="G19" s="91"/>
    </row>
    <row r="20" spans="1:7" ht="16.5">
      <c r="A20" s="56"/>
      <c r="B20" s="56" t="s">
        <v>2168</v>
      </c>
      <c r="C20" s="92" t="s">
        <v>2179</v>
      </c>
      <c r="D20" s="56"/>
      <c r="E20" s="233" t="s">
        <v>554</v>
      </c>
      <c r="F20" s="56"/>
      <c r="G20" s="93"/>
    </row>
    <row r="21" spans="1:7" ht="16.5">
      <c r="A21" s="56"/>
      <c r="B21" s="56" t="s">
        <v>2168</v>
      </c>
      <c r="C21" s="94" t="s">
        <v>2180</v>
      </c>
      <c r="D21" s="56"/>
      <c r="E21" s="95" t="str">
        <f>IFERROR(VLOOKUP($E$20,Table1_Country_codes_and_currencies[],3,FALSE),"")</f>
        <v>SEN</v>
      </c>
      <c r="F21" s="56"/>
      <c r="G21" s="93"/>
    </row>
    <row r="22" spans="1:7" ht="16.5">
      <c r="B22" s="56" t="s">
        <v>2168</v>
      </c>
      <c r="C22" s="94" t="s">
        <v>2181</v>
      </c>
      <c r="D22" s="56"/>
      <c r="E22" s="95" t="str">
        <f>IFERROR(VLOOKUP($E$20,Table1_Country_codes_and_currencies[],7,FALSE),"")</f>
        <v>Franc CFA d’Afrique de l’Ouest</v>
      </c>
      <c r="F22" s="56"/>
      <c r="G22" s="93"/>
    </row>
    <row r="23" spans="1:7" ht="17.25" thickBot="1">
      <c r="B23" s="56" t="s">
        <v>2168</v>
      </c>
      <c r="C23" s="96" t="s">
        <v>2182</v>
      </c>
      <c r="D23" s="97"/>
      <c r="E23" s="98" t="str">
        <f>IFERROR(VLOOKUP($E$20,Table1_Country_codes_and_currencies[],5,FALSE),"")</f>
        <v>XOF</v>
      </c>
      <c r="F23" s="97"/>
      <c r="G23" s="99"/>
    </row>
    <row r="24" spans="1:7" ht="17.25" thickBot="1">
      <c r="B24" s="89"/>
      <c r="C24" s="90" t="s">
        <v>2169</v>
      </c>
      <c r="D24" s="82"/>
      <c r="E24" s="91"/>
      <c r="F24" s="82"/>
      <c r="G24" s="91"/>
    </row>
    <row r="25" spans="1:7" ht="16.5">
      <c r="A25" s="56"/>
      <c r="B25" s="56" t="s">
        <v>2169</v>
      </c>
      <c r="C25" s="92" t="s">
        <v>2183</v>
      </c>
      <c r="D25" s="56"/>
      <c r="E25" s="234">
        <v>44562</v>
      </c>
      <c r="F25" s="56"/>
      <c r="G25" s="93"/>
    </row>
    <row r="26" spans="1:7" ht="17.25" thickBot="1">
      <c r="A26" s="56"/>
      <c r="B26" s="56" t="s">
        <v>2169</v>
      </c>
      <c r="C26" s="100" t="s">
        <v>2184</v>
      </c>
      <c r="D26" s="97"/>
      <c r="E26" s="234">
        <v>44926</v>
      </c>
      <c r="F26" s="97"/>
      <c r="G26" s="99"/>
    </row>
    <row r="27" spans="1:7" ht="17.25" thickBot="1">
      <c r="B27" s="89"/>
      <c r="C27" s="90" t="s">
        <v>2170</v>
      </c>
      <c r="D27" s="82"/>
      <c r="E27" s="101"/>
      <c r="F27" s="82"/>
      <c r="G27" s="91"/>
    </row>
    <row r="28" spans="1:7" ht="16.5">
      <c r="B28" s="56" t="s">
        <v>2170</v>
      </c>
      <c r="C28" s="102" t="s">
        <v>2185</v>
      </c>
      <c r="D28" s="56"/>
      <c r="E28" s="233" t="s">
        <v>1469</v>
      </c>
      <c r="F28" s="56"/>
      <c r="G28" s="93"/>
    </row>
    <row r="29" spans="1:7" ht="16.5">
      <c r="A29" s="56"/>
      <c r="B29" s="56" t="s">
        <v>2170</v>
      </c>
      <c r="C29" s="92" t="s">
        <v>2186</v>
      </c>
      <c r="D29" s="56"/>
      <c r="E29" s="235" t="s">
        <v>2662</v>
      </c>
      <c r="F29" s="56"/>
      <c r="G29" s="93"/>
    </row>
    <row r="30" spans="1:7" ht="16.5">
      <c r="B30" s="56" t="s">
        <v>2170</v>
      </c>
      <c r="C30" s="92" t="s">
        <v>2187</v>
      </c>
      <c r="D30" s="56"/>
      <c r="E30" s="234">
        <v>45282</v>
      </c>
      <c r="F30" s="56"/>
      <c r="G30" s="93"/>
    </row>
    <row r="31" spans="1:7" ht="16.5">
      <c r="A31" s="56"/>
      <c r="B31" s="56" t="s">
        <v>2170</v>
      </c>
      <c r="C31" s="92" t="s">
        <v>2188</v>
      </c>
      <c r="D31" s="56"/>
      <c r="E31" s="272" t="s">
        <v>2707</v>
      </c>
      <c r="F31" s="56"/>
      <c r="G31" s="93"/>
    </row>
    <row r="32" spans="1:7" ht="33">
      <c r="B32" s="56" t="s">
        <v>2170</v>
      </c>
      <c r="C32" s="103" t="s">
        <v>2112</v>
      </c>
      <c r="D32" s="104"/>
      <c r="E32" s="235" t="s">
        <v>1469</v>
      </c>
      <c r="F32" s="104"/>
      <c r="G32" s="105" t="s">
        <v>2701</v>
      </c>
    </row>
    <row r="33" spans="1:9" ht="16.5">
      <c r="B33" s="56" t="s">
        <v>2170</v>
      </c>
      <c r="C33" s="92" t="s">
        <v>2189</v>
      </c>
      <c r="D33" s="56"/>
      <c r="E33" s="236"/>
      <c r="F33" s="56"/>
      <c r="G33" s="106" t="s">
        <v>2702</v>
      </c>
    </row>
    <row r="34" spans="1:9" ht="16.5">
      <c r="A34" s="56"/>
      <c r="B34" s="56" t="s">
        <v>2170</v>
      </c>
      <c r="C34" s="92" t="s">
        <v>2190</v>
      </c>
      <c r="D34" s="56"/>
      <c r="E34" s="272" t="s">
        <v>2538</v>
      </c>
      <c r="F34" s="56"/>
      <c r="G34" s="106"/>
    </row>
    <row r="35" spans="1:9" ht="16.5">
      <c r="B35" s="56" t="s">
        <v>2170</v>
      </c>
      <c r="C35" s="103" t="s">
        <v>2191</v>
      </c>
      <c r="D35" s="104"/>
      <c r="E35" s="235" t="s">
        <v>1469</v>
      </c>
      <c r="F35" s="107"/>
      <c r="G35" s="108" t="s">
        <v>2708</v>
      </c>
    </row>
    <row r="36" spans="1:9" ht="16.5">
      <c r="A36" s="56"/>
      <c r="B36" s="56" t="s">
        <v>2170</v>
      </c>
      <c r="C36" s="92" t="s">
        <v>2192</v>
      </c>
      <c r="D36" s="56"/>
      <c r="E36" s="234">
        <v>45282</v>
      </c>
      <c r="F36" s="56"/>
      <c r="G36" s="93"/>
    </row>
    <row r="37" spans="1:9" ht="17.25" thickBot="1">
      <c r="A37" s="56"/>
      <c r="B37" s="56" t="s">
        <v>2170</v>
      </c>
      <c r="C37" s="92" t="s">
        <v>2193</v>
      </c>
      <c r="D37" s="109"/>
      <c r="E37" s="272" t="s">
        <v>2707</v>
      </c>
      <c r="F37" s="97"/>
      <c r="G37" s="110" t="s">
        <v>2708</v>
      </c>
      <c r="H37" s="111"/>
      <c r="I37" s="111"/>
    </row>
    <row r="38" spans="1:9" ht="16.149999999999999" customHeight="1" thickBot="1">
      <c r="C38" s="263" t="s">
        <v>2529</v>
      </c>
      <c r="D38" s="112"/>
      <c r="E38" s="58"/>
      <c r="F38" s="113"/>
      <c r="G38" s="64"/>
      <c r="H38" s="111"/>
      <c r="I38" s="111"/>
    </row>
    <row r="39" spans="1:9" ht="16.5">
      <c r="A39" s="56"/>
      <c r="B39" s="59"/>
      <c r="C39" s="114" t="s">
        <v>2194</v>
      </c>
      <c r="D39" s="115"/>
      <c r="E39" s="237" t="s">
        <v>1489</v>
      </c>
      <c r="F39" s="111"/>
      <c r="G39" s="116"/>
      <c r="H39" s="111"/>
      <c r="I39" s="111"/>
    </row>
    <row r="40" spans="1:9" ht="17.25" thickBot="1">
      <c r="B40" s="56" t="s">
        <v>2171</v>
      </c>
      <c r="C40" s="117" t="s">
        <v>2195</v>
      </c>
      <c r="D40" s="118"/>
      <c r="E40" s="273" t="s">
        <v>2538</v>
      </c>
      <c r="F40" s="119"/>
      <c r="G40" s="120"/>
      <c r="H40" s="111"/>
      <c r="I40" s="111"/>
    </row>
    <row r="41" spans="1:9" ht="18" customHeight="1" thickBot="1">
      <c r="A41" s="56"/>
      <c r="B41" s="56" t="s">
        <v>2171</v>
      </c>
      <c r="C41" s="90" t="s">
        <v>2171</v>
      </c>
      <c r="D41" s="82"/>
      <c r="E41" s="121"/>
      <c r="F41" s="82"/>
      <c r="G41" s="121"/>
    </row>
    <row r="42" spans="1:9" ht="15.6" customHeight="1">
      <c r="B42" s="56" t="s">
        <v>2171</v>
      </c>
      <c r="C42" s="94" t="s">
        <v>2196</v>
      </c>
      <c r="D42" s="56"/>
      <c r="E42" s="95"/>
      <c r="F42" s="56"/>
      <c r="G42" s="56"/>
    </row>
    <row r="43" spans="1:9" ht="16.5" customHeight="1">
      <c r="A43" s="56"/>
      <c r="B43" s="56" t="s">
        <v>2171</v>
      </c>
      <c r="C43" s="122" t="s">
        <v>1488</v>
      </c>
      <c r="D43" s="56"/>
      <c r="E43" s="235" t="s">
        <v>1469</v>
      </c>
      <c r="F43" s="56"/>
      <c r="G43" s="106"/>
      <c r="H43" s="111"/>
      <c r="I43" s="111"/>
    </row>
    <row r="44" spans="1:9" ht="16.5" customHeight="1">
      <c r="A44" s="56"/>
      <c r="B44" s="56" t="s">
        <v>2171</v>
      </c>
      <c r="C44" s="122" t="s">
        <v>1494</v>
      </c>
      <c r="D44" s="56"/>
      <c r="E44" s="235" t="s">
        <v>1469</v>
      </c>
      <c r="F44" s="56"/>
      <c r="G44" s="106"/>
      <c r="H44" s="111"/>
      <c r="I44" s="111"/>
    </row>
    <row r="45" spans="1:9" ht="15.6" customHeight="1">
      <c r="B45" s="56" t="s">
        <v>2171</v>
      </c>
      <c r="C45" s="122" t="s">
        <v>2197</v>
      </c>
      <c r="D45" s="56"/>
      <c r="E45" s="235" t="s">
        <v>1469</v>
      </c>
      <c r="F45" s="56"/>
      <c r="G45" s="106"/>
      <c r="H45" s="111"/>
      <c r="I45" s="111"/>
    </row>
    <row r="46" spans="1:9" ht="18" customHeight="1">
      <c r="B46" s="56" t="s">
        <v>2171</v>
      </c>
      <c r="C46" s="122" t="s">
        <v>2113</v>
      </c>
      <c r="D46" s="56"/>
      <c r="E46" s="235" t="s">
        <v>1501</v>
      </c>
      <c r="F46" s="56"/>
      <c r="G46" s="106"/>
    </row>
    <row r="47" spans="1:9" ht="16.5">
      <c r="B47" s="56" t="s">
        <v>2171</v>
      </c>
      <c r="C47" s="123" t="s">
        <v>2198</v>
      </c>
      <c r="D47" s="56"/>
      <c r="E47" s="235" t="s">
        <v>1501</v>
      </c>
      <c r="F47" s="56"/>
      <c r="G47" s="106"/>
    </row>
    <row r="48" spans="1:9" ht="16.5">
      <c r="B48" s="56" t="s">
        <v>2171</v>
      </c>
      <c r="C48" s="122" t="s">
        <v>2110</v>
      </c>
      <c r="D48" s="56"/>
      <c r="E48" s="235">
        <v>9</v>
      </c>
      <c r="F48" s="56"/>
      <c r="G48" s="106"/>
      <c r="H48" s="111"/>
      <c r="I48" s="111"/>
    </row>
    <row r="49" spans="1:15" ht="16.5">
      <c r="B49" s="56" t="s">
        <v>2171</v>
      </c>
      <c r="C49" s="122" t="s">
        <v>2111</v>
      </c>
      <c r="D49" s="124"/>
      <c r="E49" s="235">
        <v>29</v>
      </c>
      <c r="F49" s="56"/>
      <c r="G49" s="125"/>
      <c r="H49" s="111"/>
      <c r="I49" s="111"/>
    </row>
    <row r="50" spans="1:15" ht="16.5">
      <c r="B50" s="56" t="s">
        <v>2171</v>
      </c>
      <c r="C50" s="126" t="s">
        <v>2217</v>
      </c>
      <c r="D50" s="56"/>
      <c r="E50" s="238" t="s">
        <v>1172</v>
      </c>
      <c r="F50" s="104"/>
      <c r="G50" s="106"/>
      <c r="H50" s="111"/>
      <c r="I50" s="111"/>
    </row>
    <row r="51" spans="1:15" ht="16.5">
      <c r="B51" s="56" t="s">
        <v>2171</v>
      </c>
      <c r="C51" s="127" t="s">
        <v>2199</v>
      </c>
      <c r="D51" s="56"/>
      <c r="E51" s="331">
        <v>621.11800000000005</v>
      </c>
      <c r="F51" s="56"/>
      <c r="G51" s="106"/>
      <c r="H51" s="111"/>
      <c r="I51" s="111"/>
    </row>
    <row r="52" spans="1:15" ht="16.5">
      <c r="B52" s="56" t="s">
        <v>2171</v>
      </c>
      <c r="C52" s="128" t="s">
        <v>2109</v>
      </c>
      <c r="D52" s="129"/>
      <c r="E52" s="239" t="s">
        <v>2709</v>
      </c>
      <c r="F52" s="129"/>
      <c r="G52" s="106"/>
      <c r="H52" s="111"/>
      <c r="I52" s="111"/>
    </row>
    <row r="53" spans="1:15" s="84" customFormat="1" ht="25.5" customHeight="1">
      <c r="A53" s="12"/>
      <c r="B53" s="56" t="s">
        <v>2171</v>
      </c>
      <c r="C53" s="130" t="s">
        <v>2218</v>
      </c>
      <c r="D53" s="56"/>
      <c r="E53" s="131"/>
      <c r="F53" s="56"/>
      <c r="G53" s="105"/>
      <c r="H53" s="12"/>
      <c r="I53" s="12"/>
    </row>
    <row r="54" spans="1:15" ht="15.6" customHeight="1">
      <c r="B54" s="56" t="s">
        <v>2171</v>
      </c>
      <c r="C54" s="122" t="s">
        <v>2200</v>
      </c>
      <c r="D54" s="56"/>
      <c r="E54" s="235" t="s">
        <v>1469</v>
      </c>
      <c r="F54" s="56"/>
      <c r="G54" s="106"/>
    </row>
    <row r="55" spans="1:15" s="56" customFormat="1" ht="16.5">
      <c r="A55" s="12"/>
      <c r="C55" s="122" t="s">
        <v>2201</v>
      </c>
      <c r="E55" s="235" t="s">
        <v>1469</v>
      </c>
      <c r="G55" s="106"/>
      <c r="H55" s="12"/>
      <c r="I55" s="12"/>
    </row>
    <row r="56" spans="1:15" s="56" customFormat="1" ht="15.6" customHeight="1">
      <c r="A56" s="12"/>
      <c r="C56" s="122" t="s">
        <v>2202</v>
      </c>
      <c r="E56" s="235" t="s">
        <v>1469</v>
      </c>
      <c r="G56" s="106"/>
      <c r="H56" s="84"/>
      <c r="I56" s="84"/>
    </row>
    <row r="57" spans="1:15" ht="17.25" thickBot="1">
      <c r="B57" s="56"/>
      <c r="C57" s="132" t="s">
        <v>2203</v>
      </c>
      <c r="D57" s="97"/>
      <c r="E57" s="235" t="s">
        <v>1469</v>
      </c>
      <c r="F57" s="97"/>
      <c r="G57" s="133"/>
    </row>
    <row r="58" spans="1:15" ht="17.25" thickBot="1">
      <c r="B58" s="56"/>
      <c r="C58" s="134" t="s">
        <v>2204</v>
      </c>
      <c r="D58" s="135"/>
      <c r="E58" s="136">
        <f>SUM(E59:E62)</f>
        <v>0.99999999999999989</v>
      </c>
      <c r="F58" s="135"/>
      <c r="G58" s="135"/>
      <c r="H58" s="56"/>
      <c r="I58" s="56"/>
    </row>
    <row r="59" spans="1:15" ht="16.5">
      <c r="B59" s="56"/>
      <c r="C59" s="92" t="s">
        <v>2205</v>
      </c>
      <c r="D59" s="56"/>
      <c r="E59" s="137">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0.12962962962962962</v>
      </c>
      <c r="F59" s="56"/>
      <c r="G59" s="138" t="s">
        <v>2206</v>
      </c>
      <c r="H59" s="56"/>
      <c r="I59" s="56"/>
      <c r="K59" s="139"/>
    </row>
    <row r="60" spans="1:15" s="56" customFormat="1" ht="16.5">
      <c r="B60" s="89"/>
      <c r="C60" s="92" t="s">
        <v>2207</v>
      </c>
      <c r="E60" s="137">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0.81481481481481477</v>
      </c>
      <c r="G60" s="138" t="s">
        <v>2206</v>
      </c>
      <c r="H60" s="12"/>
      <c r="I60" s="12"/>
      <c r="K60" s="139"/>
    </row>
    <row r="61" spans="1:15" s="56" customFormat="1" ht="16.5">
      <c r="A61" s="12"/>
      <c r="B61" s="56" t="s">
        <v>2172</v>
      </c>
      <c r="C61" s="92" t="s">
        <v>1496</v>
      </c>
      <c r="E61" s="137">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3.7037037037037035E-2</v>
      </c>
      <c r="G61" s="138" t="s">
        <v>2206</v>
      </c>
      <c r="H61" s="12"/>
      <c r="I61" s="12"/>
      <c r="K61" s="139"/>
    </row>
    <row r="62" spans="1:15" ht="15" customHeight="1" thickBot="1">
      <c r="B62" s="56" t="s">
        <v>2172</v>
      </c>
      <c r="C62" s="92" t="s">
        <v>2208</v>
      </c>
      <c r="D62" s="56"/>
      <c r="E62" s="137">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1.8518518518518517E-2</v>
      </c>
      <c r="F62" s="56"/>
      <c r="G62" s="138" t="s">
        <v>2206</v>
      </c>
      <c r="K62" s="139"/>
    </row>
    <row r="63" spans="1:15" ht="17.25" thickBot="1">
      <c r="B63" s="56" t="s">
        <v>2172</v>
      </c>
      <c r="C63" s="140" t="s">
        <v>2209</v>
      </c>
      <c r="D63" s="141"/>
      <c r="E63" s="142"/>
      <c r="F63" s="141"/>
      <c r="G63" s="141"/>
      <c r="H63" s="56"/>
      <c r="I63" s="56"/>
      <c r="O63" s="56"/>
    </row>
    <row r="64" spans="1:15" s="56" customFormat="1" ht="16.5">
      <c r="A64" s="12"/>
      <c r="B64" s="56" t="s">
        <v>2172</v>
      </c>
      <c r="C64" s="92" t="s">
        <v>2210</v>
      </c>
      <c r="E64" s="233" t="s">
        <v>2710</v>
      </c>
      <c r="G64" s="93"/>
    </row>
    <row r="65" spans="1:9" ht="16.5">
      <c r="C65" s="92" t="s">
        <v>2211</v>
      </c>
      <c r="D65" s="56"/>
      <c r="E65" s="233" t="s">
        <v>2662</v>
      </c>
      <c r="F65" s="56"/>
      <c r="G65" s="93"/>
    </row>
    <row r="66" spans="1:9" ht="12.75" customHeight="1">
      <c r="C66" s="92" t="s">
        <v>2212</v>
      </c>
      <c r="D66" s="56"/>
      <c r="E66" s="274" t="s">
        <v>2703</v>
      </c>
      <c r="F66" s="56"/>
      <c r="G66" s="93"/>
    </row>
    <row r="67" spans="1:9" ht="18.75" customHeight="1" thickBot="1">
      <c r="C67" s="143"/>
      <c r="D67" s="97"/>
      <c r="E67" s="98"/>
      <c r="F67" s="97"/>
      <c r="G67" s="109"/>
      <c r="H67" s="56"/>
      <c r="I67" s="56"/>
    </row>
    <row r="68" spans="1:9" s="56" customFormat="1" ht="17.25" customHeight="1">
      <c r="A68" s="12"/>
      <c r="B68" s="12"/>
      <c r="C68" s="41"/>
      <c r="D68" s="41"/>
      <c r="E68" s="41"/>
      <c r="F68" s="41"/>
      <c r="G68" s="12"/>
      <c r="H68" s="12"/>
      <c r="I68" s="12"/>
    </row>
    <row r="69" spans="1:9" ht="17.25" hidden="1" customHeight="1" thickBot="1">
      <c r="C69" s="362" t="s">
        <v>2163</v>
      </c>
      <c r="D69" s="362"/>
      <c r="E69" s="362"/>
      <c r="F69" s="362"/>
      <c r="G69" s="362"/>
    </row>
    <row r="70" spans="1:9" ht="24" hidden="1" customHeight="1" thickBot="1">
      <c r="C70" s="363" t="s">
        <v>2164</v>
      </c>
      <c r="D70" s="363"/>
      <c r="E70" s="363"/>
      <c r="F70" s="363"/>
      <c r="G70" s="363"/>
    </row>
    <row r="71" spans="1:9" ht="19.5" hidden="1" customHeight="1" thickBot="1">
      <c r="C71" s="362" t="s">
        <v>2165</v>
      </c>
      <c r="D71" s="362"/>
      <c r="E71" s="362"/>
      <c r="F71" s="362"/>
      <c r="G71" s="362"/>
    </row>
    <row r="72" spans="1:9" ht="18.75" hidden="1" customHeight="1" thickBot="1">
      <c r="C72" s="356" t="s">
        <v>2166</v>
      </c>
      <c r="D72" s="356"/>
      <c r="E72" s="356"/>
      <c r="F72" s="356"/>
      <c r="G72" s="356"/>
    </row>
    <row r="73" spans="1:9" ht="17.25" thickBot="1">
      <c r="B73" s="56" t="s">
        <v>2171</v>
      </c>
      <c r="C73" s="54"/>
      <c r="D73" s="54"/>
      <c r="E73" s="54"/>
      <c r="F73" s="54"/>
      <c r="G73" s="55"/>
      <c r="H73" s="56"/>
      <c r="I73" s="56"/>
    </row>
    <row r="74" spans="1:9" s="56" customFormat="1" ht="16.5">
      <c r="B74" s="56" t="s">
        <v>2171</v>
      </c>
      <c r="C74" s="357" t="s">
        <v>2219</v>
      </c>
      <c r="D74" s="357"/>
      <c r="E74" s="357"/>
      <c r="F74" s="12"/>
      <c r="G74" s="12"/>
    </row>
    <row r="75" spans="1:9" s="56" customFormat="1" ht="16.5">
      <c r="B75" s="56" t="s">
        <v>2171</v>
      </c>
      <c r="C75" s="358" t="s">
        <v>2367</v>
      </c>
      <c r="D75" s="358"/>
      <c r="E75" s="358"/>
      <c r="F75" s="12"/>
      <c r="G75" s="12"/>
    </row>
    <row r="76" spans="1:9" ht="16.5">
      <c r="B76" s="56" t="s">
        <v>2171</v>
      </c>
      <c r="C76" s="57"/>
      <c r="D76" s="56"/>
      <c r="E76" s="58"/>
      <c r="F76" s="56"/>
      <c r="G76" s="56"/>
    </row>
    <row r="77" spans="1:9" s="56" customFormat="1" ht="16.5">
      <c r="B77" s="56" t="s">
        <v>2171</v>
      </c>
      <c r="C77" s="65"/>
      <c r="E77" s="58"/>
    </row>
    <row r="78" spans="1:9" s="56" customFormat="1" ht="16.5">
      <c r="B78" s="56" t="s">
        <v>2171</v>
      </c>
      <c r="C78" s="65"/>
      <c r="E78" s="58"/>
    </row>
    <row r="79" spans="1:9" ht="16.5">
      <c r="B79" s="56" t="s">
        <v>2171</v>
      </c>
      <c r="C79" s="65"/>
      <c r="D79" s="56"/>
      <c r="E79" s="58"/>
      <c r="F79" s="56"/>
      <c r="G79" s="56"/>
    </row>
    <row r="80" spans="1:9" ht="16.5">
      <c r="B80" s="56" t="s">
        <v>2171</v>
      </c>
      <c r="C80" s="65"/>
      <c r="D80" s="56"/>
      <c r="E80" s="58"/>
      <c r="F80" s="56"/>
      <c r="G80" s="56"/>
      <c r="H80" s="56"/>
      <c r="I80" s="56"/>
    </row>
    <row r="81" spans="2:9" ht="16.5">
      <c r="B81" s="56" t="s">
        <v>2171</v>
      </c>
      <c r="C81" s="66"/>
      <c r="D81" s="56"/>
      <c r="E81" s="58"/>
      <c r="F81" s="56"/>
      <c r="G81" s="56"/>
      <c r="H81" s="56"/>
      <c r="I81" s="56"/>
    </row>
    <row r="82" spans="2:9" ht="16.5">
      <c r="B82" s="56" t="s">
        <v>2171</v>
      </c>
      <c r="C82" s="65"/>
      <c r="D82" s="56"/>
      <c r="E82" s="58"/>
      <c r="F82" s="56"/>
      <c r="G82" s="56"/>
    </row>
    <row r="83" spans="2:9" ht="16.5">
      <c r="B83" s="56" t="s">
        <v>2171</v>
      </c>
      <c r="C83" s="65"/>
      <c r="D83" s="56"/>
      <c r="E83" s="58"/>
      <c r="F83" s="56"/>
      <c r="G83" s="56"/>
    </row>
    <row r="84" spans="2:9" ht="16.5">
      <c r="B84" s="56" t="s">
        <v>2171</v>
      </c>
      <c r="C84" s="67"/>
      <c r="D84" s="56"/>
      <c r="E84" s="58"/>
      <c r="F84" s="56"/>
      <c r="G84" s="56"/>
    </row>
    <row r="85" spans="2:9" ht="16.5">
      <c r="B85" s="56" t="s">
        <v>2171</v>
      </c>
      <c r="C85" s="65"/>
      <c r="D85" s="56"/>
      <c r="E85" s="68"/>
      <c r="F85" s="56"/>
      <c r="G85" s="56"/>
    </row>
    <row r="86" spans="2:9" ht="16.5">
      <c r="B86" s="56" t="s">
        <v>2171</v>
      </c>
      <c r="C86" s="69"/>
      <c r="D86" s="56"/>
      <c r="E86" s="58"/>
      <c r="F86" s="56"/>
      <c r="G86" s="56"/>
    </row>
    <row r="87" spans="2:9" ht="16.5">
      <c r="B87" s="56" t="s">
        <v>2171</v>
      </c>
      <c r="C87" s="65"/>
      <c r="D87" s="56"/>
      <c r="E87" s="58"/>
      <c r="F87" s="56"/>
      <c r="G87" s="56"/>
    </row>
    <row r="88" spans="2:9" ht="16.5">
      <c r="B88" s="56"/>
      <c r="C88" s="65"/>
      <c r="D88" s="56"/>
      <c r="E88" s="58"/>
      <c r="F88" s="56"/>
      <c r="G88" s="56"/>
    </row>
    <row r="89" spans="2:9" ht="16.5">
      <c r="B89" s="56"/>
      <c r="C89" s="65"/>
      <c r="D89" s="56"/>
      <c r="E89" s="58"/>
      <c r="F89" s="56"/>
      <c r="G89" s="56"/>
    </row>
    <row r="90" spans="2:9" ht="16.5">
      <c r="B90" s="56"/>
      <c r="C90" s="65"/>
      <c r="D90" s="56"/>
      <c r="E90" s="58"/>
      <c r="F90" s="56"/>
      <c r="G90" s="56"/>
    </row>
    <row r="91" spans="2:9" ht="16.5">
      <c r="B91" s="56"/>
      <c r="C91" s="59"/>
      <c r="D91" s="70"/>
      <c r="E91" s="71"/>
      <c r="F91" s="70"/>
      <c r="G91" s="70"/>
    </row>
    <row r="92" spans="2:9" ht="16.5">
      <c r="B92" s="56"/>
      <c r="C92" s="61"/>
      <c r="D92" s="56"/>
      <c r="E92" s="72"/>
      <c r="F92" s="56"/>
      <c r="G92" s="56"/>
    </row>
    <row r="93" spans="2:9" s="56" customFormat="1" ht="16.5">
      <c r="B93" s="59"/>
      <c r="C93" s="61"/>
      <c r="E93" s="72"/>
      <c r="H93" s="12"/>
      <c r="I93" s="12"/>
    </row>
    <row r="94" spans="2:9" ht="16.5">
      <c r="B94" s="56" t="s">
        <v>2172</v>
      </c>
      <c r="C94" s="61"/>
      <c r="D94" s="56"/>
      <c r="E94" s="72"/>
      <c r="F94" s="56"/>
      <c r="G94" s="56"/>
    </row>
    <row r="95" spans="2:9" ht="16.5">
      <c r="B95" s="56" t="s">
        <v>2172</v>
      </c>
      <c r="C95" s="61"/>
      <c r="D95" s="56"/>
      <c r="E95" s="72"/>
      <c r="F95" s="56"/>
      <c r="G95" s="56"/>
    </row>
    <row r="96" spans="2:9" ht="16.5">
      <c r="B96" s="56" t="s">
        <v>2172</v>
      </c>
      <c r="C96" s="59"/>
      <c r="D96" s="70"/>
      <c r="E96" s="71"/>
      <c r="F96" s="70"/>
      <c r="G96" s="70"/>
      <c r="H96" s="56"/>
      <c r="I96" s="56"/>
    </row>
    <row r="97" spans="2:7" ht="16.5">
      <c r="B97" s="56" t="s">
        <v>2172</v>
      </c>
      <c r="C97" s="61"/>
      <c r="D97" s="56"/>
      <c r="E97" s="58"/>
      <c r="F97" s="56"/>
      <c r="G97" s="56"/>
    </row>
    <row r="98" spans="2:7" ht="16.5">
      <c r="C98" s="61"/>
      <c r="D98" s="56"/>
      <c r="E98" s="58"/>
      <c r="F98" s="56"/>
      <c r="G98" s="56"/>
    </row>
    <row r="99" spans="2:7" ht="16.5">
      <c r="C99" s="61"/>
      <c r="D99" s="56"/>
      <c r="E99" s="58"/>
      <c r="F99" s="56"/>
      <c r="G99" s="56"/>
    </row>
    <row r="100" spans="2:7" ht="16.5">
      <c r="C100" s="58"/>
      <c r="D100" s="56"/>
      <c r="E100" s="58"/>
      <c r="F100" s="56"/>
      <c r="G100" s="56"/>
    </row>
    <row r="101" spans="2:7" ht="15" customHeight="1">
      <c r="C101" s="41"/>
      <c r="D101" s="41"/>
      <c r="E101" s="41"/>
      <c r="F101" s="41"/>
    </row>
    <row r="102" spans="2:7" ht="15" customHeight="1"/>
    <row r="103" spans="2:7" ht="16.5">
      <c r="C103" s="372"/>
      <c r="D103" s="372"/>
      <c r="E103" s="372"/>
      <c r="F103" s="372"/>
      <c r="G103" s="372"/>
    </row>
    <row r="104" spans="2:7" ht="16.5">
      <c r="C104" s="372"/>
      <c r="D104" s="372"/>
      <c r="E104" s="372"/>
      <c r="F104" s="372"/>
      <c r="G104" s="372"/>
    </row>
    <row r="105" spans="2:7" ht="18.75" customHeight="1">
      <c r="C105" s="372"/>
      <c r="D105" s="372"/>
      <c r="E105" s="372"/>
      <c r="F105" s="372"/>
      <c r="G105" s="372"/>
    </row>
    <row r="106" spans="2:7" ht="16.5">
      <c r="C106" s="372"/>
      <c r="D106" s="372"/>
      <c r="E106" s="372"/>
      <c r="F106" s="372"/>
      <c r="G106" s="372"/>
    </row>
    <row r="107" spans="2:7" ht="16.5">
      <c r="C107" s="41"/>
      <c r="D107" s="41"/>
      <c r="E107" s="41"/>
      <c r="F107" s="41"/>
    </row>
    <row r="108" spans="2:7" ht="16.5">
      <c r="C108" s="358"/>
      <c r="D108" s="358"/>
      <c r="E108" s="358"/>
    </row>
    <row r="109" spans="2:7" ht="16.5">
      <c r="C109" s="358"/>
      <c r="D109" s="358"/>
      <c r="E109" s="358"/>
    </row>
    <row r="110" spans="2:7" ht="16.5"/>
    <row r="111" spans="2:7" ht="16.5"/>
    <row r="112" spans="2:7" ht="16.5"/>
    <row r="113" ht="16.5"/>
    <row r="114" ht="16.5"/>
    <row r="115" ht="16.5"/>
    <row r="116" ht="16.5"/>
    <row r="117" ht="16.5"/>
    <row r="118" ht="16.5"/>
    <row r="119" ht="16.5"/>
    <row r="120" ht="16.5"/>
    <row r="121" ht="16.5"/>
    <row r="122" ht="16.5"/>
    <row r="123" ht="16.5"/>
    <row r="124" ht="16.5"/>
    <row r="125" ht="16.5"/>
    <row r="126" ht="16.5"/>
  </sheetData>
  <sheetProtection selectLockedCells="1"/>
  <dataConsolidate/>
  <mergeCells count="16">
    <mergeCell ref="C10:E10"/>
    <mergeCell ref="C11:E11"/>
    <mergeCell ref="C12:F12"/>
    <mergeCell ref="G10:G13"/>
    <mergeCell ref="C109:E109"/>
    <mergeCell ref="C103:G103"/>
    <mergeCell ref="C104:G104"/>
    <mergeCell ref="C105:G105"/>
    <mergeCell ref="C106:G106"/>
    <mergeCell ref="C108:E108"/>
    <mergeCell ref="C75:E75"/>
    <mergeCell ref="C69:G69"/>
    <mergeCell ref="C70:G70"/>
    <mergeCell ref="C71:G71"/>
    <mergeCell ref="C72:G72"/>
    <mergeCell ref="C74:E74"/>
  </mergeCells>
  <dataValidations xWindow="1029" yWindow="583" count="22">
    <dataValidation allowBlank="1" showInputMessage="1" showErrorMessage="1" promptTitle="URL" prompt="Veuillez insérer l'URL directe vers le document de référence" sqref="G37:G40 E40" xr:uid="{E079451B-F0E4-4AD3-9941-BD41CD0AABAD}"/>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9A0805BF-02A1-4F4E-A116-0CA1CECF2F4E}">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CE425872-3722-4945-9BB9-D513A7D33416}">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204367ED-FF72-4CE6-B669-BA931B6B6E1D}">
      <formula1>0</formula1>
      <formula2>9999999999999990000</formula2>
    </dataValidation>
    <dataValidation type="whole" allowBlank="1" showInputMessage="1" showErrorMessage="1" errorTitle="Veuillez ne pas remplir" error="Veuillez ne pas remplir manuellement ces celulles" sqref="E59:E62" xr:uid="{BEBC058E-8F61-4C4D-B11D-46041E0B391F}">
      <formula1>10000</formula1>
      <formula2>50000</formula2>
    </dataValidation>
    <dataValidation type="decimal" allowBlank="1" showInputMessage="1" showErrorMessage="1" errorTitle="Veuillez ne pas modifier" sqref="E8:G8" xr:uid="{7976E308-631D-47E9-AC6A-05B221BD22C0}">
      <formula1>10000</formula1>
      <formula2>50000</formula2>
    </dataValidation>
    <dataValidation type="decimal" allowBlank="1" showInputMessage="1" showErrorMessage="1" errorTitle="Veuillez ne pas modifier" error="Veuillez ne pas modifier ces cellules" sqref="C8:D8 C73:E74 F73:G75" xr:uid="{D64B9237-40BB-4A17-AE35-69869BD025B3}">
      <formula1>10000</formula1>
      <formula2>50000</formula2>
    </dataValidation>
    <dataValidation allowBlank="1" showInputMessage="1" showErrorMessage="1" promptTitle="Saisissez la date" prompt="Saisissez la date sous un format spécifique: AAAA-MM-JJ" sqref="E30 E33 E36" xr:uid="{2638DAC4-0C69-40FC-8E12-1AEDE5F75F1D}"/>
    <dataValidation type="textLength" allowBlank="1" showInputMessage="1" showErrorMessage="1" errorTitle="Veuillez ne pas modifier" error="Veuillez ne pas modifier ces cellules" sqref="C66:C67 F15 D18:G19 D15" xr:uid="{AD85E4FE-6EDB-40B6-992E-49A3C54868FD}">
      <formula1>10000</formula1>
      <formula2>50000</formula2>
    </dataValidation>
    <dataValidation type="whole" allowBlank="1" showInputMessage="1" showErrorMessage="1" errorTitle="Veuillez ne pas modifier" error="Veuillez ne pas modifier ces cellules" sqref="G27 G15 E15 C53:C65 C50:C51 G59:G62 C47 C15 C17:C37 C39:C45" xr:uid="{D9F471FE-21F1-4AB1-B7D7-A0A504272613}">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C5FB7E6D-5E45-4581-ACA9-75366CD1E2FB}">
      <formula1>36161</formula1>
      <formula2>47848</formula2>
    </dataValidation>
    <dataValidation allowBlank="1" showInputMessage="1" showErrorMessage="1" errorTitle="Invalid entry" error="_x000a_Please choose among the following:_x000a__x000a_Yes_x000a_No_x000a_Partially_x000a_Not applicable" promptTitle="URL" prompt="Veuillez insérer l'URL directe vers le document de référence" sqref="E31" xr:uid="{EB5366FF-C201-4EEC-A204-2EBDC1A5BF09}"/>
    <dataValidation type="list" allowBlank="1" showInputMessage="1" showErrorMessage="1" promptTitle="Type de déclaration" prompt="Veuillez indiquer le type de déclaration, parmi:_x000a__x000a_Divulgation systématique_x000a_Déclaration ITIE_x000a_Non disponible_x000a_Sans objet" sqref="E39" xr:uid="{2A8D8647-49D4-4C5B-BDD9-282385638C13}">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98DF1B4-53AD-44A6-97D1-85C998D2E5A7}"/>
    <dataValidation type="date" allowBlank="1" showInputMessage="1" showErrorMessage="1" errorTitle="Incorrect format" error="Please revise information according to specified format" promptTitle="EITI Report URL" prompt="Please insert direct URL to EITI Report (or report folder) on National EITI website." sqref="E31" xr:uid="{97F0D63D-31CA-42D0-87E3-C03911A23C9E}">
      <formula1>36161</formula1>
      <formula2>47848</formula2>
    </dataValidation>
    <dataValidation allowBlank="1" showInputMessage="1" showErrorMessage="1" promptTitle="Fichiers de données (CSV, Excel…" prompt="Veuillez insérer l'URL directe dans les fichiers de données accompagnant le rapport sur le site Internet national de l'ITIE. Les fichiers de données f" sqref="E34 E37" xr:uid="{46126CEB-AFCD-41D4-80C8-E999E679D3CE}"/>
    <dataValidation allowBlank="1" showInputMessage="1" showErrorMessage="1" promptTitle="Nom de l'entité" prompt="Veuillez insérer le nom de l'organisation, compagnie, ou agence gouvernementale" sqref="E29" xr:uid="{72F72F30-6E4D-4AB3-82D7-0F699FD184E2}"/>
    <dataValidation allowBlank="1" showInputMessage="1" showErrorMessage="1" promptTitle="URL du rapport ITIE" prompt="Veuillez insérer l'URL directe vers le Rapport ITIE (ou le dossier de rapport) sur le site Internet national de l'ITIE." sqref="E31" xr:uid="{C610838F-B63C-43DF-B40A-3ABE36EBE237}"/>
    <dataValidation type="whole" allowBlank="1" showInputMessage="1" showErrorMessage="1" errorTitle="Veuillez ne pas modifier" error="Veuillez ne pas modifier ces cellules" sqref="C69:G72" xr:uid="{EF7F0EE1-6880-4244-A51B-FE07CEDFFB27}">
      <formula1>444</formula1>
      <formula2>445</formula2>
    </dataValidation>
    <dataValidation allowBlank="1" showInputMessage="1" showErrorMessage="1" errorTitle="Veuillez ne pas modifier" error="Veuillez ne pas modifier ces cellules" sqref="C52 C48:C49 C75:E75" xr:uid="{38E40CE9-FEFE-4F50-A54C-6DD0C626715E}"/>
    <dataValidation type="whole" allowBlank="1" showInputMessage="1" showErrorMessage="1" errorTitle="Veuillez ne pas modifier" error="Veuillez ne pas modifier ces cellules" sqref="C46" xr:uid="{31FC86A6-12C9-412D-92CF-30E961EB243C}">
      <formula1>4</formula1>
      <formula2>5</formula2>
    </dataValidation>
    <dataValidation allowBlank="1" showInputMessage="1" showErrorMessage="1" promptTitle="Autre secteur" prompt="Veuillez indiquer le nom du secteur supplémentaire." sqref="E47" xr:uid="{620E60DC-2F0A-40A2-B5BB-96FCF161EE92}"/>
  </dataValidations>
  <hyperlinks>
    <hyperlink ref="C13" r:id="rId1" display="Si vous avez des questions, veuillez contacter  data@eiti.org" xr:uid="{00000000-0004-0000-0100-000012000000}"/>
    <hyperlink ref="C72:G72" r:id="rId2" display="Give us your feedback or report a conflict in the data! Write to us at  data@eiti.org" xr:uid="{2B1627D8-621C-4FBE-A497-9AFE969943B5}"/>
    <hyperlink ref="G72" r:id="rId3" display="Give us your feedback or report a conflict in the data! Write to us at  data@eiti.org" xr:uid="{6C5FFEFE-FC9C-4AD7-BE65-B9958593063A}"/>
    <hyperlink ref="E72:F72" r:id="rId4" display="Give us your feedback or report a conflict in the data! Write to us at  data@eiti.org" xr:uid="{DBEA8569-8C48-4726-9E9D-319FA97863C5}"/>
    <hyperlink ref="F72" r:id="rId5" display="Give us your feedback or report a conflict in the data! Write to us at  data@eiti.org" xr:uid="{C68DE811-3A82-40E8-AC61-102006E6BA24}"/>
    <hyperlink ref="C69:G69" r:id="rId6" display="Pour plus d’information sur l’ITIE, visitez notre site Internet  https://eiti.org" xr:uid="{128818C6-AB59-4A22-B089-A45A75B06974}"/>
    <hyperlink ref="C70:G70" r:id="rId7" display="Vous voulez en savoir plus sur votre pays ? Vérifiez si votre pays met en œuvre la Norme ITIE en visitant https://eiti.org/countries" xr:uid="{C216B62F-D79D-487C-8AFE-79B07BB1494C}"/>
    <hyperlink ref="C71:G71" r:id="rId8" display="Pour la version la plus récente des modèles de données résumées, consultez https://eiti.org/fr/document/modele-donnees-resumees-itie" xr:uid="{E59D7407-02BD-47A3-AA82-3DC5546201E2}"/>
    <hyperlink ref="C50" r:id="rId9" xr:uid="{00000000-0004-0000-0100-00000C000000}"/>
    <hyperlink ref="C53" r:id="rId10" location="r4-7" xr:uid="{00000000-0004-0000-0100-000011000000}"/>
    <hyperlink ref="C38" r:id="rId11" location="r7-2" xr:uid="{00000000-0004-0000-0100-000013000000}"/>
    <hyperlink ref="E31" r:id="rId12" xr:uid="{20585136-2ED4-4E7E-93DA-F62DDA47EFE1}"/>
    <hyperlink ref="E40" r:id="rId13" xr:uid="{3C744258-F107-48DB-96B6-66365107022B}"/>
    <hyperlink ref="E37" r:id="rId14" xr:uid="{F6A31BC7-5821-4BB9-BFBC-C3B847C665D3}"/>
    <hyperlink ref="E34" r:id="rId15" xr:uid="{25CD5D45-A83B-4AEC-B848-0066AF78F637}"/>
    <hyperlink ref="E66" r:id="rId16" xr:uid="{A87819E7-72C3-4938-A6E7-87578968A1E8}"/>
  </hyperlinks>
  <pageMargins left="0.25" right="0.25" top="0.75" bottom="0.75" header="0.3" footer="0.3"/>
  <pageSetup paperSize="8" fitToHeight="0" orientation="landscape" horizontalDpi="2400" verticalDpi="2400" r:id="rId17"/>
  <drawing r:id="rId18"/>
  <extLst>
    <ext xmlns:x14="http://schemas.microsoft.com/office/spreadsheetml/2009/9/main" uri="{CCE6A557-97BC-4b89-ADB6-D9C93CAAB3DF}">
      <x14:dataValidations xmlns:xm="http://schemas.microsoft.com/office/excel/2006/main"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12117F88-8650-4682-8675-6A4D8F8764E8}">
          <x14:formula1>
            <xm:f>Listes!$I$11:$I$168</xm:f>
          </x14:formula1>
          <xm:sqref>E50</xm:sqref>
        </x14:dataValidation>
        <x14:dataValidation type="list" allowBlank="1" showInputMessage="1" showErrorMessage="1" errorTitle="Veuillez ne pas modifier" error="Veuillez ne pas modifier ces cellules" xr:uid="{8994437C-F09C-4EA1-BEE4-0C82545E61A6}">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3CD7C332-1644-486C-986B-807741657D5B}">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Q284"/>
  <sheetViews>
    <sheetView showGridLines="0" topLeftCell="A230" zoomScale="85" zoomScaleNormal="85" workbookViewId="0">
      <selection activeCell="K250" sqref="K250"/>
    </sheetView>
  </sheetViews>
  <sheetFormatPr baseColWidth="10" defaultColWidth="4" defaultRowHeight="24" customHeight="1"/>
  <cols>
    <col min="1" max="1" width="4" style="12"/>
    <col min="2" max="2" width="56.5703125" style="12" customWidth="1"/>
    <col min="3" max="3" width="4" style="12"/>
    <col min="4" max="4" width="57.42578125" style="12" customWidth="1"/>
    <col min="5" max="5" width="4" style="12"/>
    <col min="6" max="6" width="53.28515625" style="12" customWidth="1"/>
    <col min="7" max="7" width="4" style="12"/>
    <col min="8" max="8" width="53.7109375" style="12" customWidth="1"/>
    <col min="9" max="15" width="4" style="12"/>
    <col min="16" max="16" width="42" style="321" bestFit="1" customWidth="1"/>
    <col min="17" max="16384" width="4" style="12"/>
  </cols>
  <sheetData>
    <row r="1" spans="2:8" ht="15.75" hidden="1" customHeight="1"/>
    <row r="2" spans="2:8" ht="16.5" hidden="1"/>
    <row r="3" spans="2:8" ht="16.5" hidden="1">
      <c r="H3" s="13" t="s">
        <v>2173</v>
      </c>
    </row>
    <row r="4" spans="2:8" ht="16.5" hidden="1">
      <c r="H4" s="13">
        <f>Introduction!G4</f>
        <v>0</v>
      </c>
    </row>
    <row r="5" spans="2:8" ht="16.5" hidden="1"/>
    <row r="6" spans="2:8" ht="16.5" hidden="1"/>
    <row r="7" spans="2:8" ht="16.5"/>
    <row r="8" spans="2:8" ht="16.5">
      <c r="B8" s="144" t="s">
        <v>2220</v>
      </c>
      <c r="C8" s="74"/>
      <c r="D8" s="74"/>
      <c r="E8" s="74"/>
      <c r="F8" s="74"/>
      <c r="G8" s="74"/>
      <c r="H8" s="74"/>
    </row>
    <row r="9" spans="2:8" ht="21">
      <c r="B9" s="73" t="s">
        <v>2174</v>
      </c>
      <c r="C9" s="74"/>
      <c r="D9" s="74"/>
      <c r="E9" s="74"/>
      <c r="F9" s="73"/>
      <c r="G9" s="74"/>
      <c r="H9" s="74"/>
    </row>
    <row r="10" spans="2:8" ht="17.100000000000001" customHeight="1">
      <c r="B10" s="371" t="s">
        <v>2065</v>
      </c>
      <c r="C10" s="371"/>
      <c r="D10" s="371"/>
      <c r="E10" s="371"/>
      <c r="F10" s="371"/>
      <c r="G10" s="371"/>
      <c r="H10" s="371"/>
    </row>
    <row r="11" spans="2:8" ht="52.15" customHeight="1">
      <c r="B11" s="370" t="s">
        <v>2221</v>
      </c>
      <c r="C11" s="370"/>
      <c r="D11" s="370"/>
      <c r="E11" s="370"/>
      <c r="F11" s="371"/>
      <c r="G11" s="371"/>
      <c r="H11" s="371"/>
    </row>
    <row r="12" spans="2:8" ht="36.6" customHeight="1">
      <c r="B12" s="370" t="s">
        <v>2222</v>
      </c>
      <c r="C12" s="370"/>
      <c r="D12" s="370"/>
      <c r="E12" s="370"/>
      <c r="F12" s="371"/>
      <c r="G12" s="371"/>
      <c r="H12" s="371"/>
    </row>
    <row r="13" spans="2:8" ht="39" customHeight="1">
      <c r="B13" s="370" t="s">
        <v>2223</v>
      </c>
      <c r="C13" s="370"/>
      <c r="D13" s="370"/>
      <c r="E13" s="370"/>
      <c r="F13" s="371"/>
      <c r="G13" s="371"/>
      <c r="H13" s="371"/>
    </row>
    <row r="14" spans="2:8" ht="17.100000000000001" customHeight="1">
      <c r="B14" s="370" t="s">
        <v>2224</v>
      </c>
      <c r="C14" s="370"/>
      <c r="D14" s="370"/>
      <c r="E14" s="370"/>
      <c r="F14" s="371"/>
      <c r="G14" s="371"/>
      <c r="H14" s="371"/>
    </row>
    <row r="15" spans="2:8" ht="15" customHeight="1">
      <c r="B15" s="377" t="s">
        <v>2225</v>
      </c>
      <c r="C15" s="378"/>
      <c r="D15" s="378"/>
      <c r="E15" s="378"/>
      <c r="F15" s="378"/>
      <c r="G15" s="378"/>
      <c r="H15" s="378"/>
    </row>
    <row r="16" spans="2:8" ht="15" customHeight="1">
      <c r="E16" s="77"/>
      <c r="F16" s="77"/>
      <c r="G16" s="77"/>
      <c r="H16" s="77"/>
    </row>
    <row r="17" spans="2:8" ht="39" customHeight="1">
      <c r="B17" s="232" t="s">
        <v>2369</v>
      </c>
      <c r="D17" s="145" t="s">
        <v>2066</v>
      </c>
      <c r="F17" s="146" t="s">
        <v>2226</v>
      </c>
      <c r="G17" s="56"/>
      <c r="H17" s="56"/>
    </row>
    <row r="18" spans="2:8" ht="16.5"/>
    <row r="19" spans="2:8">
      <c r="B19" s="147" t="s">
        <v>2227</v>
      </c>
      <c r="D19" s="148"/>
      <c r="F19" s="148"/>
    </row>
    <row r="20" spans="2:8" ht="16.5">
      <c r="B20" s="58" t="s">
        <v>2228</v>
      </c>
      <c r="D20" s="58"/>
      <c r="F20" s="58"/>
    </row>
    <row r="21" spans="2:8" ht="16.5">
      <c r="B21" s="60"/>
      <c r="D21" s="149"/>
      <c r="F21" s="149"/>
    </row>
    <row r="22" spans="2:8" ht="19.149999999999999" customHeight="1">
      <c r="B22" s="150" t="s">
        <v>2229</v>
      </c>
      <c r="C22" s="151"/>
      <c r="D22" s="150" t="s">
        <v>2230</v>
      </c>
      <c r="E22" s="151"/>
      <c r="F22" s="150" t="s">
        <v>2231</v>
      </c>
      <c r="G22" s="151"/>
      <c r="H22" s="152" t="s">
        <v>2232</v>
      </c>
    </row>
    <row r="23" spans="2:8" ht="19.149999999999999" customHeight="1">
      <c r="B23" s="153" t="s">
        <v>2233</v>
      </c>
      <c r="C23" s="111"/>
      <c r="D23" s="154"/>
      <c r="E23" s="111"/>
      <c r="F23" s="154"/>
      <c r="G23" s="111"/>
      <c r="H23" s="155"/>
    </row>
    <row r="24" spans="2:8" ht="16.5">
      <c r="B24" s="156" t="s">
        <v>2234</v>
      </c>
      <c r="C24" s="111"/>
      <c r="D24" s="157"/>
      <c r="E24" s="111"/>
      <c r="F24" s="157"/>
      <c r="G24" s="111"/>
      <c r="H24" s="158"/>
    </row>
    <row r="25" spans="2:8" ht="16.5">
      <c r="B25" s="159" t="s">
        <v>2235</v>
      </c>
      <c r="C25" s="111"/>
      <c r="D25" s="240" t="s">
        <v>1489</v>
      </c>
      <c r="E25" s="111"/>
      <c r="F25" s="240" t="s">
        <v>2741</v>
      </c>
      <c r="G25" s="111"/>
      <c r="H25" s="158"/>
    </row>
    <row r="26" spans="2:8" ht="16.5">
      <c r="B26" s="159" t="s">
        <v>2236</v>
      </c>
      <c r="C26" s="111"/>
      <c r="D26" s="240" t="s">
        <v>1489</v>
      </c>
      <c r="E26" s="111"/>
      <c r="F26" s="240" t="s">
        <v>2742</v>
      </c>
      <c r="G26" s="111"/>
      <c r="H26" s="158"/>
    </row>
    <row r="27" spans="2:8" ht="16.5">
      <c r="B27" s="159" t="s">
        <v>2520</v>
      </c>
      <c r="C27" s="111"/>
      <c r="D27" s="240" t="s">
        <v>1489</v>
      </c>
      <c r="E27" s="111"/>
      <c r="F27" s="240" t="s">
        <v>2743</v>
      </c>
      <c r="G27" s="111"/>
      <c r="H27" s="158"/>
    </row>
    <row r="28" spans="2:8" ht="16.5">
      <c r="B28" s="160" t="s">
        <v>2237</v>
      </c>
      <c r="C28" s="111"/>
      <c r="D28" s="240" t="s">
        <v>1489</v>
      </c>
      <c r="E28" s="111"/>
      <c r="F28" s="240" t="s">
        <v>2744</v>
      </c>
      <c r="G28" s="111"/>
      <c r="H28" s="161"/>
    </row>
    <row r="29" spans="2:8" ht="15" customHeight="1">
      <c r="B29" s="162"/>
      <c r="C29" s="111"/>
      <c r="D29" s="163"/>
      <c r="E29" s="111"/>
      <c r="F29" s="163"/>
      <c r="G29" s="111"/>
      <c r="H29" s="111"/>
    </row>
    <row r="30" spans="2:8" ht="16.5">
      <c r="B30" s="153" t="s">
        <v>2238</v>
      </c>
      <c r="C30" s="111"/>
      <c r="D30" s="154"/>
      <c r="E30" s="111"/>
      <c r="F30" s="154"/>
      <c r="G30" s="111"/>
      <c r="H30" s="155"/>
    </row>
    <row r="31" spans="2:8" ht="16.5">
      <c r="B31" s="156" t="s">
        <v>2234</v>
      </c>
      <c r="C31" s="111"/>
      <c r="D31" s="157"/>
      <c r="E31" s="111"/>
      <c r="F31" s="157"/>
      <c r="G31" s="111"/>
      <c r="H31" s="158"/>
    </row>
    <row r="32" spans="2:8" ht="28.5">
      <c r="B32" s="159" t="s">
        <v>2239</v>
      </c>
      <c r="C32" s="111"/>
      <c r="D32" s="240" t="s">
        <v>1489</v>
      </c>
      <c r="E32" s="111"/>
      <c r="F32" s="275" t="s">
        <v>2745</v>
      </c>
      <c r="G32" s="111"/>
      <c r="H32" s="158"/>
    </row>
    <row r="33" spans="1:8" ht="42.75">
      <c r="A33" s="164"/>
      <c r="B33" s="165" t="s">
        <v>2240</v>
      </c>
      <c r="C33" s="166"/>
      <c r="D33" s="240" t="s">
        <v>1489</v>
      </c>
      <c r="E33" s="111"/>
      <c r="F33" s="275" t="s">
        <v>2746</v>
      </c>
      <c r="G33" s="111"/>
      <c r="H33" s="158"/>
    </row>
    <row r="34" spans="1:8" ht="28.5">
      <c r="B34" s="159" t="s">
        <v>2241</v>
      </c>
      <c r="C34" s="111"/>
      <c r="D34" s="240" t="s">
        <v>1489</v>
      </c>
      <c r="E34" s="111"/>
      <c r="F34" s="275" t="s">
        <v>2747</v>
      </c>
      <c r="G34" s="111"/>
      <c r="H34" s="158"/>
    </row>
    <row r="35" spans="1:8" ht="42.75">
      <c r="B35" s="167" t="s">
        <v>2240</v>
      </c>
      <c r="C35" s="166"/>
      <c r="D35" s="240" t="s">
        <v>1489</v>
      </c>
      <c r="E35" s="111"/>
      <c r="F35" s="275" t="s">
        <v>2748</v>
      </c>
      <c r="G35" s="111"/>
      <c r="H35" s="276"/>
    </row>
    <row r="36" spans="1:8" ht="28.5">
      <c r="B36" s="159" t="s">
        <v>2242</v>
      </c>
      <c r="C36" s="111"/>
      <c r="D36" s="240" t="s">
        <v>1489</v>
      </c>
      <c r="E36" s="111"/>
      <c r="F36" s="275" t="s">
        <v>2749</v>
      </c>
      <c r="G36" s="111"/>
      <c r="H36" s="158"/>
    </row>
    <row r="37" spans="1:8" ht="142.5">
      <c r="B37" s="168" t="s">
        <v>2243</v>
      </c>
      <c r="C37" s="166"/>
      <c r="D37" s="240" t="s">
        <v>1489</v>
      </c>
      <c r="E37" s="111"/>
      <c r="F37" s="349" t="s">
        <v>2750</v>
      </c>
      <c r="G37" s="111"/>
      <c r="H37" s="276" t="s">
        <v>2817</v>
      </c>
    </row>
    <row r="38" spans="1:8" ht="16.5">
      <c r="B38" s="169"/>
      <c r="C38" s="111"/>
      <c r="D38" s="163"/>
      <c r="E38" s="111"/>
      <c r="F38" s="163"/>
      <c r="G38" s="111"/>
      <c r="H38" s="170"/>
    </row>
    <row r="39" spans="1:8" ht="16.5">
      <c r="B39" s="153" t="s">
        <v>2244</v>
      </c>
      <c r="C39" s="111"/>
      <c r="D39" s="171"/>
      <c r="E39" s="111"/>
      <c r="F39" s="171"/>
      <c r="G39" s="111"/>
      <c r="H39" s="155"/>
    </row>
    <row r="40" spans="1:8" ht="16.5">
      <c r="B40" s="156" t="s">
        <v>2245</v>
      </c>
      <c r="C40" s="111"/>
      <c r="D40" s="240" t="s">
        <v>2539</v>
      </c>
      <c r="E40" s="111"/>
      <c r="F40" s="277" t="s">
        <v>2818</v>
      </c>
      <c r="G40" s="111"/>
      <c r="H40" s="158"/>
    </row>
    <row r="41" spans="1:8" ht="16.5">
      <c r="B41" s="156" t="s">
        <v>2246</v>
      </c>
      <c r="C41" s="111"/>
      <c r="D41" s="240" t="s">
        <v>2539</v>
      </c>
      <c r="E41" s="111"/>
      <c r="F41" s="277" t="s">
        <v>2819</v>
      </c>
      <c r="G41" s="111"/>
      <c r="H41" s="158"/>
    </row>
    <row r="42" spans="1:8" ht="28.5">
      <c r="B42" s="172" t="s">
        <v>2247</v>
      </c>
      <c r="C42" s="111"/>
      <c r="D42" s="242" t="s">
        <v>1496</v>
      </c>
      <c r="E42" s="111"/>
      <c r="F42" s="242"/>
      <c r="G42" s="111"/>
      <c r="H42" s="161"/>
    </row>
    <row r="43" spans="1:8" ht="16.5">
      <c r="B43" s="162"/>
      <c r="C43" s="111"/>
      <c r="D43" s="163"/>
      <c r="E43" s="111"/>
      <c r="F43" s="163"/>
      <c r="G43" s="111"/>
      <c r="H43" s="111"/>
    </row>
    <row r="44" spans="1:8" ht="16.5">
      <c r="B44" s="153" t="s">
        <v>2248</v>
      </c>
      <c r="C44" s="111"/>
      <c r="D44" s="171"/>
      <c r="E44" s="111"/>
      <c r="F44" s="171"/>
      <c r="G44" s="111"/>
      <c r="H44" s="155"/>
    </row>
    <row r="45" spans="1:8" ht="16.5">
      <c r="B45" s="156" t="s">
        <v>2249</v>
      </c>
      <c r="C45" s="111"/>
      <c r="D45" s="240" t="s">
        <v>1489</v>
      </c>
      <c r="E45" s="111"/>
      <c r="F45" s="275" t="s">
        <v>2751</v>
      </c>
      <c r="G45" s="111"/>
      <c r="H45" s="158"/>
    </row>
    <row r="46" spans="1:8" ht="28.15" customHeight="1">
      <c r="B46" s="159" t="s">
        <v>2250</v>
      </c>
      <c r="C46" s="111"/>
      <c r="D46" s="240" t="s">
        <v>2539</v>
      </c>
      <c r="E46" s="111"/>
      <c r="F46" s="380" t="s">
        <v>2704</v>
      </c>
      <c r="G46" s="111"/>
      <c r="H46" s="158"/>
    </row>
    <row r="47" spans="1:8" ht="16.5">
      <c r="B47" s="156" t="s">
        <v>2251</v>
      </c>
      <c r="C47" s="111"/>
      <c r="D47" s="240" t="s">
        <v>2539</v>
      </c>
      <c r="E47" s="111"/>
      <c r="F47" s="380"/>
      <c r="G47" s="111"/>
      <c r="H47" s="158"/>
    </row>
    <row r="48" spans="1:8" ht="16.5">
      <c r="B48" s="156" t="s">
        <v>2252</v>
      </c>
      <c r="C48" s="111"/>
      <c r="D48" s="240" t="s">
        <v>2539</v>
      </c>
      <c r="E48" s="111"/>
      <c r="F48" s="380"/>
      <c r="G48" s="111"/>
      <c r="H48" s="158"/>
    </row>
    <row r="49" spans="2:8" ht="28.5">
      <c r="B49" s="172" t="s">
        <v>2253</v>
      </c>
      <c r="C49" s="111"/>
      <c r="D49" s="240" t="s">
        <v>1496</v>
      </c>
      <c r="E49" s="111"/>
      <c r="F49" s="240"/>
      <c r="G49" s="111"/>
      <c r="H49" s="161"/>
    </row>
    <row r="50" spans="2:8" ht="16.5">
      <c r="B50" s="162"/>
      <c r="C50" s="111"/>
      <c r="D50" s="163"/>
      <c r="E50" s="111"/>
      <c r="F50" s="163"/>
      <c r="G50" s="111"/>
      <c r="H50" s="111"/>
    </row>
    <row r="51" spans="2:8" ht="16.5">
      <c r="B51" s="153" t="s">
        <v>2254</v>
      </c>
      <c r="C51" s="111"/>
      <c r="D51" s="173"/>
      <c r="E51" s="111"/>
      <c r="F51" s="173"/>
      <c r="G51" s="111"/>
      <c r="H51" s="155"/>
    </row>
    <row r="52" spans="2:8" ht="16.5">
      <c r="B52" s="156" t="s">
        <v>2255</v>
      </c>
      <c r="C52" s="111"/>
      <c r="D52" s="240" t="s">
        <v>1489</v>
      </c>
      <c r="E52" s="111"/>
      <c r="F52" s="275" t="s">
        <v>2752</v>
      </c>
      <c r="G52" s="111"/>
      <c r="H52" s="158"/>
    </row>
    <row r="53" spans="2:8" ht="16.5">
      <c r="B53" s="159" t="s">
        <v>2256</v>
      </c>
      <c r="C53" s="111"/>
      <c r="D53" s="240" t="s">
        <v>1489</v>
      </c>
      <c r="E53" s="111"/>
      <c r="F53" s="275" t="s">
        <v>2752</v>
      </c>
      <c r="G53" s="111"/>
      <c r="H53" s="158"/>
    </row>
    <row r="54" spans="2:8" ht="16.5">
      <c r="B54" s="174" t="s">
        <v>2257</v>
      </c>
      <c r="C54" s="111"/>
      <c r="D54" s="241" t="str">
        <f>IF(OR(D53=Listes!$K$4),"&lt; nom du registre &gt;","")</f>
        <v/>
      </c>
      <c r="E54" s="111"/>
      <c r="F54" s="242" t="str">
        <f>IF(D54="&lt; nom du registre &gt;","&lt; Indiquez l'URL de la source &gt;",IF(D54=Listes!$K$5,"&lt; Référence de la section dans le Rapport ITIE ou URL&gt;",IF(D54=Listes!$K$6,"&lt; Référence de la non-applicabilité &gt;","")))</f>
        <v/>
      </c>
      <c r="G54" s="111"/>
      <c r="H54" s="161"/>
    </row>
    <row r="55" spans="2:8" ht="16.5">
      <c r="B55" s="162"/>
      <c r="C55" s="111"/>
      <c r="D55" s="163"/>
      <c r="E55" s="111"/>
      <c r="F55" s="163"/>
      <c r="G55" s="111"/>
      <c r="H55" s="111"/>
    </row>
    <row r="56" spans="2:8" ht="16.5">
      <c r="B56" s="153" t="s">
        <v>2258</v>
      </c>
      <c r="C56" s="111"/>
      <c r="D56" s="173"/>
      <c r="E56" s="111"/>
      <c r="F56" s="173"/>
      <c r="G56" s="111"/>
      <c r="H56" s="155"/>
    </row>
    <row r="57" spans="2:8" ht="28.5">
      <c r="B57" s="175" t="s">
        <v>2259</v>
      </c>
      <c r="C57" s="111"/>
      <c r="D57" s="240" t="s">
        <v>1489</v>
      </c>
      <c r="E57" s="111"/>
      <c r="F57" s="275" t="s">
        <v>2753</v>
      </c>
      <c r="G57" s="111"/>
      <c r="H57" s="158"/>
    </row>
    <row r="58" spans="2:8" ht="42.75">
      <c r="B58" s="176" t="s">
        <v>2128</v>
      </c>
      <c r="C58" s="111"/>
      <c r="D58" s="240" t="s">
        <v>2539</v>
      </c>
      <c r="E58" s="111"/>
      <c r="F58" s="278" t="s">
        <v>2540</v>
      </c>
      <c r="G58" s="111"/>
      <c r="H58" s="158"/>
    </row>
    <row r="59" spans="2:8" ht="28.5">
      <c r="B59" s="177" t="s">
        <v>2127</v>
      </c>
      <c r="C59" s="111"/>
      <c r="D59" s="242" t="s">
        <v>1489</v>
      </c>
      <c r="E59" s="111"/>
      <c r="F59" s="290" t="s">
        <v>2754</v>
      </c>
      <c r="G59" s="111"/>
      <c r="H59" s="161"/>
    </row>
    <row r="60" spans="2:8" ht="16.5">
      <c r="B60" s="162"/>
      <c r="C60" s="111"/>
      <c r="D60" s="163"/>
      <c r="E60" s="111"/>
      <c r="F60" s="163"/>
      <c r="G60" s="111"/>
      <c r="H60" s="111"/>
    </row>
    <row r="61" spans="2:8" ht="16.5">
      <c r="B61" s="153" t="s">
        <v>2260</v>
      </c>
      <c r="C61" s="111"/>
      <c r="D61" s="173"/>
      <c r="E61" s="111"/>
      <c r="F61" s="173"/>
      <c r="G61" s="111"/>
      <c r="H61" s="155"/>
    </row>
    <row r="62" spans="2:8" ht="28.5">
      <c r="B62" s="172" t="s">
        <v>2092</v>
      </c>
      <c r="C62" s="111"/>
      <c r="D62" s="240" t="s">
        <v>1489</v>
      </c>
      <c r="E62" s="111"/>
      <c r="F62" s="275" t="s">
        <v>2755</v>
      </c>
      <c r="G62" s="111"/>
      <c r="H62" s="161"/>
    </row>
    <row r="63" spans="2:8" ht="16.5">
      <c r="B63" s="162"/>
      <c r="C63" s="111"/>
      <c r="D63" s="163"/>
      <c r="E63" s="111"/>
      <c r="F63" s="163"/>
      <c r="G63" s="111"/>
      <c r="H63" s="111"/>
    </row>
    <row r="64" spans="2:8" ht="16.5">
      <c r="B64" s="153" t="s">
        <v>2261</v>
      </c>
      <c r="C64" s="111"/>
      <c r="D64" s="173"/>
      <c r="E64" s="111"/>
      <c r="F64" s="173"/>
      <c r="G64" s="111"/>
      <c r="H64" s="155"/>
    </row>
    <row r="65" spans="2:17" ht="16.5">
      <c r="B65" s="266" t="s">
        <v>2523</v>
      </c>
      <c r="C65" s="111"/>
      <c r="D65" s="265"/>
      <c r="E65" s="111"/>
      <c r="F65" s="265"/>
      <c r="G65" s="111"/>
      <c r="H65" s="158"/>
    </row>
    <row r="66" spans="2:17" ht="16.5">
      <c r="B66" s="175" t="s">
        <v>2262</v>
      </c>
      <c r="C66" s="111"/>
      <c r="D66" s="240" t="s">
        <v>1489</v>
      </c>
      <c r="E66" s="111"/>
      <c r="F66" s="275" t="s">
        <v>2756</v>
      </c>
      <c r="G66" s="111"/>
      <c r="H66" s="158"/>
    </row>
    <row r="67" spans="2:17" ht="16.5">
      <c r="B67" s="175" t="s">
        <v>2263</v>
      </c>
      <c r="C67" s="111"/>
      <c r="D67" s="240" t="s">
        <v>1489</v>
      </c>
      <c r="E67" s="111"/>
      <c r="F67" s="275" t="s">
        <v>2756</v>
      </c>
      <c r="G67" s="111"/>
      <c r="H67" s="158"/>
    </row>
    <row r="68" spans="2:17" ht="16.5">
      <c r="B68" s="264" t="s">
        <v>2479</v>
      </c>
      <c r="C68" s="111"/>
      <c r="D68" s="351">
        <v>15.074027009600837</v>
      </c>
      <c r="E68" s="111"/>
      <c r="F68" s="240" t="s">
        <v>2119</v>
      </c>
      <c r="G68" s="111"/>
      <c r="H68" s="353" t="s">
        <v>2596</v>
      </c>
    </row>
    <row r="69" spans="2:17" ht="16.5">
      <c r="B69" s="176" t="s">
        <v>2541</v>
      </c>
      <c r="C69" s="111"/>
      <c r="D69" s="279">
        <v>539698675869</v>
      </c>
      <c r="E69" s="326"/>
      <c r="F69" s="240" t="s">
        <v>1172</v>
      </c>
      <c r="G69" s="111"/>
      <c r="H69" s="353" t="s">
        <v>2596</v>
      </c>
      <c r="P69" s="321">
        <v>390697165834</v>
      </c>
      <c r="Q69" s="12" t="s">
        <v>2682</v>
      </c>
    </row>
    <row r="70" spans="2:17" ht="16.5">
      <c r="B70" s="264" t="s">
        <v>2445</v>
      </c>
      <c r="C70" s="111"/>
      <c r="D70" s="280">
        <v>4446906</v>
      </c>
      <c r="E70" s="111"/>
      <c r="F70" s="240" t="s">
        <v>2264</v>
      </c>
      <c r="G70" s="111"/>
      <c r="H70" s="158" t="s">
        <v>2729</v>
      </c>
    </row>
    <row r="71" spans="2:17" ht="16.5">
      <c r="B71" s="176" t="str">
        <f>LEFT(B70,SEARCH(",",B70))&amp;" valeur"</f>
        <v>Gaz naturel (2711), valeur</v>
      </c>
      <c r="C71" s="111"/>
      <c r="D71" s="279">
        <v>876975000</v>
      </c>
      <c r="E71" s="326"/>
      <c r="F71" s="240" t="s">
        <v>1172</v>
      </c>
      <c r="G71" s="111"/>
      <c r="H71" s="158" t="s">
        <v>2729</v>
      </c>
      <c r="P71" s="321">
        <v>1040490000</v>
      </c>
      <c r="Q71" s="12" t="s">
        <v>2682</v>
      </c>
    </row>
    <row r="72" spans="2:17" ht="16.5">
      <c r="B72" s="264" t="s">
        <v>2417</v>
      </c>
      <c r="C72" s="111"/>
      <c r="D72" s="322">
        <v>4019398</v>
      </c>
      <c r="E72" s="111"/>
      <c r="F72" s="240" t="s">
        <v>2119</v>
      </c>
      <c r="G72" s="111"/>
      <c r="H72" s="158" t="s">
        <v>2713</v>
      </c>
    </row>
    <row r="73" spans="2:17" ht="16.5">
      <c r="B73" s="176" t="s">
        <v>2547</v>
      </c>
      <c r="C73" s="111"/>
      <c r="D73" s="352">
        <v>179409239495</v>
      </c>
      <c r="E73" s="326"/>
      <c r="F73" s="240" t="s">
        <v>1172</v>
      </c>
      <c r="G73" s="111"/>
      <c r="H73" s="158" t="s">
        <v>2713</v>
      </c>
      <c r="P73" s="321">
        <v>76722890327</v>
      </c>
      <c r="Q73" s="12" t="s">
        <v>2682</v>
      </c>
    </row>
    <row r="74" spans="2:17" ht="16.5">
      <c r="B74" s="264" t="s">
        <v>2393</v>
      </c>
      <c r="C74" s="111"/>
      <c r="D74" s="322">
        <v>2348892</v>
      </c>
      <c r="E74" s="111"/>
      <c r="F74" s="240" t="s">
        <v>2119</v>
      </c>
      <c r="G74" s="111"/>
      <c r="H74" s="158" t="s">
        <v>2714</v>
      </c>
    </row>
    <row r="75" spans="2:17" ht="16.5">
      <c r="B75" s="176" t="s">
        <v>2546</v>
      </c>
      <c r="C75" s="111"/>
      <c r="D75" s="352">
        <v>83039776543</v>
      </c>
      <c r="E75" s="326"/>
      <c r="F75" s="240" t="s">
        <v>1172</v>
      </c>
      <c r="G75" s="111"/>
      <c r="H75" s="158" t="s">
        <v>2714</v>
      </c>
      <c r="P75" s="321">
        <v>1847636811</v>
      </c>
      <c r="Q75" s="12" t="s">
        <v>2682</v>
      </c>
    </row>
    <row r="76" spans="2:17" ht="16.5">
      <c r="B76" s="264" t="s">
        <v>2393</v>
      </c>
      <c r="C76" s="111"/>
      <c r="D76" s="322">
        <v>328742</v>
      </c>
      <c r="E76" s="111"/>
      <c r="F76" s="240" t="s">
        <v>2119</v>
      </c>
      <c r="G76" s="111"/>
      <c r="H76" s="158" t="s">
        <v>2715</v>
      </c>
    </row>
    <row r="77" spans="2:17" ht="16.5">
      <c r="B77" s="176" t="s">
        <v>2546</v>
      </c>
      <c r="C77" s="111"/>
      <c r="D77" s="352">
        <v>66987102119</v>
      </c>
      <c r="E77" s="326"/>
      <c r="F77" s="240" t="s">
        <v>1172</v>
      </c>
      <c r="G77" s="111"/>
      <c r="H77" s="158" t="s">
        <v>2715</v>
      </c>
      <c r="P77" s="321">
        <v>292022380000</v>
      </c>
      <c r="Q77" s="12" t="s">
        <v>2682</v>
      </c>
    </row>
    <row r="78" spans="2:17" ht="16.5">
      <c r="B78" s="264" t="s">
        <v>2483</v>
      </c>
      <c r="C78" s="111"/>
      <c r="D78" s="322">
        <v>1987398</v>
      </c>
      <c r="E78" s="111"/>
      <c r="F78" s="240" t="s">
        <v>2119</v>
      </c>
      <c r="G78" s="111"/>
      <c r="H78" s="158" t="s">
        <v>2716</v>
      </c>
    </row>
    <row r="79" spans="2:17" ht="16.5">
      <c r="B79" s="176" t="s">
        <v>2542</v>
      </c>
      <c r="C79" s="111"/>
      <c r="D79" s="352">
        <v>59957389947</v>
      </c>
      <c r="E79" s="326"/>
      <c r="F79" s="240" t="s">
        <v>1172</v>
      </c>
      <c r="G79" s="111"/>
      <c r="H79" s="158" t="s">
        <v>2716</v>
      </c>
      <c r="P79" s="321">
        <v>157671670</v>
      </c>
      <c r="Q79" s="12" t="s">
        <v>2682</v>
      </c>
    </row>
    <row r="80" spans="2:17" ht="16.5">
      <c r="B80" s="264" t="s">
        <v>2483</v>
      </c>
      <c r="C80" s="111"/>
      <c r="D80" s="322">
        <v>549556</v>
      </c>
      <c r="E80" s="111"/>
      <c r="F80" s="240" t="s">
        <v>2119</v>
      </c>
      <c r="G80" s="111"/>
      <c r="H80" s="158" t="s">
        <v>2717</v>
      </c>
    </row>
    <row r="81" spans="2:17" ht="16.5">
      <c r="B81" s="176" t="s">
        <v>2542</v>
      </c>
      <c r="C81" s="111"/>
      <c r="D81" s="352">
        <v>56442979011</v>
      </c>
      <c r="E81" s="326"/>
      <c r="F81" s="240" t="s">
        <v>1172</v>
      </c>
      <c r="G81" s="111"/>
      <c r="H81" s="158" t="s">
        <v>2717</v>
      </c>
      <c r="P81" s="321">
        <v>11426587417</v>
      </c>
      <c r="Q81" s="12" t="s">
        <v>2682</v>
      </c>
    </row>
    <row r="82" spans="2:17" ht="16.5">
      <c r="B82" s="264" t="s">
        <v>2393</v>
      </c>
      <c r="C82" s="111"/>
      <c r="D82" s="322">
        <v>34583</v>
      </c>
      <c r="E82" s="111"/>
      <c r="F82" s="240" t="s">
        <v>2119</v>
      </c>
      <c r="G82" s="111"/>
      <c r="H82" s="158" t="s">
        <v>2718</v>
      </c>
    </row>
    <row r="83" spans="2:17" ht="16.5">
      <c r="B83" s="176" t="s">
        <v>2546</v>
      </c>
      <c r="C83" s="111"/>
      <c r="D83" s="352">
        <v>46680083232</v>
      </c>
      <c r="E83" s="326"/>
      <c r="F83" s="240" t="s">
        <v>1172</v>
      </c>
      <c r="G83" s="111"/>
      <c r="H83" s="158" t="s">
        <v>2718</v>
      </c>
      <c r="P83" s="321">
        <v>518248093</v>
      </c>
      <c r="Q83" s="12" t="s">
        <v>2682</v>
      </c>
    </row>
    <row r="84" spans="2:17" ht="16.5">
      <c r="B84" s="264" t="s">
        <v>2393</v>
      </c>
      <c r="C84" s="111"/>
      <c r="D84" s="352">
        <v>4053382</v>
      </c>
      <c r="E84" s="111"/>
      <c r="F84" s="240" t="s">
        <v>2119</v>
      </c>
      <c r="G84" s="111"/>
      <c r="H84" s="158" t="s">
        <v>2605</v>
      </c>
    </row>
    <row r="85" spans="2:17" ht="16.5">
      <c r="B85" s="176" t="s">
        <v>2546</v>
      </c>
      <c r="C85" s="111"/>
      <c r="D85" s="352">
        <v>32711986033</v>
      </c>
      <c r="E85" s="326"/>
      <c r="F85" s="240" t="s">
        <v>1172</v>
      </c>
      <c r="G85" s="111"/>
      <c r="H85" s="158" t="s">
        <v>2605</v>
      </c>
      <c r="P85" s="321">
        <v>583517114</v>
      </c>
      <c r="Q85" s="12" t="s">
        <v>2682</v>
      </c>
    </row>
    <row r="86" spans="2:17" ht="16.5">
      <c r="B86" s="264" t="s">
        <v>2393</v>
      </c>
      <c r="C86" s="111"/>
      <c r="D86" s="322">
        <v>22498</v>
      </c>
      <c r="E86" s="111"/>
      <c r="F86" s="240" t="s">
        <v>2119</v>
      </c>
      <c r="G86" s="111"/>
      <c r="H86" s="158" t="s">
        <v>2719</v>
      </c>
    </row>
    <row r="87" spans="2:17" ht="16.5">
      <c r="B87" s="176" t="s">
        <v>2546</v>
      </c>
      <c r="C87" s="111"/>
      <c r="D87" s="352">
        <v>29136495247</v>
      </c>
      <c r="E87" s="326"/>
      <c r="F87" s="240" t="s">
        <v>1172</v>
      </c>
      <c r="G87" s="111"/>
      <c r="H87" s="158" t="s">
        <v>2719</v>
      </c>
      <c r="P87" s="321">
        <v>267111000</v>
      </c>
      <c r="Q87" s="12" t="s">
        <v>2682</v>
      </c>
    </row>
    <row r="88" spans="2:17" ht="16.5">
      <c r="B88" s="264" t="s">
        <v>2393</v>
      </c>
      <c r="C88" s="111"/>
      <c r="D88" s="322">
        <v>133804</v>
      </c>
      <c r="E88" s="111"/>
      <c r="F88" s="240" t="s">
        <v>2119</v>
      </c>
      <c r="G88" s="111"/>
      <c r="H88" s="158" t="s">
        <v>2720</v>
      </c>
    </row>
    <row r="89" spans="2:17" ht="16.5">
      <c r="B89" s="176" t="s">
        <v>2546</v>
      </c>
      <c r="C89" s="111"/>
      <c r="D89" s="352">
        <v>28951526564</v>
      </c>
      <c r="E89" s="326"/>
      <c r="F89" s="240" t="s">
        <v>1172</v>
      </c>
      <c r="G89" s="111"/>
      <c r="H89" s="158" t="s">
        <v>2720</v>
      </c>
      <c r="P89" s="321">
        <v>7551095651</v>
      </c>
      <c r="Q89" s="12" t="s">
        <v>2682</v>
      </c>
    </row>
    <row r="90" spans="2:17" ht="16.5">
      <c r="B90" s="264" t="s">
        <v>2405</v>
      </c>
      <c r="C90" s="111"/>
      <c r="D90" s="322">
        <v>1599934</v>
      </c>
      <c r="E90" s="111"/>
      <c r="F90" s="240" t="s">
        <v>2264</v>
      </c>
      <c r="G90" s="111"/>
      <c r="H90" s="158" t="s">
        <v>2721</v>
      </c>
    </row>
    <row r="91" spans="2:17" ht="16.5">
      <c r="B91" s="176" t="s">
        <v>2544</v>
      </c>
      <c r="C91" s="111"/>
      <c r="D91" s="352">
        <v>7999670000</v>
      </c>
      <c r="E91" s="326"/>
      <c r="F91" s="240" t="s">
        <v>1172</v>
      </c>
      <c r="G91" s="111"/>
      <c r="H91" s="158" t="s">
        <v>2721</v>
      </c>
      <c r="P91" s="321">
        <v>4315183425</v>
      </c>
      <c r="Q91" s="12" t="s">
        <v>2682</v>
      </c>
    </row>
    <row r="92" spans="2:17" ht="16.5">
      <c r="B92" s="264" t="s">
        <v>2393</v>
      </c>
      <c r="C92" s="111"/>
      <c r="D92" s="322">
        <v>35551</v>
      </c>
      <c r="E92" s="111"/>
      <c r="F92" s="240" t="s">
        <v>2119</v>
      </c>
      <c r="G92" s="111"/>
      <c r="H92" s="158" t="s">
        <v>2722</v>
      </c>
    </row>
    <row r="93" spans="2:17" ht="16.5">
      <c r="B93" s="176" t="s">
        <v>2546</v>
      </c>
      <c r="C93" s="111"/>
      <c r="D93" s="352">
        <v>7543497575</v>
      </c>
      <c r="E93" s="326"/>
      <c r="F93" s="240" t="s">
        <v>1172</v>
      </c>
      <c r="G93" s="111"/>
      <c r="H93" s="158" t="s">
        <v>2722</v>
      </c>
      <c r="P93" s="321">
        <v>13897822000</v>
      </c>
      <c r="Q93" s="12" t="s">
        <v>2682</v>
      </c>
    </row>
    <row r="94" spans="2:17" ht="16.5">
      <c r="B94" s="264" t="s">
        <v>2393</v>
      </c>
      <c r="C94" s="111"/>
      <c r="D94" s="322">
        <v>26981</v>
      </c>
      <c r="E94" s="111"/>
      <c r="F94" s="240" t="s">
        <v>2119</v>
      </c>
      <c r="G94" s="111"/>
      <c r="H94" s="158" t="s">
        <v>2723</v>
      </c>
    </row>
    <row r="95" spans="2:17" ht="16.5">
      <c r="B95" s="176" t="s">
        <v>2546</v>
      </c>
      <c r="C95" s="111"/>
      <c r="D95" s="352">
        <v>7039966533</v>
      </c>
      <c r="E95" s="326"/>
      <c r="F95" s="240" t="s">
        <v>1172</v>
      </c>
      <c r="G95" s="111"/>
      <c r="H95" s="158" t="s">
        <v>2723</v>
      </c>
      <c r="P95" s="321">
        <v>54216941469</v>
      </c>
      <c r="Q95" s="12" t="s">
        <v>2682</v>
      </c>
    </row>
    <row r="96" spans="2:17" ht="16.5">
      <c r="B96" s="264" t="s">
        <v>2483</v>
      </c>
      <c r="C96" s="111"/>
      <c r="D96" s="322">
        <v>69006</v>
      </c>
      <c r="E96" s="111"/>
      <c r="F96" s="240" t="s">
        <v>2119</v>
      </c>
      <c r="G96" s="111"/>
      <c r="H96" s="158" t="s">
        <v>2724</v>
      </c>
    </row>
    <row r="97" spans="2:17" ht="16.5">
      <c r="B97" s="176" t="s">
        <v>2542</v>
      </c>
      <c r="C97" s="111"/>
      <c r="D97" s="352">
        <v>6091675324</v>
      </c>
      <c r="E97" s="326"/>
      <c r="F97" s="240" t="s">
        <v>1172</v>
      </c>
      <c r="G97" s="111"/>
      <c r="H97" s="158" t="s">
        <v>2724</v>
      </c>
      <c r="P97" s="321">
        <v>3690588362</v>
      </c>
      <c r="Q97" s="12" t="s">
        <v>2682</v>
      </c>
    </row>
    <row r="98" spans="2:17" ht="16.5">
      <c r="B98" s="264" t="s">
        <v>2393</v>
      </c>
      <c r="C98" s="111"/>
      <c r="D98" s="322">
        <v>6284</v>
      </c>
      <c r="E98" s="111"/>
      <c r="F98" s="240" t="s">
        <v>2119</v>
      </c>
      <c r="G98" s="111"/>
      <c r="H98" s="158" t="s">
        <v>2725</v>
      </c>
    </row>
    <row r="99" spans="2:17" ht="16.5">
      <c r="B99" s="176" t="s">
        <v>2546</v>
      </c>
      <c r="C99" s="111"/>
      <c r="D99" s="352">
        <v>5343597553</v>
      </c>
      <c r="E99" s="326"/>
      <c r="F99" s="240" t="s">
        <v>1172</v>
      </c>
      <c r="G99" s="111"/>
      <c r="H99" s="158" t="s">
        <v>2725</v>
      </c>
      <c r="P99" s="321">
        <v>20728624548</v>
      </c>
      <c r="Q99" s="12" t="s">
        <v>2682</v>
      </c>
    </row>
    <row r="100" spans="2:17" ht="16.5">
      <c r="B100" s="264" t="s">
        <v>2393</v>
      </c>
      <c r="C100" s="111"/>
      <c r="D100" s="322">
        <v>4203</v>
      </c>
      <c r="E100" s="111"/>
      <c r="F100" s="240" t="s">
        <v>2119</v>
      </c>
      <c r="G100" s="111"/>
      <c r="H100" s="158" t="s">
        <v>2726</v>
      </c>
    </row>
    <row r="101" spans="2:17" ht="16.5">
      <c r="B101" s="176" t="s">
        <v>2546</v>
      </c>
      <c r="C101" s="111"/>
      <c r="D101" s="352">
        <v>5251482196</v>
      </c>
      <c r="E101" s="326"/>
      <c r="F101" s="240" t="s">
        <v>1172</v>
      </c>
      <c r="G101" s="111"/>
      <c r="H101" s="158" t="s">
        <v>2726</v>
      </c>
      <c r="P101" s="321">
        <v>3595901024</v>
      </c>
      <c r="Q101" s="12" t="s">
        <v>2682</v>
      </c>
    </row>
    <row r="102" spans="2:17" ht="16.5">
      <c r="B102" s="264" t="s">
        <v>2405</v>
      </c>
      <c r="C102" s="111"/>
      <c r="D102" s="322">
        <v>1990935</v>
      </c>
      <c r="E102" s="111"/>
      <c r="F102" s="240" t="s">
        <v>2119</v>
      </c>
      <c r="G102" s="111"/>
      <c r="H102" s="158" t="s">
        <v>2727</v>
      </c>
    </row>
    <row r="103" spans="2:17" ht="16.5">
      <c r="B103" s="176" t="s">
        <v>2544</v>
      </c>
      <c r="C103" s="111"/>
      <c r="D103" s="352">
        <v>4370102325</v>
      </c>
      <c r="E103" s="326"/>
      <c r="F103" s="240" t="s">
        <v>1172</v>
      </c>
      <c r="G103" s="111"/>
      <c r="H103" s="158" t="s">
        <v>2727</v>
      </c>
      <c r="P103" s="321">
        <v>6696786033</v>
      </c>
      <c r="Q103" s="12" t="s">
        <v>2682</v>
      </c>
    </row>
    <row r="104" spans="2:17" ht="16.5">
      <c r="B104" s="264" t="s">
        <v>2405</v>
      </c>
      <c r="C104" s="111"/>
      <c r="D104" s="322">
        <v>4242228</v>
      </c>
      <c r="E104" s="111"/>
      <c r="F104" s="240" t="s">
        <v>2119</v>
      </c>
      <c r="G104" s="111"/>
      <c r="H104" s="158" t="s">
        <v>2721</v>
      </c>
    </row>
    <row r="105" spans="2:17" ht="16.5">
      <c r="B105" s="176" t="s">
        <v>2544</v>
      </c>
      <c r="C105" s="111"/>
      <c r="D105" s="352">
        <v>3557171168</v>
      </c>
      <c r="E105" s="326"/>
      <c r="F105" s="240" t="s">
        <v>1172</v>
      </c>
      <c r="G105" s="111"/>
      <c r="H105" s="158" t="s">
        <v>2721</v>
      </c>
      <c r="P105" s="321">
        <v>3629677988</v>
      </c>
      <c r="Q105" s="12" t="s">
        <v>2682</v>
      </c>
    </row>
    <row r="106" spans="2:17" ht="16.5">
      <c r="B106" s="264" t="s">
        <v>2389</v>
      </c>
      <c r="C106" s="111"/>
      <c r="D106" s="322">
        <v>1.3254080961780155</v>
      </c>
      <c r="E106" s="111"/>
      <c r="F106" s="240" t="s">
        <v>2119</v>
      </c>
      <c r="G106" s="111"/>
      <c r="H106" s="158" t="s">
        <v>2664</v>
      </c>
    </row>
    <row r="107" spans="2:17" ht="16.5">
      <c r="B107" s="176" t="s">
        <v>2663</v>
      </c>
      <c r="C107" s="111"/>
      <c r="D107" s="352">
        <v>524686399</v>
      </c>
      <c r="E107" s="326"/>
      <c r="F107" s="240" t="s">
        <v>1172</v>
      </c>
      <c r="G107" s="111"/>
      <c r="H107" s="158" t="s">
        <v>2664</v>
      </c>
      <c r="P107" s="321">
        <v>33867923004</v>
      </c>
      <c r="Q107" s="12" t="s">
        <v>2682</v>
      </c>
    </row>
    <row r="108" spans="2:17" ht="16.5">
      <c r="B108" s="264" t="s">
        <v>2393</v>
      </c>
      <c r="C108" s="111"/>
      <c r="D108" s="322">
        <v>183914</v>
      </c>
      <c r="E108" s="111"/>
      <c r="F108" s="240" t="s">
        <v>2119</v>
      </c>
      <c r="G108" s="111"/>
      <c r="H108" s="158" t="s">
        <v>2728</v>
      </c>
    </row>
    <row r="109" spans="2:17" ht="16.5">
      <c r="B109" s="176" t="s">
        <v>2546</v>
      </c>
      <c r="C109" s="111"/>
      <c r="D109" s="352">
        <v>395011254</v>
      </c>
      <c r="E109" s="326"/>
      <c r="F109" s="240" t="s">
        <v>1172</v>
      </c>
      <c r="G109" s="111"/>
      <c r="H109" s="158" t="s">
        <v>2728</v>
      </c>
      <c r="P109" s="321">
        <v>21177898265</v>
      </c>
      <c r="Q109" s="12" t="s">
        <v>2682</v>
      </c>
    </row>
    <row r="110" spans="2:17" ht="16.5">
      <c r="B110" s="264" t="s">
        <v>2391</v>
      </c>
      <c r="C110" s="111"/>
      <c r="D110" s="322">
        <v>400578</v>
      </c>
      <c r="E110" s="111"/>
      <c r="F110" s="240" t="s">
        <v>2119</v>
      </c>
      <c r="G110" s="111"/>
      <c r="H110" s="158" t="s">
        <v>2683</v>
      </c>
    </row>
    <row r="111" spans="2:17" ht="16.5">
      <c r="B111" s="176" t="s">
        <v>2543</v>
      </c>
      <c r="C111" s="111"/>
      <c r="D111" s="352" t="s">
        <v>445</v>
      </c>
      <c r="E111" s="326"/>
      <c r="F111" s="240" t="s">
        <v>1172</v>
      </c>
      <c r="G111" s="111"/>
      <c r="H111" s="158" t="s">
        <v>2683</v>
      </c>
      <c r="P111" s="321">
        <v>21177898265</v>
      </c>
      <c r="Q111" s="12" t="s">
        <v>2682</v>
      </c>
    </row>
    <row r="112" spans="2:17" ht="16.5">
      <c r="B112" s="264" t="s">
        <v>2465</v>
      </c>
      <c r="C112" s="111"/>
      <c r="D112" s="322">
        <v>31092</v>
      </c>
      <c r="E112" s="111"/>
      <c r="F112" s="240" t="s">
        <v>2119</v>
      </c>
      <c r="G112" s="111"/>
      <c r="H112" s="158" t="s">
        <v>2685</v>
      </c>
    </row>
    <row r="113" spans="2:16" ht="16.5">
      <c r="B113" s="264" t="s">
        <v>2545</v>
      </c>
      <c r="C113" s="111"/>
      <c r="D113" s="322" t="s">
        <v>445</v>
      </c>
      <c r="E113" s="111"/>
      <c r="F113" s="240" t="s">
        <v>1172</v>
      </c>
      <c r="G113" s="111"/>
      <c r="H113" s="158" t="s">
        <v>2685</v>
      </c>
    </row>
    <row r="114" spans="2:16" ht="16.5">
      <c r="B114" s="162"/>
      <c r="C114" s="111"/>
      <c r="D114" s="163"/>
      <c r="E114" s="111"/>
      <c r="F114" s="163"/>
      <c r="G114" s="111"/>
      <c r="H114" s="111"/>
    </row>
    <row r="115" spans="2:16" ht="16.5">
      <c r="B115" s="153" t="s">
        <v>2265</v>
      </c>
      <c r="C115" s="111"/>
      <c r="D115" s="173"/>
      <c r="E115" s="111"/>
      <c r="F115" s="173"/>
      <c r="G115" s="111"/>
      <c r="H115" s="155"/>
    </row>
    <row r="116" spans="2:16" ht="16.5">
      <c r="B116" s="175" t="s">
        <v>2266</v>
      </c>
      <c r="C116" s="111"/>
      <c r="D116" s="240" t="s">
        <v>1489</v>
      </c>
      <c r="E116" s="111"/>
      <c r="F116" s="275" t="s">
        <v>2757</v>
      </c>
      <c r="G116" s="111"/>
      <c r="H116" s="158"/>
    </row>
    <row r="117" spans="2:16" ht="16.5">
      <c r="B117" s="175" t="s">
        <v>2267</v>
      </c>
      <c r="C117" s="111"/>
      <c r="D117" s="240" t="s">
        <v>1489</v>
      </c>
      <c r="E117" s="111"/>
      <c r="F117" s="275" t="s">
        <v>2757</v>
      </c>
      <c r="G117" s="111"/>
      <c r="H117" s="158"/>
    </row>
    <row r="118" spans="2:16" ht="16.5">
      <c r="B118" s="264" t="s">
        <v>2479</v>
      </c>
      <c r="C118" s="111"/>
      <c r="D118" s="350">
        <v>14.922000000000001</v>
      </c>
      <c r="E118" s="111"/>
      <c r="F118" s="240" t="s">
        <v>2119</v>
      </c>
      <c r="G118" s="111"/>
      <c r="H118" s="158" t="s">
        <v>2596</v>
      </c>
    </row>
    <row r="119" spans="2:16" ht="16.5">
      <c r="B119" s="176" t="s">
        <v>2541</v>
      </c>
      <c r="C119" s="111"/>
      <c r="D119" s="281">
        <v>540541389228</v>
      </c>
      <c r="E119" s="111"/>
      <c r="F119" s="240" t="s">
        <v>1172</v>
      </c>
      <c r="G119" s="111"/>
      <c r="H119" s="158" t="s">
        <v>2596</v>
      </c>
      <c r="P119" s="321">
        <v>505067095993</v>
      </c>
    </row>
    <row r="120" spans="2:16" ht="16.5">
      <c r="B120" s="264" t="s">
        <v>2393</v>
      </c>
      <c r="C120" s="111"/>
      <c r="D120" s="281">
        <v>558409</v>
      </c>
      <c r="E120" s="111"/>
      <c r="F120" s="240" t="s">
        <v>2119</v>
      </c>
      <c r="G120" s="111"/>
      <c r="H120" s="158" t="s">
        <v>2731</v>
      </c>
    </row>
    <row r="121" spans="2:16" ht="16.5">
      <c r="B121" s="176" t="s">
        <v>2546</v>
      </c>
      <c r="C121" s="111"/>
      <c r="D121" s="281">
        <v>533842674117</v>
      </c>
      <c r="E121" s="111"/>
      <c r="F121" s="240" t="s">
        <v>1172</v>
      </c>
      <c r="G121" s="111"/>
      <c r="H121" s="158" t="s">
        <v>2731</v>
      </c>
      <c r="P121" s="321">
        <v>582753024</v>
      </c>
    </row>
    <row r="122" spans="2:16" ht="16.5">
      <c r="B122" s="264" t="s">
        <v>2393</v>
      </c>
      <c r="C122" s="111"/>
      <c r="D122" s="281">
        <v>356935</v>
      </c>
      <c r="E122" s="111"/>
      <c r="F122" s="240" t="s">
        <v>2119</v>
      </c>
      <c r="G122" s="111"/>
      <c r="H122" s="158" t="s">
        <v>2715</v>
      </c>
    </row>
    <row r="123" spans="2:16" ht="16.5">
      <c r="B123" s="176" t="s">
        <v>2546</v>
      </c>
      <c r="C123" s="111"/>
      <c r="D123" s="281">
        <v>72776672707</v>
      </c>
      <c r="E123" s="111"/>
      <c r="F123" s="240" t="s">
        <v>1172</v>
      </c>
      <c r="G123" s="111"/>
      <c r="H123" s="158" t="s">
        <v>2715</v>
      </c>
      <c r="P123" s="321">
        <v>71599992270</v>
      </c>
    </row>
    <row r="124" spans="2:16" ht="16.5">
      <c r="B124" s="264" t="s">
        <v>2417</v>
      </c>
      <c r="C124" s="111"/>
      <c r="D124" s="281">
        <v>1384936</v>
      </c>
      <c r="E124" s="111"/>
      <c r="F124" s="240" t="s">
        <v>2119</v>
      </c>
      <c r="G124" s="111"/>
      <c r="H124" s="158" t="s">
        <v>2732</v>
      </c>
    </row>
    <row r="125" spans="2:16" ht="16.5">
      <c r="B125" s="176" t="s">
        <v>2547</v>
      </c>
      <c r="C125" s="111"/>
      <c r="D125" s="281">
        <v>62940618214</v>
      </c>
      <c r="E125" s="111"/>
      <c r="F125" s="240" t="s">
        <v>1172</v>
      </c>
      <c r="G125" s="111"/>
      <c r="H125" s="158" t="s">
        <v>2732</v>
      </c>
      <c r="P125" s="321">
        <v>8940942095</v>
      </c>
    </row>
    <row r="126" spans="2:16" ht="16.5">
      <c r="B126" s="264" t="s">
        <v>2393</v>
      </c>
      <c r="C126" s="111"/>
      <c r="D126" s="281">
        <v>35715</v>
      </c>
      <c r="E126" s="111"/>
      <c r="F126" s="240" t="s">
        <v>2119</v>
      </c>
      <c r="G126" s="111"/>
      <c r="H126" s="158" t="s">
        <v>2718</v>
      </c>
    </row>
    <row r="127" spans="2:16" ht="16.5">
      <c r="B127" s="176" t="s">
        <v>2546</v>
      </c>
      <c r="C127" s="111"/>
      <c r="D127" s="281">
        <v>48895978845</v>
      </c>
      <c r="E127" s="111"/>
      <c r="F127" s="240" t="s">
        <v>1172</v>
      </c>
      <c r="G127" s="111"/>
      <c r="H127" s="158" t="s">
        <v>2718</v>
      </c>
      <c r="P127" s="321">
        <v>20871373560</v>
      </c>
    </row>
    <row r="128" spans="2:16" ht="16.5">
      <c r="B128" s="264" t="s">
        <v>2393</v>
      </c>
      <c r="C128" s="111"/>
      <c r="D128" s="281">
        <v>23581</v>
      </c>
      <c r="E128" s="111"/>
      <c r="F128" s="240" t="s">
        <v>2119</v>
      </c>
      <c r="G128" s="111"/>
      <c r="H128" s="158" t="s">
        <v>2719</v>
      </c>
    </row>
    <row r="129" spans="2:16" ht="16.5">
      <c r="B129" s="176" t="s">
        <v>2546</v>
      </c>
      <c r="C129" s="111"/>
      <c r="D129" s="281">
        <v>30845923467</v>
      </c>
      <c r="E129" s="111"/>
      <c r="F129" s="240" t="s">
        <v>1172</v>
      </c>
      <c r="G129" s="111"/>
      <c r="H129" s="158" t="s">
        <v>2719</v>
      </c>
      <c r="P129" s="321">
        <v>2904603371</v>
      </c>
    </row>
    <row r="130" spans="2:16" ht="16.5">
      <c r="B130" s="264" t="s">
        <v>2393</v>
      </c>
      <c r="C130" s="111"/>
      <c r="D130" s="281">
        <v>134596</v>
      </c>
      <c r="E130" s="111"/>
      <c r="F130" s="240" t="s">
        <v>2119</v>
      </c>
      <c r="G130" s="111"/>
      <c r="H130" s="158" t="s">
        <v>2720</v>
      </c>
    </row>
    <row r="131" spans="2:16" ht="16.5">
      <c r="B131" s="176" t="s">
        <v>2546</v>
      </c>
      <c r="C131" s="111"/>
      <c r="D131" s="281">
        <v>29181447345</v>
      </c>
      <c r="E131" s="111"/>
      <c r="F131" s="240" t="s">
        <v>1172</v>
      </c>
      <c r="G131" s="111"/>
      <c r="H131" s="158" t="s">
        <v>2720</v>
      </c>
      <c r="P131" s="321">
        <v>6660434517</v>
      </c>
    </row>
    <row r="132" spans="2:16" ht="16.5">
      <c r="B132" s="264" t="s">
        <v>2483</v>
      </c>
      <c r="C132" s="111"/>
      <c r="D132" s="281">
        <v>308637</v>
      </c>
      <c r="E132" s="111"/>
      <c r="F132" s="240" t="s">
        <v>2119</v>
      </c>
      <c r="G132" s="111"/>
      <c r="H132" s="158" t="s">
        <v>2733</v>
      </c>
    </row>
    <row r="133" spans="2:16" ht="16.5">
      <c r="B133" s="176" t="s">
        <v>2542</v>
      </c>
      <c r="C133" s="111"/>
      <c r="D133" s="281">
        <v>26927258414</v>
      </c>
      <c r="E133" s="111"/>
      <c r="F133" s="240" t="s">
        <v>1172</v>
      </c>
      <c r="G133" s="111"/>
      <c r="H133" s="158" t="s">
        <v>2733</v>
      </c>
      <c r="P133" s="321">
        <v>3629677989</v>
      </c>
    </row>
    <row r="134" spans="2:16" ht="16.5">
      <c r="B134" s="264" t="s">
        <v>2393</v>
      </c>
      <c r="C134" s="111"/>
      <c r="D134" s="281">
        <v>31449</v>
      </c>
      <c r="E134" s="111"/>
      <c r="F134" s="240" t="s">
        <v>2119</v>
      </c>
      <c r="G134" s="111"/>
      <c r="H134" s="158" t="s">
        <v>2734</v>
      </c>
    </row>
    <row r="135" spans="2:16" ht="16.5">
      <c r="B135" s="176" t="s">
        <v>2546</v>
      </c>
      <c r="C135" s="111"/>
      <c r="D135" s="281">
        <v>8410080484</v>
      </c>
      <c r="E135" s="111"/>
      <c r="F135" s="240" t="s">
        <v>1172</v>
      </c>
      <c r="G135" s="111"/>
      <c r="H135" s="158" t="s">
        <v>2734</v>
      </c>
      <c r="P135" s="321">
        <v>826449640</v>
      </c>
    </row>
    <row r="136" spans="2:16" ht="16.5">
      <c r="B136" s="264" t="s">
        <v>2393</v>
      </c>
      <c r="C136" s="111"/>
      <c r="D136" s="281">
        <v>35216</v>
      </c>
      <c r="E136" s="111"/>
      <c r="F136" s="240" t="s">
        <v>2119</v>
      </c>
      <c r="G136" s="111"/>
      <c r="H136" s="158" t="s">
        <v>2722</v>
      </c>
    </row>
    <row r="137" spans="2:16" ht="16.5">
      <c r="B137" s="176" t="s">
        <v>2546</v>
      </c>
      <c r="C137" s="111"/>
      <c r="D137" s="281">
        <v>7578109574</v>
      </c>
      <c r="E137" s="111"/>
      <c r="F137" s="240" t="s">
        <v>1172</v>
      </c>
      <c r="G137" s="111"/>
      <c r="H137" s="158" t="s">
        <v>2722</v>
      </c>
      <c r="P137" s="321">
        <v>54216941469</v>
      </c>
    </row>
    <row r="138" spans="2:16" ht="16.5">
      <c r="B138" s="264" t="s">
        <v>2393</v>
      </c>
      <c r="C138" s="111"/>
      <c r="D138" s="281">
        <v>6340</v>
      </c>
      <c r="E138" s="111"/>
      <c r="F138" s="240" t="s">
        <v>2119</v>
      </c>
      <c r="G138" s="111"/>
      <c r="H138" s="158" t="s">
        <v>2725</v>
      </c>
    </row>
    <row r="139" spans="2:16" ht="16.5">
      <c r="B139" s="176" t="s">
        <v>2546</v>
      </c>
      <c r="C139" s="111"/>
      <c r="D139" s="281">
        <v>5532814748</v>
      </c>
      <c r="E139" s="111"/>
      <c r="F139" s="240" t="s">
        <v>1172</v>
      </c>
      <c r="G139" s="111"/>
      <c r="H139" s="158" t="s">
        <v>2725</v>
      </c>
      <c r="P139" s="321">
        <v>3690588362</v>
      </c>
    </row>
    <row r="140" spans="2:16" ht="16.5">
      <c r="B140" s="264" t="s">
        <v>2393</v>
      </c>
      <c r="C140" s="111"/>
      <c r="D140" s="281">
        <v>4160</v>
      </c>
      <c r="E140" s="111"/>
      <c r="F140" s="240" t="s">
        <v>2119</v>
      </c>
      <c r="G140" s="111"/>
      <c r="H140" s="158" t="s">
        <v>2726</v>
      </c>
    </row>
    <row r="141" spans="2:16" ht="16.5">
      <c r="B141" s="176" t="s">
        <v>2546</v>
      </c>
      <c r="C141" s="111"/>
      <c r="D141" s="281">
        <v>5290813193</v>
      </c>
      <c r="E141" s="111"/>
      <c r="F141" s="240" t="s">
        <v>1172</v>
      </c>
      <c r="G141" s="111"/>
      <c r="H141" s="158" t="s">
        <v>2726</v>
      </c>
      <c r="P141" s="321">
        <v>20728624547</v>
      </c>
    </row>
    <row r="142" spans="2:16" ht="16.5">
      <c r="B142" s="264" t="s">
        <v>2393</v>
      </c>
      <c r="C142" s="111"/>
      <c r="D142" s="281">
        <v>108432</v>
      </c>
      <c r="E142" s="111"/>
      <c r="F142" s="240" t="s">
        <v>2119</v>
      </c>
      <c r="G142" s="111"/>
      <c r="H142" s="158" t="s">
        <v>2735</v>
      </c>
    </row>
    <row r="143" spans="2:16" ht="16.5">
      <c r="B143" s="176" t="s">
        <v>2546</v>
      </c>
      <c r="C143" s="111"/>
      <c r="D143" s="281">
        <v>3062194436</v>
      </c>
      <c r="E143" s="111"/>
      <c r="F143" s="240" t="s">
        <v>1172</v>
      </c>
      <c r="G143" s="111"/>
      <c r="H143" s="158" t="s">
        <v>2735</v>
      </c>
      <c r="P143" s="321">
        <v>3595901025</v>
      </c>
    </row>
    <row r="144" spans="2:16" ht="16.5">
      <c r="B144" s="264" t="s">
        <v>2393</v>
      </c>
      <c r="C144" s="111"/>
      <c r="D144" s="281">
        <v>8873</v>
      </c>
      <c r="E144" s="111"/>
      <c r="F144" s="240" t="s">
        <v>2119</v>
      </c>
      <c r="G144" s="111"/>
      <c r="H144" s="158" t="s">
        <v>2736</v>
      </c>
    </row>
    <row r="145" spans="2:16" ht="16.5">
      <c r="B145" s="176" t="s">
        <v>2546</v>
      </c>
      <c r="C145" s="111"/>
      <c r="D145" s="281">
        <v>2153939878</v>
      </c>
      <c r="E145" s="111"/>
      <c r="F145" s="240" t="s">
        <v>1172</v>
      </c>
      <c r="G145" s="111"/>
      <c r="H145" s="158" t="s">
        <v>2736</v>
      </c>
      <c r="P145" s="321">
        <v>21177898264</v>
      </c>
    </row>
    <row r="146" spans="2:16" ht="16.5">
      <c r="B146" s="264" t="s">
        <v>2393</v>
      </c>
      <c r="C146" s="111"/>
      <c r="D146" s="281">
        <v>3445</v>
      </c>
      <c r="E146" s="111"/>
      <c r="F146" s="240" t="s">
        <v>2119</v>
      </c>
      <c r="G146" s="111"/>
      <c r="H146" s="158" t="s">
        <v>2737</v>
      </c>
    </row>
    <row r="147" spans="2:16" ht="16.5">
      <c r="B147" s="176" t="s">
        <v>2546</v>
      </c>
      <c r="C147" s="111"/>
      <c r="D147" s="281">
        <v>1175025002</v>
      </c>
      <c r="E147" s="111"/>
      <c r="F147" s="240" t="s">
        <v>1172</v>
      </c>
      <c r="G147" s="111"/>
      <c r="H147" s="158" t="s">
        <v>2737</v>
      </c>
      <c r="P147" s="321">
        <v>6696786033</v>
      </c>
    </row>
    <row r="148" spans="2:16" ht="16.5">
      <c r="B148" s="264" t="s">
        <v>2393</v>
      </c>
      <c r="C148" s="111"/>
      <c r="D148" s="281">
        <v>0</v>
      </c>
      <c r="E148" s="111"/>
      <c r="F148" s="240" t="s">
        <v>2119</v>
      </c>
      <c r="G148" s="111"/>
      <c r="H148" s="158" t="s">
        <v>2738</v>
      </c>
    </row>
    <row r="149" spans="2:16" ht="16.5">
      <c r="B149" s="176" t="s">
        <v>2546</v>
      </c>
      <c r="C149" s="111"/>
      <c r="D149" s="281">
        <v>752749640</v>
      </c>
      <c r="E149" s="111"/>
      <c r="F149" s="240" t="s">
        <v>1172</v>
      </c>
      <c r="G149" s="111"/>
      <c r="H149" s="158" t="s">
        <v>2738</v>
      </c>
      <c r="P149" s="321">
        <v>33867923004</v>
      </c>
    </row>
    <row r="150" spans="2:16" ht="16.5">
      <c r="B150" s="264" t="s">
        <v>2389</v>
      </c>
      <c r="C150" s="111"/>
      <c r="D150" s="281">
        <v>38694</v>
      </c>
      <c r="E150" s="111"/>
      <c r="F150" s="240" t="s">
        <v>2730</v>
      </c>
      <c r="G150" s="111"/>
      <c r="H150" s="158" t="s">
        <v>2664</v>
      </c>
    </row>
    <row r="151" spans="2:16" ht="16.5">
      <c r="B151" s="176" t="s">
        <v>2663</v>
      </c>
      <c r="C151" s="111"/>
      <c r="D151" s="281">
        <v>518532099</v>
      </c>
      <c r="E151" s="111"/>
      <c r="F151" s="240" t="s">
        <v>1172</v>
      </c>
      <c r="G151" s="111"/>
      <c r="H151" s="158" t="s">
        <v>2664</v>
      </c>
      <c r="P151" s="321">
        <v>115471699</v>
      </c>
    </row>
    <row r="152" spans="2:16" ht="16.5">
      <c r="B152" s="264" t="s">
        <v>2393</v>
      </c>
      <c r="C152" s="111"/>
      <c r="D152" s="281">
        <v>13646</v>
      </c>
      <c r="E152" s="111"/>
      <c r="F152" s="240" t="s">
        <v>2119</v>
      </c>
      <c r="G152" s="111"/>
      <c r="H152" s="158" t="s">
        <v>2714</v>
      </c>
    </row>
    <row r="153" spans="2:16" ht="16.5">
      <c r="B153" s="176" t="s">
        <v>2546</v>
      </c>
      <c r="C153" s="111"/>
      <c r="D153" s="281">
        <v>504794510</v>
      </c>
      <c r="E153" s="111"/>
      <c r="F153" s="240" t="s">
        <v>1172</v>
      </c>
      <c r="G153" s="111"/>
      <c r="H153" s="158" t="s">
        <v>2714</v>
      </c>
      <c r="P153" s="321">
        <v>115471699</v>
      </c>
    </row>
    <row r="154" spans="2:16" ht="16.5">
      <c r="B154" s="264" t="s">
        <v>2393</v>
      </c>
      <c r="C154" s="111"/>
      <c r="D154" s="281">
        <v>0</v>
      </c>
      <c r="E154" s="111"/>
      <c r="F154" s="240"/>
      <c r="G154" s="111"/>
      <c r="H154" s="158" t="s">
        <v>1508</v>
      </c>
    </row>
    <row r="155" spans="2:16" ht="16.5">
      <c r="B155" s="176" t="s">
        <v>2546</v>
      </c>
      <c r="C155" s="111"/>
      <c r="D155" s="281">
        <v>20438660</v>
      </c>
      <c r="E155" s="111"/>
      <c r="F155" s="240" t="s">
        <v>1172</v>
      </c>
      <c r="G155" s="111"/>
      <c r="H155" s="158" t="s">
        <v>1508</v>
      </c>
      <c r="P155" s="321">
        <v>115471699</v>
      </c>
    </row>
    <row r="156" spans="2:16" ht="16.5">
      <c r="B156" s="264" t="s">
        <v>2455</v>
      </c>
      <c r="C156" s="111"/>
      <c r="D156" s="281">
        <v>779970</v>
      </c>
      <c r="E156" s="111"/>
      <c r="F156" s="240" t="s">
        <v>2119</v>
      </c>
      <c r="G156" s="111"/>
      <c r="H156" s="158" t="s">
        <v>2739</v>
      </c>
    </row>
    <row r="157" spans="2:16" ht="16.5">
      <c r="B157" s="176" t="s">
        <v>2548</v>
      </c>
      <c r="C157" s="111"/>
      <c r="D157" s="281">
        <v>10790700</v>
      </c>
      <c r="E157" s="111"/>
      <c r="F157" s="240" t="s">
        <v>1172</v>
      </c>
      <c r="G157" s="111"/>
      <c r="H157" s="158" t="s">
        <v>2739</v>
      </c>
      <c r="P157" s="321">
        <v>115471699</v>
      </c>
    </row>
    <row r="158" spans="2:16" ht="16.5">
      <c r="B158" s="264" t="s">
        <v>2393</v>
      </c>
      <c r="C158" s="111"/>
      <c r="D158" s="281">
        <v>1</v>
      </c>
      <c r="E158" s="111"/>
      <c r="F158" s="240" t="s">
        <v>2119</v>
      </c>
      <c r="G158" s="111"/>
      <c r="H158" s="158" t="s">
        <v>2740</v>
      </c>
    </row>
    <row r="159" spans="2:16" ht="16.5">
      <c r="B159" s="176" t="s">
        <v>2546</v>
      </c>
      <c r="C159" s="111"/>
      <c r="D159" s="281">
        <v>205000</v>
      </c>
      <c r="E159" s="111"/>
      <c r="F159" s="240" t="s">
        <v>1172</v>
      </c>
      <c r="G159" s="111"/>
      <c r="H159" s="158" t="s">
        <v>2740</v>
      </c>
      <c r="P159" s="321">
        <v>115471699</v>
      </c>
    </row>
    <row r="160" spans="2:16" ht="16.5">
      <c r="B160" s="162"/>
      <c r="C160" s="111"/>
      <c r="D160" s="163"/>
      <c r="E160" s="111"/>
      <c r="F160" s="163"/>
      <c r="G160" s="111"/>
      <c r="H160" s="111"/>
    </row>
    <row r="161" spans="2:8" ht="16.5">
      <c r="B161" s="153" t="s">
        <v>2268</v>
      </c>
      <c r="C161" s="111"/>
      <c r="D161" s="173"/>
      <c r="E161" s="111"/>
      <c r="F161" s="178"/>
      <c r="G161" s="111"/>
      <c r="H161" s="155"/>
    </row>
    <row r="162" spans="2:8" ht="28.5">
      <c r="B162" s="175" t="s">
        <v>2269</v>
      </c>
      <c r="C162" s="111"/>
      <c r="D162" s="240" t="s">
        <v>1489</v>
      </c>
      <c r="E162" s="111"/>
      <c r="F162" s="275" t="s">
        <v>2758</v>
      </c>
      <c r="G162" s="111"/>
      <c r="H162" s="158"/>
    </row>
    <row r="163" spans="2:8" ht="28.5">
      <c r="B163" s="179" t="s">
        <v>2067</v>
      </c>
      <c r="C163" s="111"/>
      <c r="D163" s="240" t="s">
        <v>1489</v>
      </c>
      <c r="E163" s="111"/>
      <c r="F163" s="275" t="s">
        <v>2759</v>
      </c>
      <c r="G163" s="111"/>
      <c r="H163" s="158"/>
    </row>
    <row r="164" spans="2:8" ht="28.5">
      <c r="B164" s="180" t="s">
        <v>2371</v>
      </c>
      <c r="C164" s="111"/>
      <c r="D164" s="181">
        <f>SUM('Partie 5 - Données d’entreprise'!K401/'Partie 4 - Recettes de l’État'!J98)</f>
        <v>0.98833198183096793</v>
      </c>
      <c r="E164" s="111"/>
      <c r="F164" s="182" t="s">
        <v>2370</v>
      </c>
      <c r="G164" s="111"/>
      <c r="H164" s="161"/>
    </row>
    <row r="165" spans="2:8" ht="16.5">
      <c r="B165" s="162"/>
      <c r="C165" s="111"/>
      <c r="D165" s="163"/>
      <c r="E165" s="111"/>
      <c r="F165" s="163"/>
      <c r="G165" s="111"/>
      <c r="H165" s="111"/>
    </row>
    <row r="166" spans="2:8" ht="16.5">
      <c r="B166" s="153" t="s">
        <v>2270</v>
      </c>
      <c r="C166" s="111"/>
      <c r="D166" s="178"/>
      <c r="E166" s="111"/>
      <c r="F166" s="178"/>
      <c r="G166" s="111"/>
      <c r="H166" s="155"/>
    </row>
    <row r="167" spans="2:8" ht="85.5">
      <c r="B167" s="180" t="s">
        <v>2271</v>
      </c>
      <c r="C167" s="262"/>
      <c r="D167" s="242" t="s">
        <v>1489</v>
      </c>
      <c r="E167" s="262"/>
      <c r="F167" s="275" t="s">
        <v>2760</v>
      </c>
      <c r="G167" s="111"/>
      <c r="H167" s="276" t="s">
        <v>2761</v>
      </c>
    </row>
    <row r="168" spans="2:8" ht="16.5">
      <c r="B168" s="183" t="s">
        <v>2129</v>
      </c>
      <c r="C168" s="111"/>
      <c r="D168" s="184"/>
      <c r="E168" s="111"/>
      <c r="F168" s="184"/>
      <c r="G168" s="111"/>
      <c r="H168" s="184"/>
    </row>
    <row r="169" spans="2:8" ht="16.5">
      <c r="B169" s="252" t="s">
        <v>1664</v>
      </c>
      <c r="C169" s="111"/>
      <c r="D169" s="322"/>
      <c r="E169" s="111"/>
      <c r="F169" s="240"/>
      <c r="G169" s="111"/>
      <c r="H169" s="276" t="s">
        <v>2705</v>
      </c>
    </row>
    <row r="170" spans="2:8" ht="16.5">
      <c r="B170" s="176" t="s">
        <v>2130</v>
      </c>
      <c r="C170" s="111"/>
      <c r="D170" s="184"/>
      <c r="E170" s="111"/>
      <c r="F170" s="184"/>
      <c r="G170" s="111"/>
      <c r="H170" s="184"/>
    </row>
    <row r="171" spans="2:8" ht="16.5">
      <c r="B171" s="252" t="s">
        <v>1664</v>
      </c>
      <c r="C171" s="111"/>
      <c r="D171" s="322"/>
      <c r="E171" s="111"/>
      <c r="F171" s="240"/>
      <c r="G171" s="111"/>
      <c r="H171" s="158"/>
    </row>
    <row r="172" spans="2:8" ht="16.5">
      <c r="B172" s="185" t="str">
        <f>LEFT(B171,SEARCH(",",B171))&amp;" valeur"</f>
        <v>Gaz naturel, valeur</v>
      </c>
      <c r="C172" s="111"/>
      <c r="D172" s="281"/>
      <c r="E172" s="111"/>
      <c r="F172" s="240"/>
      <c r="G172" s="111"/>
      <c r="H172" s="373"/>
    </row>
    <row r="173" spans="2:8" ht="28.5">
      <c r="B173" s="177" t="s">
        <v>2131</v>
      </c>
      <c r="C173" s="111"/>
      <c r="D173" s="281"/>
      <c r="E173" s="111"/>
      <c r="F173" s="240"/>
      <c r="G173" s="111"/>
      <c r="H173" s="374"/>
    </row>
    <row r="174" spans="2:8" ht="16.5">
      <c r="B174" s="162"/>
      <c r="C174" s="111"/>
      <c r="E174" s="111"/>
      <c r="F174" s="186"/>
      <c r="G174" s="111"/>
      <c r="H174" s="111"/>
    </row>
    <row r="175" spans="2:8" ht="16.149999999999999" customHeight="1">
      <c r="B175" s="153" t="s">
        <v>2272</v>
      </c>
      <c r="C175" s="111"/>
      <c r="D175" s="178"/>
      <c r="E175" s="111"/>
      <c r="F175" s="178"/>
      <c r="G175" s="111"/>
      <c r="H175" s="155"/>
    </row>
    <row r="176" spans="2:8" ht="28.5">
      <c r="B176" s="179" t="s">
        <v>2273</v>
      </c>
      <c r="C176" s="111"/>
      <c r="D176" s="240" t="s">
        <v>1489</v>
      </c>
      <c r="E176" s="111"/>
      <c r="F176" s="275" t="s">
        <v>2764</v>
      </c>
      <c r="G176" s="111"/>
      <c r="H176" s="276"/>
    </row>
    <row r="177" spans="2:8" ht="30.75" customHeight="1">
      <c r="B177" s="187" t="s">
        <v>2274</v>
      </c>
      <c r="C177" s="111"/>
      <c r="D177" s="281">
        <v>0</v>
      </c>
      <c r="E177" s="111"/>
      <c r="F177" s="242"/>
      <c r="G177" s="111"/>
      <c r="H177" s="161"/>
    </row>
    <row r="178" spans="2:8" ht="16.5">
      <c r="B178" s="162"/>
      <c r="C178" s="111"/>
      <c r="D178" s="163"/>
      <c r="E178" s="111"/>
      <c r="F178" s="186"/>
      <c r="G178" s="111"/>
      <c r="H178" s="111"/>
    </row>
    <row r="179" spans="2:8" ht="16.5">
      <c r="B179" s="153" t="s">
        <v>2275</v>
      </c>
      <c r="C179" s="111"/>
      <c r="D179" s="178"/>
      <c r="E179" s="111"/>
      <c r="F179" s="178"/>
      <c r="G179" s="111"/>
      <c r="H179" s="155"/>
    </row>
    <row r="180" spans="2:8" ht="28.5">
      <c r="B180" s="179" t="s">
        <v>2276</v>
      </c>
      <c r="C180" s="111"/>
      <c r="D180" s="240" t="s">
        <v>1489</v>
      </c>
      <c r="E180" s="111"/>
      <c r="F180" s="275" t="s">
        <v>2763</v>
      </c>
      <c r="G180" s="111"/>
      <c r="H180" s="373"/>
    </row>
    <row r="181" spans="2:8" ht="30.75" customHeight="1">
      <c r="B181" s="187" t="s">
        <v>2277</v>
      </c>
      <c r="C181" s="111"/>
      <c r="D181" s="242"/>
      <c r="E181" s="111"/>
      <c r="F181" s="242"/>
      <c r="G181" s="111"/>
      <c r="H181" s="374"/>
    </row>
    <row r="182" spans="2:8" ht="16.5">
      <c r="B182" s="162"/>
      <c r="C182" s="111"/>
      <c r="D182" s="163"/>
      <c r="E182" s="111"/>
      <c r="F182" s="186"/>
      <c r="G182" s="111"/>
      <c r="H182" s="111"/>
    </row>
    <row r="183" spans="2:8" ht="34.15" customHeight="1">
      <c r="B183" s="153" t="s">
        <v>2278</v>
      </c>
      <c r="C183" s="111"/>
      <c r="D183" s="178"/>
      <c r="E183" s="111"/>
      <c r="F183" s="178"/>
      <c r="G183" s="111"/>
      <c r="H183" s="155"/>
    </row>
    <row r="184" spans="2:8" ht="28.5">
      <c r="B184" s="179" t="s">
        <v>2279</v>
      </c>
      <c r="C184" s="111"/>
      <c r="D184" s="240" t="s">
        <v>1489</v>
      </c>
      <c r="E184" s="111"/>
      <c r="F184" s="275" t="s">
        <v>2762</v>
      </c>
      <c r="G184" s="111"/>
      <c r="H184" s="158"/>
    </row>
    <row r="185" spans="2:8" ht="30.75" customHeight="1">
      <c r="B185" s="187" t="s">
        <v>2280</v>
      </c>
      <c r="C185" s="111"/>
      <c r="D185" s="281">
        <v>1445257033</v>
      </c>
      <c r="E185" s="111"/>
      <c r="F185" s="242" t="s">
        <v>1172</v>
      </c>
      <c r="G185" s="111"/>
      <c r="H185" s="158"/>
    </row>
    <row r="186" spans="2:8" ht="16.5">
      <c r="B186" s="162"/>
      <c r="C186" s="111"/>
      <c r="D186" s="163"/>
      <c r="E186" s="111"/>
      <c r="F186" s="268"/>
      <c r="G186" s="111"/>
      <c r="H186" s="111"/>
    </row>
    <row r="187" spans="2:8" ht="16.5">
      <c r="B187" s="153" t="s">
        <v>2281</v>
      </c>
      <c r="C187" s="111"/>
      <c r="D187" s="178"/>
      <c r="E187" s="111"/>
      <c r="F187" s="178"/>
      <c r="G187" s="111"/>
      <c r="H187" s="155"/>
    </row>
    <row r="188" spans="2:8" ht="30" customHeight="1">
      <c r="B188" s="179" t="str">
        <f>"Le government divulgue-t-il des informations sur les"&amp;RIGHT(B187,LEN(B187)-SEARCH(":",B187,1))&amp;"?"</f>
        <v>Le government divulgue-t-il des informations sur les Paiements directs infranationaux ?</v>
      </c>
      <c r="C188" s="111"/>
      <c r="D188" s="240" t="s">
        <v>1489</v>
      </c>
      <c r="E188" s="111"/>
      <c r="F188" s="275" t="s">
        <v>2765</v>
      </c>
      <c r="G188" s="111"/>
      <c r="H188" s="158"/>
    </row>
    <row r="189" spans="2:8" ht="28.5">
      <c r="B189" s="187" t="s">
        <v>2282</v>
      </c>
      <c r="C189" s="111"/>
      <c r="D189" s="281">
        <v>2517166657</v>
      </c>
      <c r="E189" s="111"/>
      <c r="F189" s="242" t="s">
        <v>1172</v>
      </c>
      <c r="G189" s="111"/>
      <c r="H189" s="161"/>
    </row>
    <row r="190" spans="2:8" ht="16.5">
      <c r="B190" s="162"/>
      <c r="C190" s="111"/>
      <c r="D190" s="163"/>
      <c r="E190" s="111"/>
      <c r="F190" s="186"/>
      <c r="G190" s="111"/>
      <c r="H190" s="111"/>
    </row>
    <row r="191" spans="2:8" ht="16.5">
      <c r="B191" s="153" t="s">
        <v>2283</v>
      </c>
      <c r="C191" s="111"/>
      <c r="D191" s="178"/>
      <c r="E191" s="111"/>
      <c r="F191" s="186"/>
      <c r="G191" s="111"/>
      <c r="H191" s="155"/>
    </row>
    <row r="192" spans="2:8" ht="28.5">
      <c r="B192" s="180" t="s">
        <v>2284</v>
      </c>
      <c r="C192" s="111"/>
      <c r="D192" s="267">
        <f>IFERROR(IF(_xlfn.DAYS('Partie 1 - Présentation'!$E$30,'Partie 1 - Présentation'!$E$26)/365&gt;0,_xlfn.DAYS('Partie 1 - Présentation'!$E$30,'Partie 1 - Présentation'!$E$26)/365,_xlfn.DAYS('Partie 1 - Présentation'!$E$33,'Partie 1 - Présentation'!$E$26)/365),"Complété automatiquement à partir du feuillet 1. Présentation")</f>
        <v>0.97534246575342465</v>
      </c>
      <c r="E192" s="111"/>
      <c r="F192" s="186"/>
      <c r="G192" s="111"/>
      <c r="H192" s="161"/>
    </row>
    <row r="193" spans="2:8" ht="16.5">
      <c r="B193" s="162"/>
      <c r="C193" s="111"/>
      <c r="D193" s="163"/>
      <c r="E193" s="111"/>
      <c r="F193" s="186"/>
      <c r="G193" s="111"/>
      <c r="H193" s="111"/>
    </row>
    <row r="194" spans="2:8" ht="16.5">
      <c r="B194" s="153" t="s">
        <v>2285</v>
      </c>
      <c r="C194" s="111"/>
      <c r="D194" s="178"/>
      <c r="E194" s="111"/>
      <c r="F194" s="178"/>
      <c r="G194" s="111"/>
      <c r="H194" s="155"/>
    </row>
    <row r="195" spans="2:8" ht="57">
      <c r="B195" s="175" t="s">
        <v>2286</v>
      </c>
      <c r="C195" s="111"/>
      <c r="D195" s="240" t="s">
        <v>1489</v>
      </c>
      <c r="E195" s="111"/>
      <c r="F195" s="275" t="s">
        <v>2766</v>
      </c>
      <c r="G195" s="111"/>
      <c r="H195" s="158"/>
    </row>
    <row r="196" spans="2:8" ht="42.75">
      <c r="B196" s="176" t="s">
        <v>2287</v>
      </c>
      <c r="C196" s="111"/>
      <c r="D196" s="240" t="s">
        <v>1489</v>
      </c>
      <c r="E196" s="111"/>
      <c r="F196" s="275" t="s">
        <v>2767</v>
      </c>
      <c r="G196" s="111"/>
      <c r="H196" s="158"/>
    </row>
    <row r="197" spans="2:8" ht="28.5">
      <c r="B197" s="175" t="s">
        <v>2288</v>
      </c>
      <c r="C197" s="111"/>
      <c r="D197" s="240" t="s">
        <v>1489</v>
      </c>
      <c r="E197" s="111"/>
      <c r="F197" s="275" t="s">
        <v>2768</v>
      </c>
      <c r="G197" s="111"/>
      <c r="H197" s="158"/>
    </row>
    <row r="198" spans="2:8" ht="16.5">
      <c r="B198" s="159" t="s">
        <v>2289</v>
      </c>
      <c r="C198" s="111"/>
      <c r="D198" s="240" t="s">
        <v>1489</v>
      </c>
      <c r="E198" s="111"/>
      <c r="F198" s="275" t="s">
        <v>2768</v>
      </c>
      <c r="G198" s="111"/>
      <c r="H198" s="158"/>
    </row>
    <row r="199" spans="2:8" ht="28.5">
      <c r="B199" s="175" t="s">
        <v>2290</v>
      </c>
      <c r="C199" s="111"/>
      <c r="D199" s="240" t="s">
        <v>1489</v>
      </c>
      <c r="E199" s="111"/>
      <c r="F199" s="275" t="s">
        <v>2768</v>
      </c>
      <c r="G199" s="111"/>
      <c r="H199" s="158"/>
    </row>
    <row r="200" spans="2:8" ht="16.5">
      <c r="B200" s="160" t="s">
        <v>2291</v>
      </c>
      <c r="C200" s="111"/>
      <c r="D200" s="240" t="s">
        <v>1489</v>
      </c>
      <c r="E200" s="111"/>
      <c r="F200" s="240" t="s">
        <v>2769</v>
      </c>
      <c r="G200" s="111"/>
      <c r="H200" s="161"/>
    </row>
    <row r="201" spans="2:8" ht="16.5">
      <c r="B201" s="162"/>
      <c r="C201" s="111"/>
      <c r="D201" s="163"/>
      <c r="E201" s="111"/>
      <c r="F201" s="186"/>
      <c r="G201" s="111"/>
      <c r="H201" s="111"/>
    </row>
    <row r="202" spans="2:8" ht="28.5">
      <c r="B202" s="153" t="s">
        <v>2292</v>
      </c>
      <c r="C202" s="111"/>
      <c r="D202" s="178"/>
      <c r="E202" s="111"/>
      <c r="F202" s="178"/>
      <c r="G202" s="111"/>
      <c r="H202" s="155"/>
    </row>
    <row r="203" spans="2:8" ht="57">
      <c r="B203" s="179" t="s">
        <v>2293</v>
      </c>
      <c r="C203" s="111"/>
      <c r="D203" s="240" t="s">
        <v>1489</v>
      </c>
      <c r="E203" s="111"/>
      <c r="F203" s="275" t="s">
        <v>2770</v>
      </c>
      <c r="G203" s="111"/>
      <c r="H203" s="158"/>
    </row>
    <row r="204" spans="2:8" ht="42.75">
      <c r="B204" s="187" t="s">
        <v>2294</v>
      </c>
      <c r="C204" s="111"/>
      <c r="D204" s="324">
        <v>33027510019.903702</v>
      </c>
      <c r="E204" s="111"/>
      <c r="F204" s="242" t="s">
        <v>1172</v>
      </c>
      <c r="G204" s="111"/>
      <c r="H204" s="161" t="s">
        <v>2771</v>
      </c>
    </row>
    <row r="205" spans="2:8" ht="16.5">
      <c r="B205" s="162"/>
      <c r="C205" s="111"/>
      <c r="D205" s="163"/>
      <c r="E205" s="111"/>
      <c r="F205" s="186"/>
      <c r="G205" s="111"/>
      <c r="H205" s="111"/>
    </row>
    <row r="206" spans="2:8" ht="16.5">
      <c r="B206" s="153" t="s">
        <v>2295</v>
      </c>
      <c r="C206" s="111"/>
      <c r="D206" s="178"/>
      <c r="E206" s="111"/>
      <c r="F206" s="178"/>
      <c r="G206" s="111"/>
      <c r="H206" s="155"/>
    </row>
    <row r="207" spans="2:8" ht="28.5">
      <c r="B207" s="179" t="s">
        <v>2296</v>
      </c>
      <c r="C207" s="111"/>
      <c r="D207" s="240" t="s">
        <v>1489</v>
      </c>
      <c r="E207" s="111"/>
      <c r="F207" s="275" t="s">
        <v>2772</v>
      </c>
      <c r="G207" s="111"/>
      <c r="H207" s="158"/>
    </row>
    <row r="208" spans="2:8" ht="42.75">
      <c r="B208" s="183" t="s">
        <v>2068</v>
      </c>
      <c r="C208" s="111"/>
      <c r="D208" s="281"/>
      <c r="E208" s="111"/>
      <c r="F208" s="240"/>
      <c r="G208" s="111"/>
      <c r="H208" s="276" t="s">
        <v>2706</v>
      </c>
    </row>
    <row r="209" spans="2:8" ht="162.75" customHeight="1">
      <c r="B209" s="187" t="s">
        <v>2297</v>
      </c>
      <c r="C209" s="111"/>
      <c r="D209" s="324"/>
      <c r="E209" s="111"/>
      <c r="F209" s="242"/>
      <c r="G209" s="111"/>
      <c r="H209" s="348"/>
    </row>
    <row r="210" spans="2:8" ht="16.5">
      <c r="B210" s="162"/>
      <c r="C210" s="111"/>
      <c r="D210" s="163"/>
      <c r="E210" s="111"/>
      <c r="F210" s="186"/>
      <c r="G210" s="111"/>
      <c r="H210" s="111"/>
    </row>
    <row r="211" spans="2:8" ht="28.5">
      <c r="B211" s="153" t="s">
        <v>2298</v>
      </c>
      <c r="C211" s="111"/>
      <c r="D211" s="178"/>
      <c r="E211" s="111"/>
      <c r="F211" s="178"/>
      <c r="G211" s="111"/>
      <c r="H211" s="155"/>
    </row>
    <row r="212" spans="2:8" ht="63" customHeight="1">
      <c r="B212" s="179" t="s">
        <v>2299</v>
      </c>
      <c r="C212" s="111"/>
      <c r="D212" s="240" t="s">
        <v>1489</v>
      </c>
      <c r="E212" s="111"/>
      <c r="F212" s="275" t="s">
        <v>2773</v>
      </c>
      <c r="G212" s="111"/>
      <c r="H212" s="158"/>
    </row>
    <row r="213" spans="2:8" ht="28.5">
      <c r="B213" s="179" t="s">
        <v>2300</v>
      </c>
      <c r="C213" s="111"/>
      <c r="D213" s="240" t="s">
        <v>1489</v>
      </c>
      <c r="E213" s="111"/>
      <c r="F213" s="275" t="s">
        <v>2774</v>
      </c>
      <c r="G213" s="111"/>
      <c r="H213" s="158"/>
    </row>
    <row r="214" spans="2:8" ht="57">
      <c r="B214" s="180" t="s">
        <v>2301</v>
      </c>
      <c r="C214" s="111"/>
      <c r="D214" s="240" t="s">
        <v>1489</v>
      </c>
      <c r="E214" s="111"/>
      <c r="F214" s="275" t="s">
        <v>2775</v>
      </c>
      <c r="G214" s="111"/>
      <c r="H214" s="161"/>
    </row>
    <row r="215" spans="2:8" ht="16.5">
      <c r="B215" s="162"/>
      <c r="C215" s="111"/>
      <c r="D215" s="163"/>
      <c r="E215" s="111"/>
      <c r="F215" s="186"/>
      <c r="G215" s="111"/>
      <c r="H215" s="111"/>
    </row>
    <row r="216" spans="2:8" ht="32.65" customHeight="1">
      <c r="B216" s="153" t="s">
        <v>2302</v>
      </c>
      <c r="C216" s="111"/>
      <c r="D216" s="178"/>
      <c r="E216" s="111"/>
      <c r="F216" s="178"/>
      <c r="G216" s="111"/>
      <c r="H216" s="155"/>
    </row>
    <row r="217" spans="2:8" ht="28.5">
      <c r="B217" s="179" t="s">
        <v>2303</v>
      </c>
      <c r="C217" s="111"/>
      <c r="D217" s="240" t="s">
        <v>1502</v>
      </c>
      <c r="E217" s="111"/>
      <c r="F217" s="240" t="str">
        <f>IF(D217=Listes!$K$4,"&lt; Indiquez l'URL de la source &gt;",IF(D217=Listes!$K$5,"&lt; Référence de la section dans le Rapport ITIE ou URL&gt;",IF(D217=Listes!$K$6,"&lt; Référence de la non-applicabilité &gt;","")))</f>
        <v/>
      </c>
      <c r="G217" s="111"/>
      <c r="H217" s="158"/>
    </row>
    <row r="218" spans="2:8" ht="28.5">
      <c r="B218" s="183" t="s">
        <v>2304</v>
      </c>
      <c r="C218" s="111"/>
      <c r="D218" s="240"/>
      <c r="E218" s="111"/>
      <c r="F218" s="240"/>
      <c r="G218" s="111"/>
      <c r="H218" s="158"/>
    </row>
    <row r="219" spans="2:8" ht="28.5">
      <c r="B219" s="183" t="s">
        <v>2305</v>
      </c>
      <c r="C219" s="111"/>
      <c r="D219" s="240"/>
      <c r="E219" s="188"/>
      <c r="F219" s="240"/>
      <c r="G219" s="111"/>
      <c r="H219" s="158"/>
    </row>
    <row r="220" spans="2:8" ht="28.5">
      <c r="B220" s="179" t="s">
        <v>2306</v>
      </c>
      <c r="C220" s="111"/>
      <c r="D220" s="240" t="s">
        <v>1489</v>
      </c>
      <c r="E220" s="111"/>
      <c r="F220" s="275" t="s">
        <v>2776</v>
      </c>
      <c r="G220" s="111"/>
      <c r="H220" s="158"/>
    </row>
    <row r="221" spans="2:8" ht="28.5">
      <c r="B221" s="183" t="s">
        <v>2307</v>
      </c>
      <c r="C221" s="111"/>
      <c r="D221" s="281">
        <v>1904673051</v>
      </c>
      <c r="E221" s="111"/>
      <c r="F221" s="240" t="s">
        <v>1172</v>
      </c>
      <c r="G221" s="111"/>
      <c r="H221" s="158"/>
    </row>
    <row r="222" spans="2:8" ht="28.5">
      <c r="B222" s="183" t="s">
        <v>2308</v>
      </c>
      <c r="C222" s="111"/>
      <c r="D222" s="281">
        <v>3168438765</v>
      </c>
      <c r="E222" s="111"/>
      <c r="F222" s="240" t="s">
        <v>1172</v>
      </c>
      <c r="G222" s="111"/>
      <c r="H222" s="158"/>
    </row>
    <row r="223" spans="2:8" ht="28.5">
      <c r="B223" s="179" t="s">
        <v>2133</v>
      </c>
      <c r="C223" s="111"/>
      <c r="D223" s="281" t="s">
        <v>1489</v>
      </c>
      <c r="E223" s="111"/>
      <c r="F223" s="275" t="s">
        <v>2777</v>
      </c>
      <c r="G223" s="111"/>
      <c r="H223" s="158"/>
    </row>
    <row r="224" spans="2:8" ht="99.75">
      <c r="B224" s="183" t="s">
        <v>2134</v>
      </c>
      <c r="C224" s="111"/>
      <c r="D224" s="281">
        <v>9164357269</v>
      </c>
      <c r="E224" s="111"/>
      <c r="F224" s="240" t="s">
        <v>1172</v>
      </c>
      <c r="G224" s="111"/>
      <c r="H224" s="276" t="s">
        <v>2778</v>
      </c>
    </row>
    <row r="225" spans="2:8" ht="28.5">
      <c r="B225" s="187" t="s">
        <v>2135</v>
      </c>
      <c r="C225" s="111"/>
      <c r="D225" s="240"/>
      <c r="E225" s="111"/>
      <c r="F225" s="240"/>
      <c r="G225" s="111"/>
      <c r="H225" s="161"/>
    </row>
    <row r="226" spans="2:8" ht="16.5">
      <c r="B226" s="162"/>
      <c r="C226" s="111"/>
      <c r="D226" s="163"/>
      <c r="E226" s="111"/>
      <c r="F226" s="186"/>
      <c r="G226" s="111"/>
      <c r="H226" s="111"/>
    </row>
    <row r="227" spans="2:8" ht="16.5">
      <c r="B227" s="153" t="s">
        <v>2309</v>
      </c>
      <c r="C227" s="111"/>
      <c r="D227" s="178"/>
      <c r="E227" s="111"/>
      <c r="F227" s="178"/>
      <c r="G227" s="111"/>
      <c r="H227" s="155"/>
    </row>
    <row r="228" spans="2:8" ht="28.5">
      <c r="B228" s="179" t="s">
        <v>2310</v>
      </c>
      <c r="C228" s="111"/>
      <c r="D228" s="240" t="s">
        <v>1489</v>
      </c>
      <c r="E228" s="111"/>
      <c r="F228" s="275" t="s">
        <v>2779</v>
      </c>
      <c r="G228" s="111"/>
      <c r="H228" s="373"/>
    </row>
    <row r="229" spans="2:8" ht="28.5">
      <c r="B229" s="187" t="s">
        <v>2069</v>
      </c>
      <c r="C229" s="111"/>
      <c r="D229" s="242"/>
      <c r="E229" s="111"/>
      <c r="F229" s="242"/>
      <c r="G229" s="111"/>
      <c r="H229" s="374"/>
    </row>
    <row r="230" spans="2:8" ht="16.5">
      <c r="B230" s="162"/>
      <c r="C230" s="111"/>
      <c r="D230" s="323"/>
      <c r="E230" s="111"/>
      <c r="F230" s="186"/>
      <c r="G230" s="111"/>
      <c r="H230" s="111"/>
    </row>
    <row r="231" spans="2:8" ht="16.5">
      <c r="B231" s="153" t="s">
        <v>2311</v>
      </c>
      <c r="C231" s="111"/>
      <c r="D231" s="189"/>
      <c r="E231" s="111"/>
      <c r="F231" s="190"/>
      <c r="G231" s="111"/>
      <c r="H231" s="155"/>
    </row>
    <row r="232" spans="2:8" ht="28.5">
      <c r="B232" s="191" t="s">
        <v>2312</v>
      </c>
      <c r="C232" s="111"/>
      <c r="D232" s="240" t="s">
        <v>1489</v>
      </c>
      <c r="E232" s="111"/>
      <c r="F232" s="275" t="s">
        <v>2780</v>
      </c>
      <c r="G232" s="111"/>
      <c r="H232" s="158"/>
    </row>
    <row r="233" spans="2:8" ht="27.4" customHeight="1">
      <c r="B233" s="192" t="s">
        <v>2313</v>
      </c>
      <c r="C233" s="111"/>
      <c r="D233" s="281">
        <v>758800000000</v>
      </c>
      <c r="E233" s="111"/>
      <c r="F233" s="240" t="s">
        <v>1172</v>
      </c>
      <c r="G233" s="111"/>
      <c r="H233" s="158"/>
    </row>
    <row r="234" spans="2:8" ht="16.5">
      <c r="B234" s="175" t="s">
        <v>2114</v>
      </c>
      <c r="C234" s="111"/>
      <c r="D234" s="240"/>
      <c r="E234" s="111"/>
      <c r="F234" s="240"/>
      <c r="G234" s="111"/>
      <c r="H234" s="158"/>
    </row>
    <row r="235" spans="2:8" ht="16.5">
      <c r="B235" s="156" t="s">
        <v>2314</v>
      </c>
      <c r="C235" s="111"/>
      <c r="D235" s="281">
        <v>16867300000000</v>
      </c>
      <c r="E235" s="111"/>
      <c r="F235" s="240" t="s">
        <v>1172</v>
      </c>
      <c r="G235" s="111"/>
      <c r="H235" s="158"/>
    </row>
    <row r="236" spans="2:8" ht="16.5">
      <c r="B236" s="156" t="s">
        <v>2315</v>
      </c>
      <c r="C236" s="111"/>
      <c r="D236" s="281">
        <v>242300744937</v>
      </c>
      <c r="E236" s="111"/>
      <c r="F236" s="240" t="s">
        <v>1172</v>
      </c>
      <c r="G236" s="111"/>
      <c r="H236" s="158"/>
    </row>
    <row r="237" spans="2:8" ht="16.5">
      <c r="B237" s="156" t="s">
        <v>2316</v>
      </c>
      <c r="C237" s="111"/>
      <c r="D237" s="281">
        <v>3536260000000</v>
      </c>
      <c r="E237" s="111"/>
      <c r="F237" s="240" t="s">
        <v>1172</v>
      </c>
      <c r="G237" s="111"/>
      <c r="H237" s="158"/>
    </row>
    <row r="238" spans="2:8" ht="16.5">
      <c r="B238" s="156" t="s">
        <v>2317</v>
      </c>
      <c r="C238" s="111"/>
      <c r="D238" s="281">
        <v>1380962450261</v>
      </c>
      <c r="E238" s="111"/>
      <c r="F238" s="240" t="s">
        <v>1172</v>
      </c>
      <c r="G238" s="111"/>
      <c r="H238" s="158" t="s">
        <v>2781</v>
      </c>
    </row>
    <row r="239" spans="2:8" ht="16.5">
      <c r="B239" s="156" t="s">
        <v>2318</v>
      </c>
      <c r="C239" s="111"/>
      <c r="D239" s="281">
        <v>4293700000000</v>
      </c>
      <c r="E239" s="111"/>
      <c r="F239" s="240" t="s">
        <v>1172</v>
      </c>
      <c r="G239" s="111"/>
      <c r="H239" s="158"/>
    </row>
    <row r="240" spans="2:8" ht="16.5">
      <c r="B240" s="156" t="s">
        <v>2372</v>
      </c>
      <c r="C240" s="111"/>
      <c r="D240" s="281">
        <v>8237</v>
      </c>
      <c r="E240" s="111"/>
      <c r="F240" s="240"/>
      <c r="G240" s="111"/>
      <c r="H240" s="158"/>
    </row>
    <row r="241" spans="2:8" ht="16.5">
      <c r="B241" s="156" t="s">
        <v>2373</v>
      </c>
      <c r="C241" s="111"/>
      <c r="D241" s="281">
        <v>740</v>
      </c>
      <c r="E241" s="111"/>
      <c r="F241" s="240"/>
      <c r="G241" s="111"/>
      <c r="H241" s="158"/>
    </row>
    <row r="242" spans="2:8" ht="16.5">
      <c r="B242" s="156" t="s">
        <v>2374</v>
      </c>
      <c r="C242" s="111"/>
      <c r="D242" s="281">
        <v>8977</v>
      </c>
      <c r="E242" s="111"/>
      <c r="F242" s="240"/>
      <c r="G242" s="111"/>
      <c r="H242" s="158"/>
    </row>
    <row r="243" spans="2:8" ht="16.5">
      <c r="B243" s="156" t="s">
        <v>2319</v>
      </c>
      <c r="C243" s="111"/>
      <c r="D243" s="281">
        <v>5198745</v>
      </c>
      <c r="E243" s="111"/>
      <c r="F243" s="240"/>
      <c r="G243" s="111"/>
      <c r="H243" s="158"/>
    </row>
    <row r="244" spans="2:8" ht="16.5">
      <c r="B244" s="156" t="s">
        <v>2320</v>
      </c>
      <c r="C244" s="111"/>
      <c r="D244" s="281"/>
      <c r="E244" s="111"/>
      <c r="F244" s="240"/>
      <c r="G244" s="111"/>
      <c r="H244" s="158"/>
    </row>
    <row r="245" spans="2:8" ht="16.5">
      <c r="B245" s="174" t="s">
        <v>2321</v>
      </c>
      <c r="C245" s="111"/>
      <c r="D245" s="281"/>
      <c r="E245" s="111"/>
      <c r="F245" s="242"/>
      <c r="G245" s="111"/>
      <c r="H245" s="161"/>
    </row>
    <row r="246" spans="2:8" ht="16.5">
      <c r="B246" s="186"/>
      <c r="C246" s="111"/>
      <c r="D246" s="193"/>
      <c r="E246" s="111"/>
      <c r="F246" s="186"/>
      <c r="G246" s="111"/>
      <c r="H246" s="111"/>
    </row>
    <row r="247" spans="2:8" ht="16.5">
      <c r="B247" s="153" t="s">
        <v>2375</v>
      </c>
      <c r="C247" s="243"/>
      <c r="D247" s="244"/>
      <c r="E247" s="243"/>
      <c r="F247" s="244"/>
      <c r="G247" s="243"/>
      <c r="H247" s="245"/>
    </row>
    <row r="248" spans="2:8" ht="37.5" customHeight="1">
      <c r="B248" s="251" t="s">
        <v>2376</v>
      </c>
      <c r="C248" s="243"/>
      <c r="D248" s="246"/>
      <c r="E248" s="243"/>
      <c r="F248" s="246"/>
      <c r="G248" s="243"/>
      <c r="H248" s="247"/>
    </row>
    <row r="249" spans="2:8" ht="31.5">
      <c r="B249" s="248" t="s">
        <v>2377</v>
      </c>
      <c r="C249" s="243"/>
      <c r="D249" s="240" t="s">
        <v>1489</v>
      </c>
      <c r="E249" s="243"/>
      <c r="F249" s="275" t="s">
        <v>2782</v>
      </c>
      <c r="G249" s="243"/>
      <c r="H249" s="247"/>
    </row>
    <row r="250" spans="2:8" ht="63">
      <c r="B250" s="248" t="s">
        <v>2378</v>
      </c>
      <c r="C250" s="249"/>
      <c r="D250" s="240" t="s">
        <v>1489</v>
      </c>
      <c r="E250" s="243"/>
      <c r="F250" s="275" t="s">
        <v>2782</v>
      </c>
      <c r="G250" s="243"/>
      <c r="H250" s="247"/>
    </row>
    <row r="251" spans="2:8" ht="31.5">
      <c r="B251" s="250" t="s">
        <v>2379</v>
      </c>
      <c r="C251" s="249"/>
      <c r="D251" s="240" t="s">
        <v>2539</v>
      </c>
      <c r="E251" s="243"/>
      <c r="F251" s="278" t="s">
        <v>2820</v>
      </c>
      <c r="G251" s="243"/>
      <c r="H251" s="354" t="s">
        <v>2821</v>
      </c>
    </row>
    <row r="252" spans="2:8" ht="16.5">
      <c r="B252" s="186"/>
      <c r="C252" s="111"/>
      <c r="D252" s="193"/>
      <c r="E252" s="111"/>
      <c r="F252" s="186"/>
      <c r="G252" s="111"/>
      <c r="H252" s="111"/>
    </row>
    <row r="253" spans="2:8" ht="14.1" customHeight="1">
      <c r="B253" s="41"/>
      <c r="D253" s="41"/>
      <c r="F253" s="41"/>
    </row>
    <row r="254" spans="2:8" ht="17.25" hidden="1" customHeight="1" thickBot="1">
      <c r="B254" s="74"/>
      <c r="C254" s="379" t="s">
        <v>2163</v>
      </c>
      <c r="D254" s="379"/>
      <c r="E254" s="379"/>
      <c r="F254" s="379"/>
      <c r="G254" s="379"/>
      <c r="H254" s="74"/>
    </row>
    <row r="255" spans="2:8" ht="24" hidden="1" customHeight="1" thickBot="1">
      <c r="B255" s="194"/>
      <c r="C255" s="363" t="s">
        <v>2164</v>
      </c>
      <c r="D255" s="363"/>
      <c r="E255" s="363"/>
      <c r="F255" s="363"/>
      <c r="G255" s="363"/>
      <c r="H255" s="194"/>
    </row>
    <row r="256" spans="2:8" ht="25.15" hidden="1" customHeight="1" thickBot="1">
      <c r="B256" s="194"/>
      <c r="C256" s="362" t="s">
        <v>2165</v>
      </c>
      <c r="D256" s="362"/>
      <c r="E256" s="362"/>
      <c r="F256" s="362"/>
      <c r="G256" s="362"/>
      <c r="H256" s="194"/>
    </row>
    <row r="257" spans="2:8" ht="18.399999999999999" hidden="1" customHeight="1" thickBot="1">
      <c r="B257" s="74"/>
      <c r="C257" s="375" t="s">
        <v>2166</v>
      </c>
      <c r="D257" s="356"/>
      <c r="E257" s="356"/>
      <c r="F257" s="356"/>
      <c r="G257" s="376"/>
      <c r="H257" s="195"/>
    </row>
    <row r="258" spans="2:8" ht="17.25" thickBot="1">
      <c r="B258" s="54"/>
      <c r="C258" s="54"/>
      <c r="D258" s="54"/>
      <c r="E258" s="54"/>
      <c r="F258" s="54"/>
      <c r="G258" s="54"/>
      <c r="H258" s="55"/>
    </row>
    <row r="259" spans="2:8" ht="19.5">
      <c r="B259" s="196" t="s">
        <v>2219</v>
      </c>
      <c r="D259" s="197"/>
      <c r="F259" s="197"/>
    </row>
    <row r="260" spans="2:8" ht="16.149999999999999" customHeight="1">
      <c r="B260" s="358" t="s">
        <v>2367</v>
      </c>
      <c r="C260" s="358"/>
      <c r="D260" s="358"/>
      <c r="F260" s="198"/>
    </row>
    <row r="261" spans="2:8" ht="16.5"/>
    <row r="262" spans="2:8" ht="16.5"/>
    <row r="263" spans="2:8" ht="16.5"/>
    <row r="264" spans="2:8" ht="16.5"/>
    <row r="265" spans="2:8" ht="16.5"/>
    <row r="266" spans="2:8" ht="16.5"/>
    <row r="267" spans="2:8" ht="16.5"/>
    <row r="268" spans="2:8" ht="16.5"/>
    <row r="269" spans="2:8" ht="16.5"/>
    <row r="270" spans="2:8" ht="16.5"/>
    <row r="271" spans="2:8" ht="16.5"/>
    <row r="272" spans="2:8" ht="16.5"/>
    <row r="273" ht="16.5"/>
    <row r="274" ht="16.5"/>
    <row r="275" ht="16.5"/>
    <row r="276" ht="16.5"/>
    <row r="277" ht="16.5"/>
    <row r="278" ht="16.5"/>
    <row r="279" ht="16.5"/>
    <row r="280" ht="16.5"/>
    <row r="281" ht="16.5"/>
    <row r="282" ht="16.5"/>
    <row r="283" ht="16.5"/>
    <row r="284" ht="16.5"/>
  </sheetData>
  <mergeCells count="16">
    <mergeCell ref="H180:H181"/>
    <mergeCell ref="C257:G257"/>
    <mergeCell ref="B260:D260"/>
    <mergeCell ref="B10:E10"/>
    <mergeCell ref="B15:H15"/>
    <mergeCell ref="B11:E11"/>
    <mergeCell ref="B12:E12"/>
    <mergeCell ref="B13:E13"/>
    <mergeCell ref="B14:E14"/>
    <mergeCell ref="F10:H14"/>
    <mergeCell ref="C254:G254"/>
    <mergeCell ref="C256:G256"/>
    <mergeCell ref="C255:G255"/>
    <mergeCell ref="H228:H229"/>
    <mergeCell ref="F46:F48"/>
    <mergeCell ref="H172:H173"/>
  </mergeCells>
  <dataValidations xWindow="966" yWindow="798" count="33">
    <dataValidation type="whole" allowBlank="1" showInputMessage="1" showErrorMessage="1" errorTitle="Veuillez ne pas modifier" error="Veuillez ne pas modifier ces cellules" sqref="B30:B38 B40:B43 B45:B50 B52:B55 B62:B63 B66:B67 B57:B60" xr:uid="{18A3AE5E-DCF3-4B6B-B982-7AC10E52BD8F}">
      <formula1>10000</formula1>
      <formula2>500000</formula2>
    </dataValidation>
    <dataValidation type="textLength" allowBlank="1" showInputMessage="1" showErrorMessage="1" errorTitle="Veuillez ne pas modifier" error="Veuillez ne pas modifier ces cellules" sqref="B24:B26 B165 B116:B117 B252 B19:B22 B114 B160 B184:B186 B192:B193 B176:B178 B180:B182 B167 B188:B190 B174 B172 B162:B163 B246 B28:B29 D192 D164" xr:uid="{FD1D0A5E-84E8-48AE-8EBF-6C369F2DFD67}">
      <formula1>10000</formula1>
      <formula2>50000</formula2>
    </dataValidation>
    <dataValidation type="whole" allowBlank="1" showInputMessage="1" showErrorMessage="1" errorTitle="Veuillez ne pas modifier" error="Veuillez ne pas modifier ces cellules" sqref="B23 B191 B187 B183 B179 B175 B166 B161 B115 B247:B251 B61 B56 B51 B44 B39 B17 B194:B215 B217:B222 B226:B232 B235:B239 B244:B245 B64" xr:uid="{01346396-8EEF-4FE6-A746-910274283B08}">
      <formula1>10000</formula1>
      <formula2>50000</formula2>
    </dataValidation>
    <dataValidation type="decimal" allowBlank="1" showInputMessage="1" showErrorMessage="1" errorTitle="Veuillez ne pas modifier" error="Veuillez ne pas modifier ces cellules" sqref="B258:D259 E258:H260" xr:uid="{32870CFC-EE36-4A4D-ADBB-C0FF5DB2CF74}">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204 F244:F245 F218:F219 F229 F185 F189 F224:F225 F181 F177 F208:F209 F221:F222 F233:F239" xr:uid="{DF1072C8-FEFB-4147-B6AD-F78CF91C4B7A}">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218:D219 D229 D177 D204 D189 D208:D209 D181 D221:D222 D224:D225 D185" xr:uid="{CAF5D0AB-277F-4538-9B2E-5DE974E3DE8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169 D68:D113 D171:D173 D118:D159" xr:uid="{0B8878C8-6619-40E9-8096-EE6BE7FC604B}">
      <formula1>0</formula1>
    </dataValidation>
    <dataValidation type="decimal" allowBlank="1" showInputMessage="1" showErrorMessage="1" sqref="D193" xr:uid="{81426A4D-290E-4AF2-8D6F-F3149A13F5A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45" xr:uid="{3032E63C-A6E8-43E4-84A7-B8C926F323C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44" xr:uid="{29BBE371-2BA2-4A29-B3CA-B0E28CA0DF7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43" xr:uid="{BAFA2F2B-EDC7-4ED6-B7B6-EDDF140F3E6B}">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42" xr:uid="{60DE8021-5F5F-4E0F-9D3A-3B71F13F04B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38" xr:uid="{D9301F44-46FB-4E7E-B05E-A7BEDE62F15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33:D234" xr:uid="{444DC13F-2674-42BB-A5F3-7D76596203A4}">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35" xr:uid="{6C0FFD4F-BEA6-48E8-82B4-92DB05033CD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36" xr:uid="{D3779151-A0BD-4E61-B3AB-68878424E332}">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37" xr:uid="{B8BCCF84-9BE3-4049-B66C-57BDC5195541}">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39" xr:uid="{558D9CE5-F71C-4FA0-9506-950123E3BFA5}">
      <formula1>2</formula1>
    </dataValidation>
    <dataValidation type="whole" allowBlank="1" showInputMessage="1" showErrorMessage="1" errorTitle="Veuillez ne pas modifier" error="Veuillez ne pas modifier ces cellules" sqref="C254:G257" xr:uid="{FB14B789-8746-4A91-B239-3E7D6093A432}">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8 F70 F72 F110 F78 F80 F96 F104 F118 F120 F122 F124 F106 F171 F84 F86 F82 F88 F102 F92 F94 F90 F98 F100 F126 F130 F132 F134 F136 F138 F140 F142 F144 F169 F146 F74 F148 F128 F76 F150 F108 F112 F152 F154 F156 F158" xr:uid="{822EE6C6-D7C8-40D6-B2D5-7EEEDABD753E}">
      <formula1>"&lt;Selectionner unité&gt;,Sm3,Sm3 o.e.,Barils,Tonnes,oz,carats,Scf"</formula1>
    </dataValidation>
    <dataValidation allowBlank="1" showInputMessage="1" showErrorMessage="1" errorTitle="Veuillez ne pas modifier" error="Veuillez ne pas modifier ces cellules" sqref="B233:B234 B216 B223:B225 B260:D260 B240:B243" xr:uid="{586669E3-5B35-4E92-9DFA-2EE5239FB6A5}"/>
    <dataValidation allowBlank="1" showInputMessage="1" showErrorMessage="1" promptTitle="Nom du registre" prompt="Veuillez indiquer le nom du registre de la propriété réelle, si disponible." sqref="D54" xr:uid="{E22DDF9F-C550-48DA-8AE0-6F459EAD05BA}"/>
    <dataValidation allowBlank="1" showInputMessage="1" showErrorMessage="1" promptTitle="Name of the registry" prompt="Please input the name of the Beneficial Ownership Registry" sqref="D54" xr:uid="{132473C1-1E1D-4E60-8E12-86859396FD66}"/>
    <dataValidation type="list" showInputMessage="1" showErrorMessage="1" promptTitle="Type de déclaration" prompt="Veuillez indiquer le type de déclaration, parmi:_x000a__x000a_Divulgation systématique_x000a_Rapportage ITIE_x000a_Non disponible_x000a_Sans objet" sqref="D32:D37 D40:D42 D249:D251 D45:D49 D52:D53 D232 D62 D66:D67 D116:D117 D162:D163 D25:D28 D176 D167 D184 D188 D195:D200 D203 D207 D212:D214 D217 D220 D228 D57:D59 D223 D180" xr:uid="{EB0B96BC-C73F-4625-921B-B423889A69F8}">
      <formula1>Reporting_options_list</formula1>
    </dataValidation>
    <dataValidation type="whole" allowBlank="1" showInputMessage="1" showErrorMessage="1" errorTitle="Veuillez ne pas modifier" error="Veuillez ne pas modifier ces cellules" sqref="B168 B170 B173" xr:uid="{5F4D147F-5453-4AC4-8C54-2FA32A611CC1}">
      <formula1>1</formula1>
      <formula2>4</formula2>
    </dataValidation>
    <dataValidation type="whole" allowBlank="1" showInputMessage="1" showErrorMessage="1" errorTitle="Veuillez ne pas modifier" error="Veuillez ne pas modifier ces cellules" sqref="B164 F164" xr:uid="{096084D4-DA79-4AB9-A393-AB3BB925A435}">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40:F243" xr:uid="{491EFB04-64B8-4925-8080-186089A2EA5E}">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40" xr:uid="{77737CE6-1911-4110-97BD-45410D5C85EF}">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41" xr:uid="{F706CB78-296E-41D0-8D9F-43A6206372A6}">
      <formula1>2</formula1>
    </dataValidation>
    <dataValidation type="textLength" allowBlank="1" showInputMessage="1" showErrorMessage="1" sqref="H247:H251" xr:uid="{D3822C6C-1C26-43C8-B6B8-BA8DF4DB7CB6}">
      <formula1>0</formula1>
      <formula2>350</formula2>
    </dataValidation>
    <dataValidation type="whole" showInputMessage="1" showErrorMessage="1" sqref="G247:G251" xr:uid="{6537E2EF-AC38-44BE-BF3B-28377D248EF2}">
      <formula1>999999</formula1>
      <formula2>99999999</formula2>
    </dataValidation>
    <dataValidation showInputMessage="1" showErrorMessage="1" sqref="B65" xr:uid="{1564FEC5-59C5-47CE-A907-5ED79C11C066}"/>
    <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sqref="B68 B70 B72 B74 B80 B82 B84 B100 B118 B120 B122 B124 B106 B171 B86 B88 B98 B90 B92 B94 B96 B108 B102 B104 B126 B130 B132 B134 B136 B138 B140 B142 B144 B150 B169 B76 B128 B146 B148 B78 B110 B112:B113 B152 B154 B156 B158" xr:uid="{07B289E1-7671-4E81-8910-8B957D51D6F5}">
      <formula1>Commodities_list</formula1>
    </dataValidation>
  </dataValidations>
  <hyperlinks>
    <hyperlink ref="B30" r:id="rId1" location="r2-2" display="Exigence ITIE 2.2: Octroi des licences" xr:uid="{00000000-0004-0000-0200-000007000000}"/>
    <hyperlink ref="B44" r:id="rId2" location="r2-4" xr:uid="{00000000-0004-0000-0200-000008000000}"/>
    <hyperlink ref="B51" r:id="rId3" location="r2-5" xr:uid="{00000000-0004-0000-0200-000009000000}"/>
    <hyperlink ref="B56" r:id="rId4" location="r2-6" xr:uid="{00000000-0004-0000-0200-00000A000000}"/>
    <hyperlink ref="B61" r:id="rId5" location="r3-1" xr:uid="{00000000-0004-0000-0200-00000B000000}"/>
    <hyperlink ref="B64" r:id="rId6" location="r3-2" xr:uid="{00000000-0004-0000-0200-00000C000000}"/>
    <hyperlink ref="B115" r:id="rId7" location="r3-3" xr:uid="{00000000-0004-0000-0200-00000D000000}"/>
    <hyperlink ref="B161" r:id="rId8" location="r4-1" xr:uid="{00000000-0004-0000-0200-00000E000000}"/>
    <hyperlink ref="B166" r:id="rId9" location="r4-2" xr:uid="{00000000-0004-0000-0200-00000F000000}"/>
    <hyperlink ref="B175" r:id="rId10" location="r4-3" xr:uid="{00000000-0004-0000-0200-000010000000}"/>
    <hyperlink ref="B179" r:id="rId11" location="r4-4" xr:uid="{00000000-0004-0000-0200-000011000000}"/>
    <hyperlink ref="B183" r:id="rId12" location="r4-5" xr:uid="{00000000-0004-0000-0200-000012000000}"/>
    <hyperlink ref="B187" r:id="rId13" location="r4-6" xr:uid="{00000000-0004-0000-0200-000013000000}"/>
    <hyperlink ref="B191" r:id="rId14" location="r4-8" xr:uid="{00000000-0004-0000-0200-000014000000}"/>
    <hyperlink ref="B194" r:id="rId15" location="r4-9" xr:uid="{00000000-0004-0000-0200-000015000000}"/>
    <hyperlink ref="B202" r:id="rId16" location="r5-1" xr:uid="{00000000-0004-0000-0200-000016000000}"/>
    <hyperlink ref="B206" r:id="rId17" location="r5-2" xr:uid="{00000000-0004-0000-0200-000017000000}"/>
    <hyperlink ref="B211" r:id="rId18" location="r5-3" xr:uid="{00000000-0004-0000-0200-000018000000}"/>
    <hyperlink ref="B227" r:id="rId19" location="r6-2" xr:uid="{00000000-0004-0000-0200-000019000000}"/>
    <hyperlink ref="B231" r:id="rId20" location="r6-3" xr:uid="{00000000-0004-0000-0200-00001A000000}"/>
    <hyperlink ref="B216" r:id="rId21" location="r6-1" display="Exigence ITIE 6.1: Dépenses sociales " xr:uid="{00000000-0004-0000-0200-000024000000}"/>
    <hyperlink ref="B15:H15" r:id="rId22" display="If you have any questions, please contact data@eiti.org" xr:uid="{00000000-0004-0000-0200-000029000000}"/>
    <hyperlink ref="C257:G257" r:id="rId23" display="Give us your feedback or report a conflict in the data! Write to us at  data@eiti.org" xr:uid="{CDC3591F-ADA9-4DB3-B355-D653DB6FB600}"/>
    <hyperlink ref="G257" r:id="rId24" display="Give us your feedback or report a conflict in the data! Write to us at  data@eiti.org" xr:uid="{A99B6764-1F3E-47AB-809A-4B3DA15ABEB1}"/>
    <hyperlink ref="E257:F257" r:id="rId25" display="Give us your feedback or report a conflict in the data! Write to us at  data@eiti.org" xr:uid="{3762A584-79C1-403C-A889-1F8B6A9F4EDC}"/>
    <hyperlink ref="F257" r:id="rId26" display="Give us your feedback or report a conflict in the data! Write to us at  data@eiti.org" xr:uid="{13FEE2CC-DF49-4876-978D-2AFDC30F458D}"/>
    <hyperlink ref="C255:G255" r:id="rId27" display="Vous voulez en savoir plus sur votre pays ? Vérifiez si votre pays met en œuvre la Norme ITIE en visitant https://eiti.org/countries" xr:uid="{03621DAE-7983-499C-8202-5F3199FEB9F9}"/>
    <hyperlink ref="C256:G256" r:id="rId28" display="Pour la version la plus récente des modèles de données résumées, consultez https://eiti.org/fr/document/modele-donnees-resumees-itie" xr:uid="{B64D4F97-54EE-4F7A-8E6F-BD8EAC781BA6}"/>
    <hyperlink ref="B23" r:id="rId29" location="r2-1" xr:uid="{00000000-0004-0000-0200-000006000000}"/>
    <hyperlink ref="B39" r:id="rId30" location="r2-3" xr:uid="{C8143657-2BB2-452B-A332-AA1FEF1004C7}"/>
    <hyperlink ref="B233" r:id="rId31" xr:uid="{935A10F2-7E13-4EDA-8C48-4E42B289EB4B}"/>
    <hyperlink ref="C254:G254" r:id="rId32" display="Pour plus d’information sur l’ITIE, visitez notre site Internet  https://eiti.org" xr:uid="{9118B4B3-45C5-4CAF-ADE5-EDB0AF20E096}"/>
    <hyperlink ref="B247" r:id="rId33" location="r6-4" display="EITI Requirement 6.4: Environmental impact" xr:uid="{833DE7D9-6853-4F5B-932A-13042510FCE5}"/>
    <hyperlink ref="B65" r:id="rId34" display="(Harmonised System Codes)" xr:uid="{1EA07E2E-372F-42BE-9BEC-A5AE1CE21E62}"/>
    <hyperlink ref="F41" r:id="rId35" display="https://cadastrepetrolier.sec.gouv.sn/" xr:uid="{9D9D80FD-5D5C-434C-90C0-5FC0F342D806}"/>
    <hyperlink ref="F40" r:id="rId36" xr:uid="{D8213F4A-526E-4E84-8A1B-B194A0D4DCCD}"/>
    <hyperlink ref="F58" r:id="rId37" display="https://itie.sn/entreprises-detat/" xr:uid="{5F73E50F-1D18-450D-9358-A74D62378E1B}"/>
    <hyperlink ref="F251" r:id="rId38" xr:uid="{6839645A-C3F7-4FF0-9A9E-5E0B2E030120}"/>
    <hyperlink ref="F46" r:id="rId39" display="http://itie.sn/contrats-miniers/" xr:uid="{7593041A-343F-4FE8-A450-79C314F917EF}"/>
  </hyperlinks>
  <pageMargins left="0.25" right="0.25" top="0.75" bottom="0.75" header="0.3" footer="0.3"/>
  <pageSetup paperSize="8" fitToHeight="0" orientation="landscape" horizontalDpi="2400" verticalDpi="2400" r:id="rId40"/>
  <drawing r:id="rId41"/>
  <extLst>
    <ext xmlns:x14="http://schemas.microsoft.com/office/spreadsheetml/2009/9/main" uri="{CCE6A557-97BC-4b89-ADB6-D9C93CAAB3DF}">
      <x14:dataValidations xmlns:xm="http://schemas.microsoft.com/office/excel/2006/main" xWindow="966" yWindow="798" count="2">
        <x14:dataValidation type="list" allowBlank="1" showInputMessage="1" showErrorMessage="1" xr:uid="{4215E324-BDE3-41DD-A41F-93FBAA18ACEB}">
          <x14:formula1>
            <xm:f>'C:\Users\kr65\Downloads\SD\2.0\[Summary Data 2.0 data validation french translation.xlsm]Lists'!#REF!</xm:f>
          </x14:formula1>
          <xm:sqref>D23:D24 D30:D31 D231 D246 D252</xm:sqref>
        </x14:dataValidation>
        <x14:dataValidation type="list" operator="equal" showInputMessage="1" showErrorMessage="1" errorTitle="Saisie erronée" error="Entrée non-valide" promptTitle="Veuillez indiquer la devise" prompt="Saisissez les 3 lettres du code-devise de l’ISO." xr:uid="{FFBB2FB2-6E8A-40CC-8813-CE60DCA5D114}">
          <x14:formula1>
            <xm:f>Listes!$I$11:$I$168</xm:f>
          </x14:formula1>
          <xm:sqref>F69 F71 F73 F129 F81 F105 F119 F121 F125 F91 F123 F172:F173 F79 F89 F83 F87 F85 F113 F103 F93 F95 F97 F99 F101 F149 F131 F133 F135 F137 F139 F141 F143 F145 F147 F127 F77 F109 F75 F107 F111 F151 F153 F155 F157 F159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B1:L454"/>
  <sheetViews>
    <sheetView showGridLines="0" topLeftCell="A7" zoomScale="70" zoomScaleNormal="70" workbookViewId="0">
      <selection activeCell="I38" sqref="I38"/>
    </sheetView>
  </sheetViews>
  <sheetFormatPr baseColWidth="10" defaultColWidth="4" defaultRowHeight="24" customHeight="1"/>
  <cols>
    <col min="1" max="1" width="4" style="12"/>
    <col min="2" max="2" width="52.5703125" style="12" customWidth="1"/>
    <col min="3" max="3" width="21" style="12" customWidth="1"/>
    <col min="4" max="4" width="36" style="12" customWidth="1"/>
    <col min="5" max="5" width="43.28515625" style="12" bestFit="1" customWidth="1"/>
    <col min="6" max="6" width="27" style="12" customWidth="1"/>
    <col min="7" max="7" width="29.7109375" style="12" customWidth="1"/>
    <col min="8" max="8" width="26.28515625" style="12" customWidth="1"/>
    <col min="9" max="9" width="27.85546875" style="12" bestFit="1" customWidth="1"/>
    <col min="10" max="10" width="22.28515625" style="333" bestFit="1" customWidth="1"/>
    <col min="11" max="11" width="13.7109375" style="12" customWidth="1"/>
    <col min="12" max="16384" width="4" style="12"/>
  </cols>
  <sheetData>
    <row r="1" spans="2:10" ht="15.75" hidden="1" customHeight="1"/>
    <row r="2" spans="2:10" ht="16.5" hidden="1"/>
    <row r="3" spans="2:10" ht="16.5" hidden="1">
      <c r="C3" s="13"/>
      <c r="D3" s="13"/>
      <c r="E3" s="13" t="s">
        <v>2173</v>
      </c>
    </row>
    <row r="4" spans="2:10" ht="16.5" hidden="1">
      <c r="C4" s="13"/>
      <c r="D4" s="13"/>
      <c r="E4" s="13">
        <f>Introduction!G4</f>
        <v>0</v>
      </c>
    </row>
    <row r="5" spans="2:10" ht="16.5" hidden="1"/>
    <row r="6" spans="2:10" ht="16.5" hidden="1"/>
    <row r="7" spans="2:10" ht="16.5"/>
    <row r="8" spans="2:10" ht="16.5">
      <c r="B8" s="15" t="s">
        <v>2322</v>
      </c>
      <c r="C8" s="74"/>
      <c r="D8" s="74"/>
      <c r="E8" s="74"/>
    </row>
    <row r="9" spans="2:10" ht="17.100000000000001" customHeight="1">
      <c r="B9" s="73" t="s">
        <v>2174</v>
      </c>
      <c r="C9" s="199"/>
      <c r="D9" s="73"/>
      <c r="E9" s="199"/>
      <c r="F9" s="200"/>
      <c r="G9" s="200"/>
      <c r="H9" s="200"/>
    </row>
    <row r="10" spans="2:10" ht="30.6" customHeight="1">
      <c r="B10" s="201" t="s">
        <v>2323</v>
      </c>
      <c r="C10" s="75"/>
      <c r="D10" s="371"/>
      <c r="E10" s="75"/>
      <c r="F10" s="44"/>
      <c r="G10" s="44"/>
      <c r="H10" s="44"/>
    </row>
    <row r="11" spans="2:10" ht="34.9" customHeight="1">
      <c r="B11" s="201" t="s">
        <v>2324</v>
      </c>
      <c r="C11" s="75"/>
      <c r="D11" s="371"/>
      <c r="E11" s="75"/>
      <c r="F11" s="44"/>
      <c r="G11" s="44"/>
      <c r="H11" s="44"/>
    </row>
    <row r="12" spans="2:10" ht="65.45" customHeight="1">
      <c r="B12" s="201" t="s">
        <v>2325</v>
      </c>
      <c r="C12" s="75"/>
      <c r="D12" s="371"/>
      <c r="E12" s="75"/>
      <c r="F12" s="44"/>
      <c r="G12" s="44"/>
      <c r="H12" s="44"/>
    </row>
    <row r="13" spans="2:10" ht="15.6" customHeight="1">
      <c r="B13" s="201" t="s">
        <v>2326</v>
      </c>
      <c r="C13" s="75"/>
      <c r="D13" s="371"/>
      <c r="E13" s="75"/>
      <c r="F13" s="44"/>
      <c r="G13" s="44"/>
      <c r="H13" s="44"/>
    </row>
    <row r="14" spans="2:10" ht="16.5">
      <c r="B14" s="202" t="s">
        <v>2327</v>
      </c>
      <c r="C14" s="76"/>
      <c r="D14" s="76"/>
      <c r="E14" s="76"/>
      <c r="F14" s="77"/>
      <c r="G14" s="77"/>
      <c r="H14" s="77"/>
      <c r="I14" s="77"/>
      <c r="J14" s="334"/>
    </row>
    <row r="15" spans="2:10" ht="16.5"/>
    <row r="16" spans="2:10" ht="24.75" thickBot="1">
      <c r="B16" s="383" t="s">
        <v>2328</v>
      </c>
      <c r="C16" s="383"/>
      <c r="D16" s="383"/>
      <c r="E16" s="383"/>
    </row>
    <row r="17" spans="2:12" s="84" customFormat="1" ht="25.5" customHeight="1" thickBot="1">
      <c r="B17" s="384" t="s">
        <v>2070</v>
      </c>
      <c r="C17" s="384"/>
      <c r="D17" s="384"/>
      <c r="E17" s="384"/>
      <c r="G17" s="318"/>
      <c r="J17" s="335"/>
    </row>
    <row r="18" spans="2:12" s="56" customFormat="1" ht="16.5">
      <c r="B18" s="385"/>
      <c r="C18" s="385"/>
      <c r="D18" s="385"/>
      <c r="E18" s="385"/>
      <c r="G18" s="318"/>
      <c r="J18" s="332"/>
    </row>
    <row r="19" spans="2:12" s="56" customFormat="1" ht="19.5">
      <c r="B19" s="253" t="s">
        <v>2329</v>
      </c>
      <c r="C19" s="231"/>
      <c r="D19" s="254"/>
      <c r="E19" s="254"/>
      <c r="F19" s="203"/>
      <c r="G19" s="347"/>
      <c r="J19" s="332"/>
    </row>
    <row r="20" spans="2:12" s="56" customFormat="1" ht="30.6" customHeight="1">
      <c r="B20" s="12" t="s">
        <v>2071</v>
      </c>
      <c r="C20" s="12" t="s">
        <v>2120</v>
      </c>
      <c r="D20" s="12" t="s">
        <v>2330</v>
      </c>
      <c r="E20" s="12" t="s">
        <v>2331</v>
      </c>
      <c r="F20" s="203"/>
      <c r="G20" s="347"/>
      <c r="J20" s="332"/>
    </row>
    <row r="21" spans="2:12" s="56" customFormat="1" ht="16.5">
      <c r="B21" s="56" t="s">
        <v>2550</v>
      </c>
      <c r="C21" s="12" t="s">
        <v>2123</v>
      </c>
      <c r="D21" s="12"/>
      <c r="E21" s="206">
        <v>144442159883.00018</v>
      </c>
      <c r="F21" s="205"/>
      <c r="G21" s="291"/>
      <c r="J21" s="332"/>
    </row>
    <row r="22" spans="2:12" s="56" customFormat="1" ht="16.5">
      <c r="B22" s="56" t="s">
        <v>2549</v>
      </c>
      <c r="C22" s="56" t="s">
        <v>2123</v>
      </c>
      <c r="E22" s="206">
        <v>44632321431.000038</v>
      </c>
      <c r="F22" s="205"/>
      <c r="G22" s="291"/>
      <c r="J22" s="336"/>
      <c r="K22" s="203"/>
      <c r="L22" s="203"/>
    </row>
    <row r="23" spans="2:12" s="56" customFormat="1" ht="16.5">
      <c r="B23" s="12" t="s">
        <v>2695</v>
      </c>
      <c r="C23" s="56" t="s">
        <v>2123</v>
      </c>
      <c r="E23" s="206">
        <v>43205899976</v>
      </c>
      <c r="F23" s="205"/>
      <c r="G23" s="291"/>
      <c r="J23" s="337"/>
      <c r="K23" s="205"/>
      <c r="L23" s="205"/>
    </row>
    <row r="24" spans="2:12" s="56" customFormat="1" ht="16.5">
      <c r="B24" s="56" t="s">
        <v>2551</v>
      </c>
      <c r="C24" s="56" t="s">
        <v>2123</v>
      </c>
      <c r="E24" s="206">
        <v>20167182595</v>
      </c>
      <c r="G24" s="291"/>
      <c r="J24" s="337"/>
      <c r="K24" s="205"/>
      <c r="L24" s="205"/>
    </row>
    <row r="25" spans="2:12" s="56" customFormat="1" ht="16.5">
      <c r="B25" s="56" t="s">
        <v>2554</v>
      </c>
      <c r="C25" s="56" t="s">
        <v>2123</v>
      </c>
      <c r="E25" s="206">
        <v>4872733599</v>
      </c>
      <c r="G25" s="291"/>
      <c r="J25" s="337"/>
      <c r="K25" s="205"/>
      <c r="L25" s="205"/>
    </row>
    <row r="26" spans="2:12" s="56" customFormat="1" ht="16.5">
      <c r="B26" s="56" t="s">
        <v>2556</v>
      </c>
      <c r="C26" s="56" t="s">
        <v>2126</v>
      </c>
      <c r="E26" s="206">
        <v>1466018389.0931678</v>
      </c>
      <c r="G26" s="291"/>
      <c r="J26" s="337"/>
      <c r="K26" s="205"/>
      <c r="L26" s="205"/>
    </row>
    <row r="27" spans="2:12" s="56" customFormat="1" ht="16.5">
      <c r="B27" s="56" t="s">
        <v>2555</v>
      </c>
      <c r="C27" s="56" t="s">
        <v>2123</v>
      </c>
      <c r="E27" s="206">
        <v>872988279.99999988</v>
      </c>
      <c r="G27" s="291"/>
      <c r="J27" s="337"/>
      <c r="K27" s="205"/>
      <c r="L27" s="205"/>
    </row>
    <row r="28" spans="2:12" s="56" customFormat="1" ht="16.5">
      <c r="B28" s="56" t="s">
        <v>2552</v>
      </c>
      <c r="C28" s="56" t="s">
        <v>2123</v>
      </c>
      <c r="E28" s="206">
        <v>538416613.00000012</v>
      </c>
      <c r="G28" s="291"/>
      <c r="J28" s="337"/>
      <c r="K28" s="205"/>
      <c r="L28" s="205"/>
    </row>
    <row r="29" spans="2:12" s="56" customFormat="1" ht="16.5">
      <c r="B29" s="56" t="s">
        <v>2553</v>
      </c>
      <c r="C29" s="56" t="s">
        <v>2123</v>
      </c>
      <c r="E29" s="206">
        <v>215142411</v>
      </c>
      <c r="J29" s="337"/>
      <c r="K29" s="205"/>
      <c r="L29" s="205"/>
    </row>
    <row r="30" spans="2:12" s="56" customFormat="1" ht="16.5">
      <c r="B30" s="319"/>
      <c r="C30" s="319"/>
      <c r="D30" s="319"/>
      <c r="E30" s="340">
        <f>SUBTOTAL(109,Government_agencies[Total déclaré])</f>
        <v>260412863177.09338</v>
      </c>
      <c r="G30" s="317"/>
      <c r="J30" s="332"/>
    </row>
    <row r="31" spans="2:12" s="56" customFormat="1" ht="16.5">
      <c r="J31" s="332"/>
    </row>
    <row r="32" spans="2:12" s="56" customFormat="1" ht="20.25" thickBot="1">
      <c r="B32" s="253" t="s">
        <v>2336</v>
      </c>
      <c r="C32" s="231"/>
      <c r="D32" s="231"/>
      <c r="E32" s="231"/>
      <c r="F32" s="231"/>
      <c r="G32" s="254"/>
      <c r="H32" s="254"/>
      <c r="I32" s="254"/>
      <c r="J32" s="332"/>
    </row>
    <row r="33" spans="2:10" s="56" customFormat="1" ht="17.25" thickBot="1">
      <c r="B33" s="257" t="s">
        <v>2332</v>
      </c>
      <c r="C33" s="257"/>
      <c r="D33" s="257"/>
      <c r="E33" s="33"/>
      <c r="F33" s="33"/>
      <c r="G33" s="255"/>
      <c r="H33" s="255"/>
      <c r="I33" s="255"/>
      <c r="J33" s="332"/>
    </row>
    <row r="34" spans="2:10" s="56" customFormat="1" ht="33">
      <c r="B34" s="258" t="s">
        <v>2333</v>
      </c>
      <c r="C34" s="259" t="s">
        <v>2334</v>
      </c>
      <c r="D34" s="260" t="s">
        <v>2335</v>
      </c>
      <c r="E34" s="33"/>
      <c r="F34" s="33"/>
      <c r="G34" s="255"/>
      <c r="H34" s="255"/>
      <c r="I34" s="255"/>
      <c r="J34" s="332"/>
    </row>
    <row r="35" spans="2:10" s="56" customFormat="1" ht="19.5">
      <c r="B35" s="256"/>
      <c r="C35" s="33"/>
      <c r="D35" s="33"/>
      <c r="E35" s="33"/>
      <c r="F35" s="33"/>
      <c r="G35" s="255"/>
      <c r="H35" s="255"/>
      <c r="I35" s="255"/>
      <c r="J35" s="332"/>
    </row>
    <row r="36" spans="2:10" s="56" customFormat="1" ht="66">
      <c r="B36" s="204" t="s">
        <v>2073</v>
      </c>
      <c r="C36" s="204" t="s">
        <v>2528</v>
      </c>
      <c r="D36" s="12" t="s">
        <v>2337</v>
      </c>
      <c r="E36" s="12" t="s">
        <v>1464</v>
      </c>
      <c r="F36" s="36" t="s">
        <v>2338</v>
      </c>
      <c r="G36" s="36" t="s">
        <v>2339</v>
      </c>
      <c r="H36" s="36" t="s">
        <v>2132</v>
      </c>
      <c r="I36" s="36" t="s">
        <v>2340</v>
      </c>
      <c r="J36" s="342" t="s">
        <v>2665</v>
      </c>
    </row>
    <row r="37" spans="2:10" s="56" customFormat="1" ht="16.5">
      <c r="B37" s="339" t="s">
        <v>2558</v>
      </c>
      <c r="C37" s="56" t="s">
        <v>2572</v>
      </c>
      <c r="D37" s="56" t="s">
        <v>2579</v>
      </c>
      <c r="E37" s="12" t="s">
        <v>2096</v>
      </c>
      <c r="F37" s="56" t="s">
        <v>2596</v>
      </c>
      <c r="G37" s="282" t="s">
        <v>2619</v>
      </c>
      <c r="H37" s="207" t="s">
        <v>1469</v>
      </c>
      <c r="I37" s="332">
        <f>SUMIF(Table10[Entreprise],Companies[[#This Row],[Nom complet de l’entreprise]],Table10[Valeur de revenus])</f>
        <v>79362301472</v>
      </c>
      <c r="J37" s="343"/>
    </row>
    <row r="38" spans="2:10" s="56" customFormat="1" ht="16.5">
      <c r="B38" s="36" t="s">
        <v>2557</v>
      </c>
      <c r="C38" s="12" t="s">
        <v>2572</v>
      </c>
      <c r="D38" s="56">
        <v>16627</v>
      </c>
      <c r="E38" s="12" t="s">
        <v>2096</v>
      </c>
      <c r="F38" s="56" t="s">
        <v>2595</v>
      </c>
      <c r="G38" s="282" t="s">
        <v>2613</v>
      </c>
      <c r="H38" s="207" t="s">
        <v>1469</v>
      </c>
      <c r="I38" s="332">
        <f>SUMIF(Table10[Entreprise],Companies[[#This Row],[Nom complet de l’entreprise]],Table10[Valeur de revenus])</f>
        <v>49422883618</v>
      </c>
      <c r="J38" s="343"/>
    </row>
    <row r="39" spans="2:10" s="56" customFormat="1" ht="16.5">
      <c r="B39" s="339" t="s">
        <v>2559</v>
      </c>
      <c r="C39" s="56" t="s">
        <v>2572</v>
      </c>
      <c r="D39" s="56" t="s">
        <v>2580</v>
      </c>
      <c r="E39" s="12" t="s">
        <v>2096</v>
      </c>
      <c r="F39" s="56" t="s">
        <v>2597</v>
      </c>
      <c r="G39" s="282"/>
      <c r="H39" s="207" t="s">
        <v>1469</v>
      </c>
      <c r="I39" s="332">
        <f>SUMIF(Table10[Entreprise],Companies[[#This Row],[Nom complet de l’entreprise]],Table10[Valeur de revenus])</f>
        <v>31680942223</v>
      </c>
      <c r="J39" s="343"/>
    </row>
    <row r="40" spans="2:10" s="56" customFormat="1" ht="16.5">
      <c r="B40" s="339" t="s">
        <v>2560</v>
      </c>
      <c r="C40" s="56" t="s">
        <v>2572</v>
      </c>
      <c r="D40" s="56" t="s">
        <v>2581</v>
      </c>
      <c r="E40" s="12" t="s">
        <v>2096</v>
      </c>
      <c r="F40" s="56" t="s">
        <v>2598</v>
      </c>
      <c r="G40" s="282" t="s">
        <v>2614</v>
      </c>
      <c r="H40" s="207" t="s">
        <v>1469</v>
      </c>
      <c r="I40" s="332">
        <f>SUMIF(Table10[Entreprise],Companies[[#This Row],[Nom complet de l’entreprise]],Table10[Valeur de revenus])</f>
        <v>19192313250</v>
      </c>
      <c r="J40" s="343"/>
    </row>
    <row r="41" spans="2:10" s="56" customFormat="1" ht="16.5">
      <c r="B41" s="339" t="s">
        <v>2800</v>
      </c>
      <c r="C41" s="56" t="s">
        <v>2572</v>
      </c>
      <c r="D41" s="56" t="s">
        <v>2585</v>
      </c>
      <c r="E41" s="12" t="s">
        <v>2096</v>
      </c>
      <c r="F41" s="56" t="s">
        <v>2602</v>
      </c>
      <c r="G41" s="282" t="s">
        <v>2620</v>
      </c>
      <c r="H41" s="207" t="s">
        <v>1469</v>
      </c>
      <c r="I41" s="332">
        <f>SUMIF(Table10[Entreprise],Companies[[#This Row],[Nom complet de l’entreprise]],Table10[Valeur de revenus])</f>
        <v>18111307290</v>
      </c>
      <c r="J41" s="343"/>
    </row>
    <row r="42" spans="2:10" s="56" customFormat="1" ht="16.5">
      <c r="B42" s="339" t="s">
        <v>2563</v>
      </c>
      <c r="C42" s="56" t="s">
        <v>2572</v>
      </c>
      <c r="D42" s="56" t="s">
        <v>2584</v>
      </c>
      <c r="E42" s="12" t="s">
        <v>2096</v>
      </c>
      <c r="F42" s="56" t="s">
        <v>2601</v>
      </c>
      <c r="G42" s="282" t="s">
        <v>2616</v>
      </c>
      <c r="H42" s="207" t="s">
        <v>1469</v>
      </c>
      <c r="I42" s="332">
        <f>SUMIF(Table10[Entreprise],Companies[[#This Row],[Nom complet de l’entreprise]],Table10[Valeur de revenus])</f>
        <v>15636352228</v>
      </c>
      <c r="J42" s="343"/>
    </row>
    <row r="43" spans="2:10" s="56" customFormat="1" ht="16.5">
      <c r="B43" s="56" t="s">
        <v>2571</v>
      </c>
      <c r="C43" s="56" t="s">
        <v>2572</v>
      </c>
      <c r="D43" s="56" t="s">
        <v>2577</v>
      </c>
      <c r="E43" s="56" t="s">
        <v>1515</v>
      </c>
      <c r="F43" s="56" t="s">
        <v>1494</v>
      </c>
      <c r="G43" s="282" t="s">
        <v>2610</v>
      </c>
      <c r="H43" s="207" t="s">
        <v>1469</v>
      </c>
      <c r="I43" s="332">
        <f>SUMIF(Table10[Entreprise],Companies[[#This Row],[Nom complet de l’entreprise]],Table10[Valeur de revenus])</f>
        <v>13300040911.347826</v>
      </c>
      <c r="J43" s="343"/>
    </row>
    <row r="44" spans="2:10" s="56" customFormat="1" ht="16.5">
      <c r="B44" s="56" t="s">
        <v>2787</v>
      </c>
      <c r="C44" s="56" t="s">
        <v>2572</v>
      </c>
      <c r="D44" s="56" t="s">
        <v>2576</v>
      </c>
      <c r="E44" s="56" t="s">
        <v>1515</v>
      </c>
      <c r="F44" s="56" t="s">
        <v>1494</v>
      </c>
      <c r="G44" s="282" t="s">
        <v>2609</v>
      </c>
      <c r="H44" s="207" t="s">
        <v>1469</v>
      </c>
      <c r="I44" s="332">
        <f>SUMIF(Table10[Entreprise],Companies[[#This Row],[Nom complet de l’entreprise]],Table10[Valeur de revenus])</f>
        <v>8882740419</v>
      </c>
      <c r="J44" s="343"/>
    </row>
    <row r="45" spans="2:10" s="56" customFormat="1" ht="16.5">
      <c r="B45" s="339" t="s">
        <v>2562</v>
      </c>
      <c r="C45" s="56" t="s">
        <v>2572</v>
      </c>
      <c r="D45" s="56" t="s">
        <v>2583</v>
      </c>
      <c r="E45" s="12" t="s">
        <v>2096</v>
      </c>
      <c r="F45" s="56" t="s">
        <v>2600</v>
      </c>
      <c r="G45" s="282" t="s">
        <v>2615</v>
      </c>
      <c r="H45" s="207" t="s">
        <v>1469</v>
      </c>
      <c r="I45" s="332">
        <f>SUMIF(Table10[Entreprise],Companies[[#This Row],[Nom complet de l’entreprise]],Table10[Valeur de revenus])</f>
        <v>6382723361</v>
      </c>
      <c r="J45" s="343"/>
    </row>
    <row r="46" spans="2:10" s="56" customFormat="1" ht="33">
      <c r="B46" s="339" t="s">
        <v>2569</v>
      </c>
      <c r="C46" s="56" t="s">
        <v>2572</v>
      </c>
      <c r="D46" s="56" t="s">
        <v>2592</v>
      </c>
      <c r="E46" s="12" t="s">
        <v>2096</v>
      </c>
      <c r="F46" s="56" t="s">
        <v>2604</v>
      </c>
      <c r="G46" s="207"/>
      <c r="H46" s="207" t="s">
        <v>1469</v>
      </c>
      <c r="I46" s="332">
        <f>SUMIF(Table10[Entreprise],Companies[[#This Row],[Nom complet de l’entreprise]],Table10[Valeur de revenus])</f>
        <v>3845633020</v>
      </c>
      <c r="J46" s="343"/>
    </row>
    <row r="47" spans="2:10" s="56" customFormat="1" ht="16.5">
      <c r="B47" s="339" t="s">
        <v>2790</v>
      </c>
      <c r="C47" s="56" t="s">
        <v>2572</v>
      </c>
      <c r="D47" s="56" t="s">
        <v>2593</v>
      </c>
      <c r="E47" s="12" t="s">
        <v>2096</v>
      </c>
      <c r="F47" s="56" t="s">
        <v>2605</v>
      </c>
      <c r="G47" s="282" t="s">
        <v>2618</v>
      </c>
      <c r="H47" s="207" t="s">
        <v>1469</v>
      </c>
      <c r="I47" s="332">
        <f>SUMIF(Table10[Entreprise],Companies[[#This Row],[Nom complet de l’entreprise]],Table10[Valeur de revenus])</f>
        <v>3544861329</v>
      </c>
      <c r="J47" s="343"/>
    </row>
    <row r="48" spans="2:10" s="56" customFormat="1" ht="33">
      <c r="B48" s="339" t="s">
        <v>2564</v>
      </c>
      <c r="C48" s="56" t="s">
        <v>2572</v>
      </c>
      <c r="D48" s="56" t="s">
        <v>2586</v>
      </c>
      <c r="E48" s="12" t="s">
        <v>2096</v>
      </c>
      <c r="F48" s="56" t="s">
        <v>2600</v>
      </c>
      <c r="G48" s="207"/>
      <c r="H48" s="207" t="s">
        <v>2525</v>
      </c>
      <c r="I48" s="332">
        <f>SUMIF(Table10[Entreprise],Companies[[#This Row],[Nom complet de l’entreprise]],Table10[Valeur de revenus])</f>
        <v>1872119684</v>
      </c>
      <c r="J48" s="343"/>
    </row>
    <row r="49" spans="2:10" s="56" customFormat="1" ht="16.5">
      <c r="B49" s="56" t="s">
        <v>2570</v>
      </c>
      <c r="C49" s="56" t="s">
        <v>2126</v>
      </c>
      <c r="D49" s="56" t="s">
        <v>2573</v>
      </c>
      <c r="E49" s="56" t="s">
        <v>1515</v>
      </c>
      <c r="F49" s="56" t="s">
        <v>1494</v>
      </c>
      <c r="G49" s="282" t="s">
        <v>2606</v>
      </c>
      <c r="H49" s="207" t="s">
        <v>1469</v>
      </c>
      <c r="I49" s="332">
        <f>SUMIF(Table10[Entreprise],Companies[[#This Row],[Nom complet de l’entreprise]],Table10[Valeur de revenus])</f>
        <v>942684751</v>
      </c>
      <c r="J49" s="343"/>
    </row>
    <row r="50" spans="2:10" s="56" customFormat="1" ht="16.5">
      <c r="B50" s="56" t="s">
        <v>2798</v>
      </c>
      <c r="C50" s="56" t="s">
        <v>2572</v>
      </c>
      <c r="D50" s="56" t="s">
        <v>2575</v>
      </c>
      <c r="E50" s="56" t="s">
        <v>1515</v>
      </c>
      <c r="F50" s="56" t="s">
        <v>1494</v>
      </c>
      <c r="G50" s="282" t="s">
        <v>2611</v>
      </c>
      <c r="H50" s="207" t="s">
        <v>1469</v>
      </c>
      <c r="I50" s="332">
        <f>SUMIF(Table10[Entreprise],Companies[[#This Row],[Nom complet de l’entreprise]],Table10[Valeur de revenus])</f>
        <v>791156760.74534166</v>
      </c>
      <c r="J50" s="343"/>
    </row>
    <row r="51" spans="2:10" s="56" customFormat="1" ht="16.5">
      <c r="B51" s="344" t="s">
        <v>2786</v>
      </c>
      <c r="C51" s="255"/>
      <c r="D51" s="255"/>
      <c r="E51" s="33" t="s">
        <v>2096</v>
      </c>
      <c r="F51" s="255"/>
      <c r="G51" s="345"/>
      <c r="H51" s="346"/>
      <c r="I51" s="341">
        <f>SUMIF(Table10[Entreprise],Companies[[#This Row],[Nom complet de l’entreprise]],Table10[Valeur de revenus])</f>
        <v>755740640</v>
      </c>
      <c r="J51" s="343"/>
    </row>
    <row r="52" spans="2:10" s="56" customFormat="1" ht="16.5">
      <c r="B52" s="339" t="s">
        <v>2696</v>
      </c>
      <c r="C52" s="56" t="s">
        <v>2572</v>
      </c>
      <c r="D52" s="56" t="s">
        <v>2587</v>
      </c>
      <c r="E52" s="12" t="s">
        <v>2096</v>
      </c>
      <c r="F52" s="56" t="s">
        <v>2596</v>
      </c>
      <c r="G52" s="282" t="s">
        <v>2621</v>
      </c>
      <c r="H52" s="207" t="s">
        <v>1469</v>
      </c>
      <c r="I52" s="332">
        <f>SUMIF(Table10[Entreprise],Companies[[#This Row],[Nom complet de l’entreprise]],Table10[Valeur de revenus])</f>
        <v>664821836</v>
      </c>
      <c r="J52" s="343"/>
    </row>
    <row r="53" spans="2:10" s="56" customFormat="1" ht="16.5">
      <c r="B53" s="339" t="s">
        <v>2565</v>
      </c>
      <c r="C53" s="56" t="s">
        <v>2572</v>
      </c>
      <c r="D53" s="56" t="s">
        <v>2588</v>
      </c>
      <c r="E53" s="12" t="s">
        <v>2096</v>
      </c>
      <c r="F53" s="56" t="s">
        <v>2596</v>
      </c>
      <c r="G53" s="207"/>
      <c r="H53" s="207" t="s">
        <v>1469</v>
      </c>
      <c r="I53" s="332">
        <f>SUMIF(Table10[Entreprise],Companies[[#This Row],[Nom complet de l’entreprise]],Table10[Valeur de revenus])</f>
        <v>487814268</v>
      </c>
      <c r="J53" s="343"/>
    </row>
    <row r="54" spans="2:10" s="56" customFormat="1" ht="16.5">
      <c r="B54" s="339" t="s">
        <v>2567</v>
      </c>
      <c r="C54" s="56" t="s">
        <v>2572</v>
      </c>
      <c r="D54" s="56">
        <v>4013041</v>
      </c>
      <c r="E54" s="12" t="s">
        <v>2096</v>
      </c>
      <c r="F54" s="56" t="s">
        <v>2600</v>
      </c>
      <c r="G54" s="207"/>
      <c r="H54" s="207" t="s">
        <v>1469</v>
      </c>
      <c r="I54" s="332">
        <f>SUMIF(Table10[Entreprise],Companies[[#This Row],[Nom complet de l’entreprise]],Table10[Valeur de revenus])</f>
        <v>431725575</v>
      </c>
      <c r="J54" s="343"/>
    </row>
    <row r="55" spans="2:10" s="56" customFormat="1" ht="33">
      <c r="B55" s="339" t="s">
        <v>2561</v>
      </c>
      <c r="C55" s="56" t="s">
        <v>2572</v>
      </c>
      <c r="D55" s="56" t="s">
        <v>2582</v>
      </c>
      <c r="E55" s="12" t="s">
        <v>2096</v>
      </c>
      <c r="F55" s="56" t="s">
        <v>2599</v>
      </c>
      <c r="G55" s="282"/>
      <c r="H55" s="207" t="s">
        <v>1469</v>
      </c>
      <c r="I55" s="332">
        <f>SUMIF(Table10[Entreprise],Companies[[#This Row],[Nom complet de l’entreprise]],Table10[Valeur de revenus])</f>
        <v>409340042</v>
      </c>
      <c r="J55" s="343"/>
    </row>
    <row r="56" spans="2:10" s="56" customFormat="1" ht="16.5">
      <c r="B56" s="339" t="s">
        <v>2566</v>
      </c>
      <c r="C56" s="56" t="s">
        <v>2572</v>
      </c>
      <c r="D56" s="56" t="s">
        <v>2589</v>
      </c>
      <c r="E56" s="12" t="s">
        <v>2096</v>
      </c>
      <c r="F56" s="56" t="s">
        <v>2596</v>
      </c>
      <c r="G56" s="282" t="s">
        <v>2619</v>
      </c>
      <c r="H56" s="207" t="s">
        <v>1469</v>
      </c>
      <c r="I56" s="332">
        <f>SUMIF(Table10[Entreprise],Companies[[#This Row],[Nom complet de l’entreprise]],Table10[Valeur de revenus])</f>
        <v>379579268</v>
      </c>
      <c r="J56" s="343"/>
    </row>
    <row r="57" spans="2:10" s="56" customFormat="1" ht="16.5">
      <c r="B57" s="56" t="s">
        <v>2795</v>
      </c>
      <c r="C57" s="56" t="s">
        <v>2572</v>
      </c>
      <c r="D57" s="56" t="s">
        <v>2574</v>
      </c>
      <c r="E57" s="56" t="s">
        <v>1515</v>
      </c>
      <c r="F57" s="56" t="s">
        <v>1494</v>
      </c>
      <c r="G57" s="282" t="s">
        <v>2607</v>
      </c>
      <c r="H57" s="207" t="s">
        <v>2525</v>
      </c>
      <c r="I57" s="332">
        <f>SUMIF(Table10[Entreprise],Companies[[#This Row],[Nom complet de l’entreprise]],Table10[Valeur de revenus])</f>
        <v>373391362</v>
      </c>
      <c r="J57" s="343"/>
    </row>
    <row r="58" spans="2:10" s="56" customFormat="1" ht="16.5">
      <c r="B58" s="339" t="s">
        <v>2671</v>
      </c>
      <c r="E58" s="12" t="s">
        <v>2096</v>
      </c>
      <c r="G58" s="282"/>
      <c r="H58" s="207"/>
      <c r="I58" s="332">
        <f>SUMIF(Table10[Entreprise],Companies[[#This Row],[Nom complet de l’entreprise]],Table10[Valeur de revenus])</f>
        <v>310662287</v>
      </c>
      <c r="J58" s="343"/>
    </row>
    <row r="59" spans="2:10" s="56" customFormat="1" ht="16.5">
      <c r="B59" s="56" t="s">
        <v>2809</v>
      </c>
      <c r="C59" s="56" t="s">
        <v>2572</v>
      </c>
      <c r="D59" s="56">
        <v>6501383</v>
      </c>
      <c r="E59" s="56" t="s">
        <v>1515</v>
      </c>
      <c r="F59" s="56" t="s">
        <v>1494</v>
      </c>
      <c r="G59" s="282" t="s">
        <v>2608</v>
      </c>
      <c r="H59" s="207" t="s">
        <v>1469</v>
      </c>
      <c r="I59" s="332">
        <f>SUMIF(Table10[Entreprise],Companies[[#This Row],[Nom complet de l’entreprise]],Table10[Valeur de revenus])</f>
        <v>216874671</v>
      </c>
      <c r="J59" s="343"/>
    </row>
    <row r="60" spans="2:10" s="56" customFormat="1" ht="16.5">
      <c r="B60" s="56" t="s">
        <v>2788</v>
      </c>
      <c r="C60" s="56" t="s">
        <v>2572</v>
      </c>
      <c r="D60" s="56">
        <v>415770</v>
      </c>
      <c r="E60" s="56" t="s">
        <v>1494</v>
      </c>
      <c r="F60" s="56" t="s">
        <v>1494</v>
      </c>
      <c r="G60" s="207"/>
      <c r="H60" s="207" t="s">
        <v>1469</v>
      </c>
      <c r="I60" s="332">
        <f>SUMIF(Table10[Entreprise],Companies[[#This Row],[Nom complet de l’entreprise]],Table10[Valeur de revenus])</f>
        <v>180826630</v>
      </c>
      <c r="J60" s="343"/>
    </row>
    <row r="61" spans="2:10" s="56" customFormat="1" ht="16.5">
      <c r="B61" s="339" t="s">
        <v>2808</v>
      </c>
      <c r="C61" s="56" t="s">
        <v>2572</v>
      </c>
      <c r="D61" s="56" t="s">
        <v>445</v>
      </c>
      <c r="E61" s="12" t="s">
        <v>2096</v>
      </c>
      <c r="F61" s="56" t="s">
        <v>445</v>
      </c>
      <c r="G61" s="56" t="s">
        <v>445</v>
      </c>
      <c r="H61" s="56" t="s">
        <v>445</v>
      </c>
      <c r="I61" s="206">
        <f>SUMIF(Table10[Entreprise],Companies[[#This Row],[Nom complet de l’entreprise]],Table10[Valeur de revenus])</f>
        <v>90533438</v>
      </c>
      <c r="J61" s="343"/>
    </row>
    <row r="62" spans="2:10" s="56" customFormat="1" ht="16.5">
      <c r="B62" s="339" t="s">
        <v>2568</v>
      </c>
      <c r="C62" s="56" t="s">
        <v>2572</v>
      </c>
      <c r="D62" s="56" t="s">
        <v>2591</v>
      </c>
      <c r="E62" s="12" t="s">
        <v>2096</v>
      </c>
      <c r="F62" s="56" t="s">
        <v>2603</v>
      </c>
      <c r="G62" s="282" t="s">
        <v>2617</v>
      </c>
      <c r="H62" s="207" t="s">
        <v>1469</v>
      </c>
      <c r="I62" s="332">
        <f>SUMIF(Table10[Entreprise],Companies[[#This Row],[Nom complet de l’entreprise]],Table10[Valeur de revenus])</f>
        <v>71068544</v>
      </c>
      <c r="J62" s="343"/>
    </row>
    <row r="63" spans="2:10" s="56" customFormat="1" ht="16.5">
      <c r="B63" s="339" t="s">
        <v>2791</v>
      </c>
      <c r="C63" s="56" t="s">
        <v>2572</v>
      </c>
      <c r="D63" s="56" t="s">
        <v>2590</v>
      </c>
      <c r="E63" s="12" t="s">
        <v>2096</v>
      </c>
      <c r="F63" s="56" t="s">
        <v>2600</v>
      </c>
      <c r="G63" s="207"/>
      <c r="H63" s="207" t="s">
        <v>1469</v>
      </c>
      <c r="I63" s="332">
        <f>SUMIF(Table10[Entreprise],Companies[[#This Row],[Nom complet de l’entreprise]],Table10[Valeur de revenus])</f>
        <v>15305854</v>
      </c>
      <c r="J63" s="343"/>
    </row>
    <row r="64" spans="2:10" s="56" customFormat="1" ht="16.5">
      <c r="B64" s="339" t="s">
        <v>2807</v>
      </c>
      <c r="C64" s="56" t="s">
        <v>2572</v>
      </c>
      <c r="D64" s="56" t="s">
        <v>445</v>
      </c>
      <c r="E64" s="12" t="s">
        <v>2096</v>
      </c>
      <c r="F64" s="56" t="s">
        <v>445</v>
      </c>
      <c r="G64" s="56" t="s">
        <v>445</v>
      </c>
      <c r="H64" s="56" t="s">
        <v>445</v>
      </c>
      <c r="I64" s="206">
        <f>SUMIF(Table10[Entreprise],Companies[[#This Row],[Nom complet de l’entreprise]],Table10[Valeur de revenus])</f>
        <v>10063169</v>
      </c>
      <c r="J64" s="343"/>
    </row>
    <row r="65" spans="2:10" s="56" customFormat="1" ht="33">
      <c r="B65" s="36" t="s">
        <v>2797</v>
      </c>
      <c r="C65" s="12" t="s">
        <v>2126</v>
      </c>
      <c r="D65" s="12" t="s">
        <v>2578</v>
      </c>
      <c r="E65" s="12" t="s">
        <v>2096</v>
      </c>
      <c r="F65" s="56" t="s">
        <v>2594</v>
      </c>
      <c r="G65" s="282" t="s">
        <v>2612</v>
      </c>
      <c r="H65" s="207" t="s">
        <v>1469</v>
      </c>
      <c r="I65" s="332">
        <f>SUMIF(Table10[Entreprise],Companies[[#This Row],[Nom complet de l’entreprise]],Table10[Valeur de revenus])</f>
        <v>8553257</v>
      </c>
      <c r="J65" s="343"/>
    </row>
    <row r="66" spans="2:10" s="56" customFormat="1" ht="16.5">
      <c r="B66" s="319"/>
      <c r="C66" s="319"/>
      <c r="D66" s="319"/>
      <c r="E66" s="319"/>
      <c r="F66" s="319"/>
      <c r="G66" s="320"/>
      <c r="H66" s="320"/>
      <c r="I66" s="320"/>
      <c r="J66" s="340"/>
    </row>
    <row r="67" spans="2:10" s="56" customFormat="1" ht="16.5">
      <c r="I67" s="317"/>
      <c r="J67" s="332"/>
    </row>
    <row r="68" spans="2:10" s="56" customFormat="1" ht="16.5">
      <c r="J68" s="332"/>
    </row>
    <row r="69" spans="2:10" s="56" customFormat="1" ht="16.5">
      <c r="J69" s="332"/>
    </row>
    <row r="70" spans="2:10" s="56" customFormat="1" ht="16.5">
      <c r="J70" s="332"/>
    </row>
    <row r="71" spans="2:10" s="56" customFormat="1" ht="19.5">
      <c r="B71" s="253" t="s">
        <v>2341</v>
      </c>
      <c r="C71" s="231"/>
      <c r="D71" s="231"/>
      <c r="E71" s="231"/>
      <c r="F71" s="231"/>
      <c r="G71" s="254"/>
      <c r="H71" s="254"/>
      <c r="I71" s="254"/>
      <c r="J71" s="338"/>
    </row>
    <row r="72" spans="2:10" s="56" customFormat="1" ht="16.5">
      <c r="B72" s="204" t="s">
        <v>2342</v>
      </c>
      <c r="C72" s="198" t="s">
        <v>1462</v>
      </c>
      <c r="D72" s="198" t="s">
        <v>2106</v>
      </c>
      <c r="E72" s="198" t="s">
        <v>2118</v>
      </c>
      <c r="F72" s="12" t="s">
        <v>2343</v>
      </c>
      <c r="G72" s="12" t="s">
        <v>2344</v>
      </c>
      <c r="H72" s="12" t="s">
        <v>2108</v>
      </c>
      <c r="I72" s="12" t="s">
        <v>2107</v>
      </c>
      <c r="J72" s="333" t="s">
        <v>970</v>
      </c>
    </row>
    <row r="73" spans="2:10" s="56" customFormat="1" ht="16.5">
      <c r="B73" s="12" t="s">
        <v>2622</v>
      </c>
      <c r="C73" s="208"/>
      <c r="D73" s="208" t="s">
        <v>2674</v>
      </c>
      <c r="E73" s="208" t="s">
        <v>2596</v>
      </c>
      <c r="F73" s="208" t="s">
        <v>1495</v>
      </c>
      <c r="G73" s="283">
        <v>11</v>
      </c>
      <c r="H73" s="56" t="s">
        <v>2711</v>
      </c>
      <c r="I73" s="325">
        <v>393709507828</v>
      </c>
      <c r="J73" s="332" t="s">
        <v>1172</v>
      </c>
    </row>
    <row r="74" spans="2:10" s="56" customFormat="1" ht="16.5">
      <c r="B74" s="12" t="s">
        <v>2623</v>
      </c>
      <c r="C74" s="208"/>
      <c r="D74" s="208" t="s">
        <v>2678</v>
      </c>
      <c r="E74" s="208" t="s">
        <v>2596</v>
      </c>
      <c r="F74" s="208" t="s">
        <v>1495</v>
      </c>
      <c r="G74" s="283">
        <v>4.0255270096008351</v>
      </c>
      <c r="H74" s="56" t="s">
        <v>2711</v>
      </c>
      <c r="I74" s="325">
        <v>145989168041</v>
      </c>
      <c r="J74" s="332" t="s">
        <v>1172</v>
      </c>
    </row>
    <row r="75" spans="2:10" s="56" customFormat="1" ht="16.5">
      <c r="B75" s="12" t="s">
        <v>445</v>
      </c>
      <c r="C75" s="208"/>
      <c r="D75" s="208" t="s">
        <v>2811</v>
      </c>
      <c r="E75" s="208" t="s">
        <v>2596</v>
      </c>
      <c r="F75" s="208" t="s">
        <v>1495</v>
      </c>
      <c r="G75" s="283">
        <v>4.8500000000000001E-2</v>
      </c>
      <c r="H75" s="56" t="s">
        <v>2711</v>
      </c>
      <c r="I75" s="325" t="s">
        <v>445</v>
      </c>
      <c r="J75" s="332" t="s">
        <v>1172</v>
      </c>
    </row>
    <row r="76" spans="2:10" s="56" customFormat="1" ht="16.5">
      <c r="B76" s="12" t="s">
        <v>2691</v>
      </c>
      <c r="C76" s="208"/>
      <c r="D76" s="208" t="s">
        <v>2673</v>
      </c>
      <c r="E76" s="208" t="s">
        <v>2713</v>
      </c>
      <c r="F76" s="208" t="s">
        <v>1495</v>
      </c>
      <c r="G76" s="283">
        <v>3373277</v>
      </c>
      <c r="H76" s="56" t="s">
        <v>2711</v>
      </c>
      <c r="I76" s="325">
        <v>160037236423</v>
      </c>
      <c r="J76" s="332" t="s">
        <v>1172</v>
      </c>
    </row>
    <row r="77" spans="2:10" s="56" customFormat="1" ht="16.5">
      <c r="B77" s="12" t="s">
        <v>2693</v>
      </c>
      <c r="D77" s="56" t="s">
        <v>2812</v>
      </c>
      <c r="E77" s="208" t="s">
        <v>2713</v>
      </c>
      <c r="F77" s="208" t="s">
        <v>1495</v>
      </c>
      <c r="G77" s="283">
        <v>646121</v>
      </c>
      <c r="H77" s="56" t="s">
        <v>2711</v>
      </c>
      <c r="I77" s="325">
        <v>19372003072</v>
      </c>
      <c r="J77" s="332" t="s">
        <v>1172</v>
      </c>
    </row>
    <row r="78" spans="2:10" s="56" customFormat="1" ht="16.5">
      <c r="B78" s="12" t="s">
        <v>2691</v>
      </c>
      <c r="D78" s="56" t="s">
        <v>2673</v>
      </c>
      <c r="E78" s="208" t="s">
        <v>2714</v>
      </c>
      <c r="F78" s="208" t="s">
        <v>1495</v>
      </c>
      <c r="G78" s="283">
        <v>1881642</v>
      </c>
      <c r="H78" s="56" t="s">
        <v>2711</v>
      </c>
      <c r="I78" s="325">
        <v>69606686944</v>
      </c>
      <c r="J78" s="332" t="s">
        <v>1172</v>
      </c>
    </row>
    <row r="79" spans="2:10" s="56" customFormat="1" ht="16.5">
      <c r="B79" s="12" t="s">
        <v>2693</v>
      </c>
      <c r="D79" s="56" t="s">
        <v>2812</v>
      </c>
      <c r="E79" s="208" t="s">
        <v>2714</v>
      </c>
      <c r="F79" s="208" t="s">
        <v>1495</v>
      </c>
      <c r="G79" s="283">
        <v>467250</v>
      </c>
      <c r="H79" s="56" t="s">
        <v>2711</v>
      </c>
      <c r="I79" s="325">
        <v>13433089599</v>
      </c>
      <c r="J79" s="332" t="s">
        <v>1172</v>
      </c>
    </row>
    <row r="80" spans="2:10" s="56" customFormat="1" ht="16.5">
      <c r="B80" s="12" t="s">
        <v>2792</v>
      </c>
      <c r="D80" s="56" t="s">
        <v>2675</v>
      </c>
      <c r="E80" s="208" t="s">
        <v>2715</v>
      </c>
      <c r="F80" s="208" t="s">
        <v>1495</v>
      </c>
      <c r="G80" s="283">
        <v>328742</v>
      </c>
      <c r="H80" s="56" t="s">
        <v>2711</v>
      </c>
      <c r="I80" s="325">
        <v>66987102119</v>
      </c>
      <c r="J80" s="332" t="s">
        <v>1172</v>
      </c>
    </row>
    <row r="81" spans="2:10" s="56" customFormat="1" ht="16.5">
      <c r="B81" s="12" t="s">
        <v>2698</v>
      </c>
      <c r="D81" s="56" t="s">
        <v>2677</v>
      </c>
      <c r="E81" s="208" t="s">
        <v>2716</v>
      </c>
      <c r="F81" s="208" t="s">
        <v>1495</v>
      </c>
      <c r="G81" s="283">
        <v>1771000</v>
      </c>
      <c r="H81" s="56" t="s">
        <v>2711</v>
      </c>
      <c r="I81" s="325">
        <v>56392615820.073318</v>
      </c>
      <c r="J81" s="332" t="s">
        <v>1172</v>
      </c>
    </row>
    <row r="82" spans="2:10" s="56" customFormat="1" ht="16.5">
      <c r="B82" s="12" t="s">
        <v>2813</v>
      </c>
      <c r="D82" s="56" t="s">
        <v>2676</v>
      </c>
      <c r="E82" s="208" t="s">
        <v>2716</v>
      </c>
      <c r="F82" s="208" t="s">
        <v>1495</v>
      </c>
      <c r="G82" s="283">
        <v>144956</v>
      </c>
      <c r="H82" s="56" t="s">
        <v>2711</v>
      </c>
      <c r="I82" s="325">
        <v>3564774127</v>
      </c>
      <c r="J82" s="332" t="s">
        <v>1172</v>
      </c>
    </row>
    <row r="83" spans="2:10" s="56" customFormat="1" ht="16.5">
      <c r="B83" s="12" t="s">
        <v>445</v>
      </c>
      <c r="D83" s="56" t="s">
        <v>2672</v>
      </c>
      <c r="E83" s="208" t="s">
        <v>2716</v>
      </c>
      <c r="F83" s="208" t="s">
        <v>1495</v>
      </c>
      <c r="G83" s="283">
        <v>71442</v>
      </c>
      <c r="H83" s="56" t="s">
        <v>2711</v>
      </c>
      <c r="I83" s="325" t="s">
        <v>445</v>
      </c>
      <c r="J83" s="332" t="s">
        <v>1172</v>
      </c>
    </row>
    <row r="84" spans="2:10" s="56" customFormat="1" ht="16.5">
      <c r="B84" s="12" t="s">
        <v>2806</v>
      </c>
      <c r="D84" s="56" t="s">
        <v>2679</v>
      </c>
      <c r="E84" s="208" t="s">
        <v>2717</v>
      </c>
      <c r="F84" s="208" t="s">
        <v>1495</v>
      </c>
      <c r="G84" s="283">
        <v>549556</v>
      </c>
      <c r="H84" s="56" t="s">
        <v>2711</v>
      </c>
      <c r="I84" s="325">
        <v>56442979011</v>
      </c>
      <c r="J84" s="332" t="s">
        <v>1172</v>
      </c>
    </row>
    <row r="85" spans="2:10" s="56" customFormat="1" ht="16.5">
      <c r="B85" s="12" t="s">
        <v>2792</v>
      </c>
      <c r="C85" s="208"/>
      <c r="D85" s="208" t="s">
        <v>2675</v>
      </c>
      <c r="E85" s="208" t="s">
        <v>2718</v>
      </c>
      <c r="F85" s="208" t="s">
        <v>1495</v>
      </c>
      <c r="G85" s="283">
        <v>34583</v>
      </c>
      <c r="H85" s="56" t="s">
        <v>2711</v>
      </c>
      <c r="I85" s="325">
        <v>46680083232</v>
      </c>
      <c r="J85" s="332" t="s">
        <v>1172</v>
      </c>
    </row>
    <row r="86" spans="2:10" s="56" customFormat="1" ht="16.5">
      <c r="B86" s="12" t="s">
        <v>445</v>
      </c>
      <c r="C86" s="208"/>
      <c r="D86" s="208" t="s">
        <v>2681</v>
      </c>
      <c r="E86" s="56" t="s">
        <v>2605</v>
      </c>
      <c r="F86" s="208" t="s">
        <v>1495</v>
      </c>
      <c r="G86" s="283">
        <v>2205996</v>
      </c>
      <c r="H86" s="56" t="s">
        <v>2711</v>
      </c>
      <c r="I86" s="325">
        <v>18482949000</v>
      </c>
      <c r="J86" s="332" t="s">
        <v>1172</v>
      </c>
    </row>
    <row r="87" spans="2:10" s="56" customFormat="1" ht="16.5">
      <c r="B87" s="12" t="s">
        <v>2692</v>
      </c>
      <c r="C87" s="208"/>
      <c r="D87" s="56" t="s">
        <v>2814</v>
      </c>
      <c r="E87" s="56" t="s">
        <v>2605</v>
      </c>
      <c r="F87" s="208" t="s">
        <v>1495</v>
      </c>
      <c r="G87" s="283">
        <v>1847386</v>
      </c>
      <c r="H87" s="56" t="s">
        <v>2711</v>
      </c>
      <c r="I87" s="325">
        <v>14229037033</v>
      </c>
      <c r="J87" s="332" t="s">
        <v>1172</v>
      </c>
    </row>
    <row r="88" spans="2:10" s="56" customFormat="1" ht="16.5">
      <c r="B88" s="12" t="s">
        <v>2792</v>
      </c>
      <c r="C88" s="208"/>
      <c r="D88" s="56" t="s">
        <v>2675</v>
      </c>
      <c r="E88" s="56" t="s">
        <v>2719</v>
      </c>
      <c r="F88" s="208" t="s">
        <v>1495</v>
      </c>
      <c r="G88" s="283">
        <v>22498</v>
      </c>
      <c r="H88" s="56" t="s">
        <v>2711</v>
      </c>
      <c r="I88" s="325">
        <v>29136495247</v>
      </c>
      <c r="J88" s="332" t="s">
        <v>1172</v>
      </c>
    </row>
    <row r="89" spans="2:10" s="56" customFormat="1" ht="16.5">
      <c r="B89" s="12" t="s">
        <v>2792</v>
      </c>
      <c r="C89" s="208"/>
      <c r="D89" s="12" t="s">
        <v>2675</v>
      </c>
      <c r="E89" s="56" t="s">
        <v>2720</v>
      </c>
      <c r="F89" s="208" t="s">
        <v>1495</v>
      </c>
      <c r="G89" s="283">
        <v>133804</v>
      </c>
      <c r="H89" s="56" t="s">
        <v>2711</v>
      </c>
      <c r="I89" s="325">
        <v>28951526564</v>
      </c>
      <c r="J89" s="332" t="s">
        <v>1172</v>
      </c>
    </row>
    <row r="90" spans="2:10" s="56" customFormat="1" ht="16.5">
      <c r="B90" s="12" t="s">
        <v>445</v>
      </c>
      <c r="C90" s="208"/>
      <c r="D90" s="12" t="s">
        <v>2681</v>
      </c>
      <c r="E90" s="56" t="s">
        <v>2721</v>
      </c>
      <c r="F90" s="208" t="s">
        <v>1495</v>
      </c>
      <c r="G90" s="283">
        <v>1599934</v>
      </c>
      <c r="H90" s="56" t="s">
        <v>2712</v>
      </c>
      <c r="I90" s="325">
        <v>7999670000</v>
      </c>
      <c r="J90" s="332" t="s">
        <v>1172</v>
      </c>
    </row>
    <row r="91" spans="2:10" s="56" customFormat="1" ht="16.5">
      <c r="B91" s="12" t="s">
        <v>2693</v>
      </c>
      <c r="C91" s="208"/>
      <c r="D91" s="12" t="s">
        <v>2673</v>
      </c>
      <c r="E91" s="56" t="s">
        <v>2721</v>
      </c>
      <c r="F91" s="208" t="s">
        <v>1495</v>
      </c>
      <c r="G91" s="283">
        <v>762283</v>
      </c>
      <c r="H91" s="56" t="s">
        <v>2711</v>
      </c>
      <c r="I91" s="325">
        <v>1673211185</v>
      </c>
      <c r="J91" s="332" t="s">
        <v>1172</v>
      </c>
    </row>
    <row r="92" spans="2:10" s="56" customFormat="1" ht="16.5">
      <c r="B92" s="12" t="s">
        <v>2690</v>
      </c>
      <c r="C92" s="208"/>
      <c r="D92" s="12" t="s">
        <v>2814</v>
      </c>
      <c r="E92" s="56" t="s">
        <v>2721</v>
      </c>
      <c r="F92" s="208" t="s">
        <v>1495</v>
      </c>
      <c r="G92" s="283">
        <v>436732</v>
      </c>
      <c r="H92" s="56" t="s">
        <v>2711</v>
      </c>
      <c r="I92" s="325">
        <v>1574493518</v>
      </c>
      <c r="J92" s="332" t="s">
        <v>1172</v>
      </c>
    </row>
    <row r="93" spans="2:10" s="56" customFormat="1" ht="16.5">
      <c r="B93" s="12" t="s">
        <v>2690</v>
      </c>
      <c r="C93" s="208"/>
      <c r="D93" s="208" t="s">
        <v>2673</v>
      </c>
      <c r="E93" s="56" t="s">
        <v>2721</v>
      </c>
      <c r="F93" s="208" t="s">
        <v>1495</v>
      </c>
      <c r="G93" s="283">
        <v>140987</v>
      </c>
      <c r="H93" s="56" t="s">
        <v>2711</v>
      </c>
      <c r="I93" s="325">
        <v>309466465</v>
      </c>
      <c r="J93" s="332" t="s">
        <v>1172</v>
      </c>
    </row>
    <row r="94" spans="2:10" s="56" customFormat="1" ht="16.5">
      <c r="B94" s="12" t="s">
        <v>445</v>
      </c>
      <c r="C94" s="208"/>
      <c r="D94" s="208" t="s">
        <v>2680</v>
      </c>
      <c r="E94" s="56" t="s">
        <v>2721</v>
      </c>
      <c r="F94" s="208" t="s">
        <v>1495</v>
      </c>
      <c r="G94" s="283">
        <v>2902226</v>
      </c>
      <c r="H94" s="56" t="s">
        <v>2711</v>
      </c>
      <c r="I94" s="325" t="s">
        <v>445</v>
      </c>
      <c r="J94" s="332" t="s">
        <v>1172</v>
      </c>
    </row>
    <row r="95" spans="2:10" s="56" customFormat="1" ht="16.5">
      <c r="B95" s="12" t="s">
        <v>2792</v>
      </c>
      <c r="C95" s="208"/>
      <c r="D95" s="208" t="s">
        <v>2675</v>
      </c>
      <c r="E95" s="56" t="s">
        <v>2722</v>
      </c>
      <c r="F95" s="208" t="s">
        <v>1495</v>
      </c>
      <c r="G95" s="283">
        <v>35551</v>
      </c>
      <c r="H95" s="56" t="s">
        <v>2711</v>
      </c>
      <c r="I95" s="325">
        <v>7543497575</v>
      </c>
      <c r="J95" s="332" t="s">
        <v>1172</v>
      </c>
    </row>
    <row r="96" spans="2:10" s="56" customFormat="1" ht="16.5">
      <c r="B96" s="12" t="s">
        <v>2792</v>
      </c>
      <c r="C96" s="208"/>
      <c r="D96" s="208" t="s">
        <v>2675</v>
      </c>
      <c r="E96" s="56" t="s">
        <v>2723</v>
      </c>
      <c r="F96" s="208" t="s">
        <v>1495</v>
      </c>
      <c r="G96" s="283">
        <v>26981</v>
      </c>
      <c r="H96" s="56" t="s">
        <v>2711</v>
      </c>
      <c r="I96" s="325">
        <v>7039966533</v>
      </c>
      <c r="J96" s="332" t="s">
        <v>1172</v>
      </c>
    </row>
    <row r="97" spans="2:10" s="56" customFormat="1" ht="16.5">
      <c r="B97" s="12" t="s">
        <v>2802</v>
      </c>
      <c r="C97" s="208"/>
      <c r="D97" s="56" t="s">
        <v>2815</v>
      </c>
      <c r="E97" s="56" t="s">
        <v>2724</v>
      </c>
      <c r="F97" s="208" t="s">
        <v>1495</v>
      </c>
      <c r="G97" s="283">
        <v>69006</v>
      </c>
      <c r="H97" s="56" t="s">
        <v>2711</v>
      </c>
      <c r="I97" s="325">
        <v>6091675324</v>
      </c>
      <c r="J97" s="332" t="s">
        <v>1172</v>
      </c>
    </row>
    <row r="98" spans="2:10" s="56" customFormat="1" ht="16.5">
      <c r="B98" s="12" t="s">
        <v>2792</v>
      </c>
      <c r="C98" s="208"/>
      <c r="D98" s="208" t="s">
        <v>2675</v>
      </c>
      <c r="E98" s="56" t="s">
        <v>2725</v>
      </c>
      <c r="F98" s="208" t="s">
        <v>1495</v>
      </c>
      <c r="G98" s="283">
        <v>6284</v>
      </c>
      <c r="H98" s="56" t="s">
        <v>2711</v>
      </c>
      <c r="I98" s="325">
        <v>5343597553</v>
      </c>
      <c r="J98" s="332" t="s">
        <v>1172</v>
      </c>
    </row>
    <row r="99" spans="2:10" s="56" customFormat="1" ht="16.5">
      <c r="B99" s="12" t="s">
        <v>2792</v>
      </c>
      <c r="C99" s="208"/>
      <c r="D99" s="208" t="s">
        <v>2675</v>
      </c>
      <c r="E99" s="208" t="s">
        <v>2726</v>
      </c>
      <c r="F99" s="208" t="s">
        <v>1495</v>
      </c>
      <c r="G99" s="283">
        <v>4203</v>
      </c>
      <c r="H99" s="56" t="s">
        <v>2711</v>
      </c>
      <c r="I99" s="325">
        <v>5251482196</v>
      </c>
      <c r="J99" s="332" t="s">
        <v>1172</v>
      </c>
    </row>
    <row r="100" spans="2:10" s="56" customFormat="1" ht="16.5">
      <c r="B100" s="12" t="s">
        <v>2691</v>
      </c>
      <c r="C100" s="208"/>
      <c r="D100" s="208" t="s">
        <v>2673</v>
      </c>
      <c r="E100" s="208" t="s">
        <v>2727</v>
      </c>
      <c r="F100" s="208" t="s">
        <v>1495</v>
      </c>
      <c r="G100" s="283">
        <v>1990935</v>
      </c>
      <c r="H100" s="56" t="s">
        <v>2711</v>
      </c>
      <c r="I100" s="325">
        <v>4370102325</v>
      </c>
      <c r="J100" s="332" t="s">
        <v>1172</v>
      </c>
    </row>
    <row r="101" spans="2:10" s="56" customFormat="1" ht="16.5">
      <c r="B101" s="12" t="s">
        <v>2622</v>
      </c>
      <c r="C101" s="208"/>
      <c r="D101" s="56" t="s">
        <v>2674</v>
      </c>
      <c r="E101" s="208" t="s">
        <v>2664</v>
      </c>
      <c r="F101" s="208" t="s">
        <v>1495</v>
      </c>
      <c r="G101" s="283">
        <v>1</v>
      </c>
      <c r="H101" s="56" t="s">
        <v>2711</v>
      </c>
      <c r="I101" s="325">
        <v>382666065</v>
      </c>
      <c r="J101" s="332" t="s">
        <v>1172</v>
      </c>
    </row>
    <row r="102" spans="2:10" s="56" customFormat="1" ht="16.5">
      <c r="B102" s="12" t="s">
        <v>2623</v>
      </c>
      <c r="C102" s="208"/>
      <c r="D102" s="56" t="s">
        <v>2678</v>
      </c>
      <c r="E102" s="56" t="s">
        <v>2664</v>
      </c>
      <c r="F102" s="208" t="s">
        <v>1495</v>
      </c>
      <c r="G102" s="283">
        <v>0.32540809617801553</v>
      </c>
      <c r="H102" s="56" t="s">
        <v>2711</v>
      </c>
      <c r="I102" s="325">
        <v>142020334</v>
      </c>
      <c r="J102" s="332" t="s">
        <v>1172</v>
      </c>
    </row>
    <row r="103" spans="2:10" s="56" customFormat="1" ht="16.5">
      <c r="B103" s="12" t="s">
        <v>2692</v>
      </c>
      <c r="C103" s="208"/>
      <c r="D103" s="56" t="s">
        <v>2673</v>
      </c>
      <c r="E103" s="208" t="s">
        <v>2728</v>
      </c>
      <c r="F103" s="208" t="s">
        <v>1495</v>
      </c>
      <c r="G103" s="283">
        <v>101441</v>
      </c>
      <c r="H103" s="56" t="s">
        <v>2711</v>
      </c>
      <c r="I103" s="325">
        <v>395011254</v>
      </c>
      <c r="J103" s="332" t="s">
        <v>1172</v>
      </c>
    </row>
    <row r="104" spans="2:10" s="56" customFormat="1" ht="16.5">
      <c r="B104" s="12" t="s">
        <v>445</v>
      </c>
      <c r="C104" s="208"/>
      <c r="D104" s="56" t="s">
        <v>2680</v>
      </c>
      <c r="E104" s="56" t="s">
        <v>2728</v>
      </c>
      <c r="F104" s="208" t="s">
        <v>1495</v>
      </c>
      <c r="G104" s="283">
        <v>82473</v>
      </c>
      <c r="H104" s="56" t="s">
        <v>2711</v>
      </c>
      <c r="I104" s="325" t="s">
        <v>445</v>
      </c>
      <c r="J104" s="332" t="s">
        <v>1172</v>
      </c>
    </row>
    <row r="105" spans="2:10" s="56" customFormat="1" ht="16.5">
      <c r="B105" s="12" t="s">
        <v>445</v>
      </c>
      <c r="C105" s="208"/>
      <c r="D105" s="56" t="s">
        <v>2680</v>
      </c>
      <c r="E105" s="56" t="s">
        <v>2683</v>
      </c>
      <c r="F105" s="208" t="s">
        <v>1495</v>
      </c>
      <c r="G105" s="283">
        <v>400578</v>
      </c>
      <c r="H105" s="56" t="s">
        <v>2711</v>
      </c>
      <c r="I105" s="325" t="s">
        <v>445</v>
      </c>
      <c r="J105" s="332" t="s">
        <v>1172</v>
      </c>
    </row>
    <row r="106" spans="2:10" s="56" customFormat="1" ht="16.5">
      <c r="B106" s="12" t="s">
        <v>445</v>
      </c>
      <c r="C106" s="208"/>
      <c r="D106" s="56" t="s">
        <v>2684</v>
      </c>
      <c r="E106" s="56" t="s">
        <v>2685</v>
      </c>
      <c r="F106" s="208" t="s">
        <v>1495</v>
      </c>
      <c r="G106" s="283">
        <v>31092</v>
      </c>
      <c r="H106" s="56" t="s">
        <v>2711</v>
      </c>
      <c r="I106" s="325" t="s">
        <v>445</v>
      </c>
      <c r="J106" s="332" t="s">
        <v>1172</v>
      </c>
    </row>
    <row r="107" spans="2:10" s="56" customFormat="1" ht="16.5">
      <c r="B107" s="12" t="s">
        <v>2659</v>
      </c>
      <c r="C107" s="208"/>
      <c r="D107" s="56" t="s">
        <v>2686</v>
      </c>
      <c r="E107" s="56" t="s">
        <v>2687</v>
      </c>
      <c r="F107" s="208" t="s">
        <v>1495</v>
      </c>
      <c r="G107" s="283">
        <v>4446906</v>
      </c>
      <c r="H107" s="56" t="s">
        <v>2816</v>
      </c>
      <c r="I107" s="325">
        <v>876975000</v>
      </c>
      <c r="J107" s="332" t="s">
        <v>1172</v>
      </c>
    </row>
    <row r="108" spans="2:10" s="56" customFormat="1" ht="16.5">
      <c r="B108" s="12"/>
      <c r="C108" s="208"/>
      <c r="D108" s="208"/>
      <c r="F108" s="208"/>
      <c r="G108" s="283"/>
      <c r="I108" s="325"/>
      <c r="J108" s="332"/>
    </row>
    <row r="109" spans="2:10" s="56" customFormat="1" ht="16.5">
      <c r="C109" s="198"/>
      <c r="D109" s="198"/>
      <c r="E109" s="198"/>
      <c r="F109" s="198"/>
      <c r="G109" s="198"/>
      <c r="H109" s="12"/>
      <c r="I109" s="12"/>
      <c r="J109" s="333"/>
    </row>
    <row r="110" spans="2:10" s="56" customFormat="1" ht="16.5">
      <c r="B110" s="362" t="s">
        <v>2163</v>
      </c>
      <c r="C110" s="362"/>
      <c r="D110" s="362"/>
      <c r="E110" s="362"/>
      <c r="F110" s="362"/>
      <c r="G110" s="362"/>
      <c r="H110" s="362"/>
      <c r="I110" s="362"/>
      <c r="J110" s="333"/>
    </row>
    <row r="111" spans="2:10" s="56" customFormat="1" ht="16.5">
      <c r="B111" s="381" t="s">
        <v>2164</v>
      </c>
      <c r="C111" s="381"/>
      <c r="D111" s="381"/>
      <c r="E111" s="381"/>
      <c r="F111" s="381"/>
      <c r="G111" s="381"/>
      <c r="H111" s="381"/>
      <c r="I111" s="381"/>
      <c r="J111" s="333"/>
    </row>
    <row r="112" spans="2:10" s="56" customFormat="1" ht="16.5">
      <c r="B112" s="362" t="s">
        <v>2165</v>
      </c>
      <c r="C112" s="362"/>
      <c r="D112" s="362"/>
      <c r="E112" s="362"/>
      <c r="F112" s="362"/>
      <c r="G112" s="362"/>
      <c r="H112" s="362"/>
      <c r="I112" s="362"/>
      <c r="J112" s="333"/>
    </row>
    <row r="113" spans="2:10" s="56" customFormat="1" ht="16.5">
      <c r="B113" s="382" t="s">
        <v>2166</v>
      </c>
      <c r="C113" s="382"/>
      <c r="D113" s="382"/>
      <c r="E113" s="382"/>
      <c r="F113" s="382"/>
      <c r="G113" s="382"/>
      <c r="H113" s="382"/>
      <c r="I113" s="382"/>
      <c r="J113" s="333"/>
    </row>
    <row r="114" spans="2:10" s="56" customFormat="1" ht="17.25" thickBot="1">
      <c r="B114" s="54"/>
      <c r="C114" s="54"/>
      <c r="D114" s="54"/>
      <c r="E114" s="54"/>
      <c r="F114" s="54"/>
      <c r="G114" s="54"/>
      <c r="J114" s="332"/>
    </row>
    <row r="115" spans="2:10" s="56" customFormat="1" ht="19.5">
      <c r="B115" s="196" t="s">
        <v>2219</v>
      </c>
      <c r="C115" s="12"/>
      <c r="D115" s="197"/>
      <c r="E115" s="12"/>
      <c r="F115" s="197"/>
      <c r="G115" s="12"/>
      <c r="J115" s="332"/>
    </row>
    <row r="116" spans="2:10" s="56" customFormat="1" ht="16.5">
      <c r="B116" s="358" t="s">
        <v>2367</v>
      </c>
      <c r="C116" s="358"/>
      <c r="D116" s="358"/>
      <c r="E116" s="12"/>
      <c r="F116" s="198"/>
      <c r="G116" s="12"/>
      <c r="J116" s="332"/>
    </row>
    <row r="117" spans="2:10" s="56" customFormat="1" ht="16.5">
      <c r="B117" s="12"/>
      <c r="C117" s="12"/>
      <c r="D117" s="12"/>
      <c r="E117" s="12"/>
      <c r="F117" s="12"/>
      <c r="G117" s="12"/>
      <c r="H117" s="12"/>
      <c r="I117" s="12"/>
      <c r="J117" s="333"/>
    </row>
    <row r="118" spans="2:10" s="56" customFormat="1" ht="16.5">
      <c r="B118" s="12"/>
      <c r="C118" s="12"/>
      <c r="D118" s="12"/>
      <c r="E118" s="12"/>
      <c r="J118" s="332"/>
    </row>
    <row r="119" spans="2:10" s="56" customFormat="1" ht="16.5">
      <c r="B119" s="12"/>
      <c r="C119" s="12"/>
      <c r="D119" s="12"/>
      <c r="E119" s="12"/>
      <c r="J119" s="332"/>
    </row>
    <row r="120" spans="2:10" s="56" customFormat="1" ht="16.5">
      <c r="B120" s="12"/>
      <c r="C120" s="12"/>
      <c r="D120" s="12"/>
      <c r="E120" s="12"/>
      <c r="F120" s="12"/>
      <c r="G120" s="12"/>
      <c r="H120" s="12"/>
      <c r="I120" s="12"/>
      <c r="J120" s="333"/>
    </row>
    <row r="121" spans="2:10" s="56" customFormat="1" ht="16.5">
      <c r="B121" s="12"/>
      <c r="C121" s="12"/>
      <c r="D121" s="12"/>
      <c r="E121" s="12"/>
      <c r="J121" s="332"/>
    </row>
    <row r="122" spans="2:10" s="56" customFormat="1" ht="16.5">
      <c r="B122" s="12"/>
      <c r="C122" s="12"/>
      <c r="D122" s="12"/>
      <c r="E122" s="12"/>
      <c r="J122" s="332"/>
    </row>
    <row r="123" spans="2:10" s="56" customFormat="1" ht="16.5">
      <c r="B123" s="12"/>
      <c r="C123" s="12"/>
      <c r="D123" s="12"/>
      <c r="E123" s="12"/>
      <c r="F123" s="12"/>
      <c r="G123" s="12"/>
      <c r="H123" s="12"/>
      <c r="I123" s="12"/>
      <c r="J123" s="333"/>
    </row>
    <row r="124" spans="2:10" s="56" customFormat="1" ht="16.5">
      <c r="B124" s="12"/>
      <c r="C124" s="12"/>
      <c r="D124" s="12"/>
      <c r="E124" s="12"/>
      <c r="F124" s="12"/>
      <c r="G124" s="12"/>
      <c r="H124" s="12"/>
      <c r="I124" s="12"/>
      <c r="J124" s="333"/>
    </row>
    <row r="125" spans="2:10" s="56" customFormat="1" ht="16.5">
      <c r="B125" s="12"/>
      <c r="C125" s="12"/>
      <c r="D125" s="12"/>
      <c r="E125" s="12"/>
      <c r="F125" s="12"/>
      <c r="G125" s="12"/>
      <c r="H125" s="12"/>
      <c r="I125" s="12"/>
      <c r="J125" s="333"/>
    </row>
    <row r="126" spans="2:10" s="56" customFormat="1" ht="16.5">
      <c r="B126" s="12"/>
      <c r="C126" s="12"/>
      <c r="D126" s="12"/>
      <c r="E126" s="12"/>
      <c r="F126" s="12"/>
      <c r="G126" s="12"/>
      <c r="H126" s="12"/>
      <c r="I126" s="12"/>
      <c r="J126" s="333"/>
    </row>
    <row r="127" spans="2:10" s="56" customFormat="1" ht="16.5">
      <c r="B127" s="12"/>
      <c r="C127" s="12"/>
      <c r="D127" s="12"/>
      <c r="E127" s="12"/>
      <c r="F127" s="12"/>
      <c r="G127" s="12"/>
      <c r="H127" s="12"/>
      <c r="I127" s="12"/>
      <c r="J127" s="333"/>
    </row>
    <row r="128" spans="2:10" s="56" customFormat="1" ht="16.5">
      <c r="B128" s="12"/>
      <c r="C128" s="12"/>
      <c r="D128" s="12"/>
      <c r="E128" s="12"/>
      <c r="F128" s="12"/>
      <c r="G128" s="12"/>
      <c r="H128" s="12"/>
      <c r="I128" s="12"/>
      <c r="J128" s="333"/>
    </row>
    <row r="129" spans="2:10" s="56" customFormat="1" ht="16.5">
      <c r="B129" s="12"/>
      <c r="C129" s="12"/>
      <c r="D129" s="12"/>
      <c r="E129" s="12"/>
      <c r="F129" s="12"/>
      <c r="G129" s="12"/>
      <c r="H129" s="12"/>
      <c r="I129" s="12"/>
      <c r="J129" s="333"/>
    </row>
    <row r="130" spans="2:10" s="56" customFormat="1" ht="16.5">
      <c r="B130" s="12"/>
      <c r="C130" s="12"/>
      <c r="D130" s="12"/>
      <c r="E130" s="12"/>
      <c r="F130" s="12"/>
      <c r="G130" s="12"/>
      <c r="H130" s="12"/>
      <c r="I130" s="12"/>
      <c r="J130" s="333"/>
    </row>
    <row r="131" spans="2:10" s="56" customFormat="1" ht="16.5">
      <c r="B131" s="12"/>
      <c r="C131" s="12"/>
      <c r="D131" s="12"/>
      <c r="E131" s="12"/>
      <c r="F131" s="12"/>
      <c r="G131" s="12"/>
      <c r="H131" s="12"/>
      <c r="I131" s="12"/>
      <c r="J131" s="333"/>
    </row>
    <row r="132" spans="2:10" s="56" customFormat="1" ht="16.5">
      <c r="B132" s="12"/>
      <c r="C132" s="12"/>
      <c r="D132" s="12"/>
      <c r="E132" s="12"/>
      <c r="J132" s="332"/>
    </row>
    <row r="133" spans="2:10" s="56" customFormat="1" ht="16.5">
      <c r="B133" s="12"/>
      <c r="C133" s="12"/>
      <c r="D133" s="12"/>
      <c r="E133" s="12"/>
      <c r="F133" s="12"/>
      <c r="G133" s="12"/>
      <c r="H133" s="12"/>
      <c r="I133" s="12"/>
      <c r="J133" s="333"/>
    </row>
    <row r="134" spans="2:10" s="56" customFormat="1" ht="16.5">
      <c r="B134" s="12"/>
      <c r="C134" s="12"/>
      <c r="D134" s="12"/>
      <c r="E134" s="12"/>
      <c r="F134" s="12"/>
      <c r="G134" s="12"/>
      <c r="H134" s="12"/>
      <c r="I134" s="12"/>
      <c r="J134" s="333"/>
    </row>
    <row r="135" spans="2:10" s="56" customFormat="1" ht="16.5">
      <c r="B135" s="12"/>
      <c r="C135" s="12"/>
      <c r="D135" s="12"/>
      <c r="E135" s="12"/>
      <c r="F135" s="12"/>
      <c r="G135" s="12"/>
      <c r="H135" s="12"/>
      <c r="I135" s="12"/>
      <c r="J135" s="333"/>
    </row>
    <row r="136" spans="2:10" s="56" customFormat="1" ht="16.5">
      <c r="B136" s="12"/>
      <c r="C136" s="12"/>
      <c r="D136" s="12"/>
      <c r="E136" s="12"/>
      <c r="F136" s="12"/>
      <c r="G136" s="12"/>
      <c r="H136" s="12"/>
      <c r="I136" s="12"/>
      <c r="J136" s="333"/>
    </row>
    <row r="137" spans="2:10" s="56" customFormat="1" ht="16.5">
      <c r="B137" s="12"/>
      <c r="C137" s="12"/>
      <c r="D137" s="12"/>
      <c r="E137" s="12"/>
      <c r="F137" s="12"/>
      <c r="G137" s="12"/>
      <c r="H137" s="12"/>
      <c r="I137" s="12"/>
      <c r="J137" s="333"/>
    </row>
    <row r="138" spans="2:10" s="56" customFormat="1" ht="16.5">
      <c r="B138" s="12"/>
      <c r="C138" s="12"/>
      <c r="D138" s="12"/>
      <c r="E138" s="12"/>
      <c r="F138" s="12"/>
      <c r="G138" s="12"/>
      <c r="H138" s="12"/>
      <c r="I138" s="12"/>
      <c r="J138" s="333"/>
    </row>
    <row r="139" spans="2:10" s="56" customFormat="1" ht="16.5">
      <c r="B139" s="12"/>
      <c r="C139" s="12"/>
      <c r="D139" s="12"/>
      <c r="E139" s="12"/>
      <c r="F139" s="12"/>
      <c r="G139" s="12"/>
      <c r="H139" s="12"/>
      <c r="I139" s="12"/>
      <c r="J139" s="333"/>
    </row>
    <row r="140" spans="2:10" s="56" customFormat="1" ht="16.5">
      <c r="B140" s="12"/>
      <c r="C140" s="12"/>
      <c r="D140" s="12"/>
      <c r="E140" s="12"/>
      <c r="F140" s="12"/>
      <c r="G140" s="12"/>
      <c r="H140" s="12"/>
      <c r="I140" s="12"/>
      <c r="J140" s="333"/>
    </row>
    <row r="141" spans="2:10" s="56" customFormat="1" ht="16.5">
      <c r="B141" s="12"/>
      <c r="C141" s="12"/>
      <c r="D141" s="12"/>
      <c r="E141" s="12"/>
      <c r="F141" s="12"/>
      <c r="G141" s="12"/>
      <c r="H141" s="12"/>
      <c r="I141" s="12"/>
      <c r="J141" s="333"/>
    </row>
    <row r="142" spans="2:10" s="56" customFormat="1" ht="16.5">
      <c r="B142" s="12"/>
      <c r="C142" s="12"/>
      <c r="D142" s="12"/>
      <c r="E142" s="12"/>
      <c r="F142" s="12"/>
      <c r="G142" s="12"/>
      <c r="H142" s="12"/>
      <c r="I142" s="12"/>
      <c r="J142" s="333"/>
    </row>
    <row r="143" spans="2:10" s="56" customFormat="1" ht="16.5">
      <c r="B143" s="12"/>
      <c r="C143" s="12"/>
      <c r="D143" s="12"/>
      <c r="E143" s="12"/>
      <c r="F143" s="12"/>
      <c r="G143" s="12"/>
      <c r="H143" s="12"/>
      <c r="I143" s="12"/>
      <c r="J143" s="333"/>
    </row>
    <row r="144" spans="2:10" s="56" customFormat="1" ht="16.5">
      <c r="B144" s="12"/>
      <c r="C144" s="12"/>
      <c r="D144" s="12"/>
      <c r="E144" s="12"/>
      <c r="F144" s="12"/>
      <c r="G144" s="12"/>
      <c r="H144" s="12"/>
      <c r="I144" s="12"/>
      <c r="J144" s="333"/>
    </row>
    <row r="145" spans="2:10" s="56" customFormat="1" ht="16.5">
      <c r="B145" s="12"/>
      <c r="C145" s="12"/>
      <c r="D145" s="12"/>
      <c r="E145" s="12"/>
      <c r="F145" s="12"/>
      <c r="G145" s="12"/>
      <c r="H145" s="12"/>
      <c r="I145" s="12"/>
      <c r="J145" s="333"/>
    </row>
    <row r="146" spans="2:10" s="56" customFormat="1" ht="16.5">
      <c r="B146" s="12"/>
      <c r="C146" s="12"/>
      <c r="D146" s="12"/>
      <c r="E146" s="12"/>
      <c r="F146" s="12"/>
      <c r="G146" s="12"/>
      <c r="H146" s="12"/>
      <c r="I146" s="12"/>
      <c r="J146" s="333"/>
    </row>
    <row r="147" spans="2:10" s="56" customFormat="1" ht="16.5">
      <c r="B147" s="12"/>
      <c r="C147" s="12"/>
      <c r="D147" s="12"/>
      <c r="E147" s="12"/>
      <c r="F147" s="12"/>
      <c r="G147" s="12"/>
      <c r="H147" s="12"/>
      <c r="I147" s="12"/>
      <c r="J147" s="333"/>
    </row>
    <row r="148" spans="2:10" s="56" customFormat="1" ht="16.5">
      <c r="B148" s="12"/>
      <c r="C148" s="12"/>
      <c r="D148" s="12"/>
      <c r="E148" s="12"/>
      <c r="F148" s="12"/>
      <c r="G148" s="12"/>
      <c r="H148" s="12"/>
      <c r="I148" s="12"/>
      <c r="J148" s="333"/>
    </row>
    <row r="149" spans="2:10" s="56" customFormat="1" ht="16.5">
      <c r="B149" s="12"/>
      <c r="C149" s="12"/>
      <c r="D149" s="12"/>
      <c r="E149" s="12"/>
      <c r="F149" s="12"/>
      <c r="G149" s="12"/>
      <c r="H149" s="12"/>
      <c r="I149" s="12"/>
      <c r="J149" s="333"/>
    </row>
    <row r="150" spans="2:10" s="56" customFormat="1" ht="16.5">
      <c r="B150" s="12"/>
      <c r="C150" s="12"/>
      <c r="D150" s="12"/>
      <c r="E150" s="12"/>
      <c r="F150" s="12"/>
      <c r="G150" s="12"/>
      <c r="H150" s="12"/>
      <c r="I150" s="12"/>
      <c r="J150" s="333"/>
    </row>
    <row r="151" spans="2:10" s="56" customFormat="1" ht="16.5">
      <c r="B151" s="12"/>
      <c r="C151" s="12"/>
      <c r="D151" s="12"/>
      <c r="E151" s="12"/>
      <c r="F151" s="12"/>
      <c r="G151" s="12"/>
      <c r="H151" s="12"/>
      <c r="I151" s="12"/>
      <c r="J151" s="333"/>
    </row>
    <row r="152" spans="2:10" s="56" customFormat="1" ht="16.5">
      <c r="B152" s="12"/>
      <c r="C152" s="12"/>
      <c r="D152" s="12"/>
      <c r="E152" s="12"/>
      <c r="F152" s="12"/>
      <c r="G152" s="12"/>
      <c r="H152" s="12"/>
      <c r="I152" s="12"/>
      <c r="J152" s="333"/>
    </row>
    <row r="153" spans="2:10" s="56" customFormat="1" ht="16.5">
      <c r="B153" s="12"/>
      <c r="C153" s="12"/>
      <c r="D153" s="12"/>
      <c r="E153" s="12"/>
      <c r="F153" s="12"/>
      <c r="G153" s="12"/>
      <c r="H153" s="12"/>
      <c r="I153" s="12"/>
      <c r="J153" s="333"/>
    </row>
    <row r="154" spans="2:10" s="56" customFormat="1" ht="16.5">
      <c r="B154" s="12"/>
      <c r="C154" s="12"/>
      <c r="D154" s="12"/>
      <c r="E154" s="12"/>
      <c r="F154" s="12"/>
      <c r="G154" s="12"/>
      <c r="H154" s="12"/>
      <c r="I154" s="12"/>
      <c r="J154" s="333"/>
    </row>
    <row r="155" spans="2:10" s="56" customFormat="1" ht="16.5">
      <c r="B155" s="12"/>
      <c r="C155" s="12"/>
      <c r="D155" s="12"/>
      <c r="E155" s="12"/>
      <c r="F155" s="12"/>
      <c r="G155" s="12"/>
      <c r="H155" s="12"/>
      <c r="I155" s="12"/>
      <c r="J155" s="333"/>
    </row>
    <row r="156" spans="2:10" s="56" customFormat="1" ht="16.5">
      <c r="B156" s="12"/>
      <c r="C156" s="12"/>
      <c r="D156" s="12"/>
      <c r="E156" s="12"/>
      <c r="F156" s="12"/>
      <c r="G156" s="12"/>
      <c r="H156" s="12"/>
      <c r="I156" s="12"/>
      <c r="J156" s="333"/>
    </row>
    <row r="157" spans="2:10" s="56" customFormat="1" ht="16.5">
      <c r="B157" s="12"/>
      <c r="C157" s="12"/>
      <c r="D157" s="12"/>
      <c r="E157" s="12"/>
      <c r="F157" s="12"/>
      <c r="G157" s="12"/>
      <c r="H157" s="12"/>
      <c r="I157" s="12"/>
      <c r="J157" s="333"/>
    </row>
    <row r="158" spans="2:10" s="56" customFormat="1" ht="16.5">
      <c r="B158" s="12"/>
      <c r="C158" s="12"/>
      <c r="D158" s="12"/>
      <c r="E158" s="12"/>
      <c r="F158" s="12"/>
      <c r="G158" s="12"/>
      <c r="H158" s="12"/>
      <c r="I158" s="12"/>
      <c r="J158" s="333"/>
    </row>
    <row r="159" spans="2:10" s="56" customFormat="1" ht="16.5">
      <c r="B159" s="12"/>
      <c r="C159" s="12"/>
      <c r="D159" s="12"/>
      <c r="E159" s="12"/>
      <c r="F159" s="12"/>
      <c r="G159" s="12"/>
      <c r="H159" s="12"/>
      <c r="I159" s="12"/>
      <c r="J159" s="333"/>
    </row>
    <row r="160" spans="2:10" s="56" customFormat="1" ht="16.5">
      <c r="B160" s="12"/>
      <c r="C160" s="12"/>
      <c r="D160" s="12"/>
      <c r="E160" s="12"/>
      <c r="F160" s="12"/>
      <c r="G160" s="12"/>
      <c r="H160" s="12"/>
      <c r="I160" s="12"/>
      <c r="J160" s="333"/>
    </row>
    <row r="161" spans="2:10" s="56" customFormat="1" ht="16.5">
      <c r="B161" s="12"/>
      <c r="C161" s="12"/>
      <c r="D161" s="12"/>
      <c r="E161" s="12"/>
      <c r="F161" s="12"/>
      <c r="G161" s="12"/>
      <c r="H161" s="12"/>
      <c r="I161" s="12"/>
      <c r="J161" s="333"/>
    </row>
    <row r="162" spans="2:10" s="56" customFormat="1" ht="16.5">
      <c r="B162" s="12"/>
      <c r="C162" s="12"/>
      <c r="D162" s="12"/>
      <c r="E162" s="12"/>
      <c r="F162" s="12"/>
      <c r="G162" s="12"/>
      <c r="H162" s="12"/>
      <c r="I162" s="12"/>
      <c r="J162" s="333"/>
    </row>
    <row r="163" spans="2:10" s="56" customFormat="1" ht="16.5">
      <c r="B163" s="12"/>
      <c r="C163" s="12"/>
      <c r="D163" s="12"/>
      <c r="E163" s="12"/>
      <c r="F163" s="12"/>
      <c r="G163" s="12"/>
      <c r="H163" s="12"/>
      <c r="I163" s="12"/>
      <c r="J163" s="333"/>
    </row>
    <row r="164" spans="2:10" s="56" customFormat="1" ht="16.5">
      <c r="B164" s="12"/>
      <c r="C164" s="12"/>
      <c r="D164" s="12"/>
      <c r="E164" s="12"/>
      <c r="F164" s="12"/>
      <c r="G164" s="12"/>
      <c r="H164" s="12"/>
      <c r="I164" s="12"/>
      <c r="J164" s="333"/>
    </row>
    <row r="165" spans="2:10" s="56" customFormat="1" ht="16.5">
      <c r="B165" s="12"/>
      <c r="C165" s="12"/>
      <c r="D165" s="12"/>
      <c r="E165" s="12"/>
      <c r="F165" s="12"/>
      <c r="G165" s="12"/>
      <c r="H165" s="12"/>
      <c r="I165" s="12"/>
      <c r="J165" s="333"/>
    </row>
    <row r="166" spans="2:10" s="56" customFormat="1" ht="16.5">
      <c r="B166" s="12"/>
      <c r="C166" s="12"/>
      <c r="D166" s="12"/>
      <c r="E166" s="12"/>
      <c r="F166" s="12"/>
      <c r="G166" s="12"/>
      <c r="H166" s="12"/>
      <c r="I166" s="12"/>
      <c r="J166" s="333"/>
    </row>
    <row r="167" spans="2:10" s="56" customFormat="1" ht="16.5">
      <c r="B167" s="12"/>
      <c r="C167" s="12"/>
      <c r="D167" s="12"/>
      <c r="E167" s="12"/>
      <c r="F167" s="12"/>
      <c r="G167" s="12"/>
      <c r="H167" s="12"/>
      <c r="I167" s="12"/>
      <c r="J167" s="333"/>
    </row>
    <row r="168" spans="2:10" s="56" customFormat="1" ht="16.5">
      <c r="B168" s="12"/>
      <c r="C168" s="12"/>
      <c r="D168" s="12"/>
      <c r="E168" s="12"/>
      <c r="F168" s="12"/>
      <c r="G168" s="12"/>
      <c r="H168" s="12"/>
      <c r="I168" s="12"/>
      <c r="J168" s="333"/>
    </row>
    <row r="169" spans="2:10" s="56" customFormat="1" ht="16.5">
      <c r="B169" s="12"/>
      <c r="C169" s="12"/>
      <c r="D169" s="12"/>
      <c r="E169" s="12"/>
      <c r="F169" s="12"/>
      <c r="G169" s="12"/>
      <c r="H169" s="12"/>
      <c r="I169" s="12"/>
      <c r="J169" s="333"/>
    </row>
    <row r="170" spans="2:10" s="56" customFormat="1" ht="16.5">
      <c r="B170" s="12"/>
      <c r="C170" s="12"/>
      <c r="D170" s="12"/>
      <c r="E170" s="12"/>
      <c r="F170" s="12"/>
      <c r="G170" s="12"/>
      <c r="H170" s="12"/>
      <c r="I170" s="12"/>
      <c r="J170" s="333"/>
    </row>
    <row r="171" spans="2:10" s="56" customFormat="1" ht="16.5">
      <c r="B171" s="12"/>
      <c r="C171" s="12"/>
      <c r="D171" s="12"/>
      <c r="E171" s="12"/>
      <c r="F171" s="12"/>
      <c r="G171" s="12"/>
      <c r="H171" s="12"/>
      <c r="I171" s="12"/>
      <c r="J171" s="333"/>
    </row>
    <row r="172" spans="2:10" s="56" customFormat="1" ht="16.5">
      <c r="B172" s="12"/>
      <c r="C172" s="12"/>
      <c r="D172" s="12"/>
      <c r="E172" s="12"/>
      <c r="F172" s="12"/>
      <c r="G172" s="12"/>
      <c r="H172" s="12"/>
      <c r="I172" s="12"/>
      <c r="J172" s="333"/>
    </row>
    <row r="173" spans="2:10" s="56" customFormat="1" ht="16.5">
      <c r="B173" s="12"/>
      <c r="C173" s="12"/>
      <c r="D173" s="12"/>
      <c r="E173" s="12"/>
      <c r="F173" s="12"/>
      <c r="G173" s="12"/>
      <c r="H173" s="12"/>
      <c r="I173" s="12"/>
      <c r="J173" s="333"/>
    </row>
    <row r="174" spans="2:10" s="56" customFormat="1" ht="16.5">
      <c r="B174" s="12"/>
      <c r="C174" s="12"/>
      <c r="D174" s="12"/>
      <c r="E174" s="12"/>
      <c r="F174" s="12"/>
      <c r="G174" s="12"/>
      <c r="H174" s="12"/>
      <c r="I174" s="12"/>
      <c r="J174" s="333"/>
    </row>
    <row r="175" spans="2:10" s="56" customFormat="1" ht="16.5">
      <c r="B175" s="12"/>
      <c r="C175" s="12"/>
      <c r="D175" s="12"/>
      <c r="E175" s="12"/>
      <c r="F175" s="12"/>
      <c r="G175" s="12"/>
      <c r="H175" s="12"/>
      <c r="I175" s="12"/>
      <c r="J175" s="333"/>
    </row>
    <row r="176" spans="2:10" s="56" customFormat="1" ht="16.5">
      <c r="B176" s="12"/>
      <c r="C176" s="12"/>
      <c r="D176" s="12"/>
      <c r="E176" s="12"/>
      <c r="F176" s="12"/>
      <c r="G176" s="12"/>
      <c r="H176" s="12"/>
      <c r="I176" s="12"/>
      <c r="J176" s="333"/>
    </row>
    <row r="177" spans="2:10" s="56" customFormat="1" ht="16.5">
      <c r="B177" s="12"/>
      <c r="C177" s="12"/>
      <c r="D177" s="12"/>
      <c r="E177" s="12"/>
      <c r="F177" s="12"/>
      <c r="G177" s="12"/>
      <c r="H177" s="12"/>
      <c r="I177" s="12"/>
      <c r="J177" s="333"/>
    </row>
    <row r="178" spans="2:10" s="56" customFormat="1" ht="16.5">
      <c r="B178" s="12"/>
      <c r="C178" s="12"/>
      <c r="D178" s="12"/>
      <c r="E178" s="12"/>
      <c r="F178" s="12"/>
      <c r="G178" s="12"/>
      <c r="H178" s="12"/>
      <c r="I178" s="12"/>
      <c r="J178" s="333"/>
    </row>
    <row r="179" spans="2:10" s="56" customFormat="1" ht="16.5">
      <c r="B179" s="12"/>
      <c r="C179" s="12"/>
      <c r="D179" s="12"/>
      <c r="E179" s="12"/>
      <c r="F179" s="12"/>
      <c r="G179" s="12"/>
      <c r="H179" s="12"/>
      <c r="I179" s="12"/>
      <c r="J179" s="333"/>
    </row>
    <row r="180" spans="2:10" s="56" customFormat="1" ht="16.5">
      <c r="B180" s="12"/>
      <c r="C180" s="12"/>
      <c r="D180" s="12"/>
      <c r="E180" s="12"/>
      <c r="F180" s="12"/>
      <c r="G180" s="12"/>
      <c r="H180" s="12"/>
      <c r="I180" s="12"/>
      <c r="J180" s="333"/>
    </row>
    <row r="181" spans="2:10" s="56" customFormat="1" ht="16.5">
      <c r="B181" s="12"/>
      <c r="C181" s="12"/>
      <c r="D181" s="12"/>
      <c r="E181" s="12"/>
      <c r="F181" s="12"/>
      <c r="G181" s="12"/>
      <c r="H181" s="12"/>
      <c r="I181" s="12"/>
      <c r="J181" s="333"/>
    </row>
    <row r="182" spans="2:10" s="56" customFormat="1" ht="16.5">
      <c r="B182" s="12"/>
      <c r="C182" s="12"/>
      <c r="D182" s="12"/>
      <c r="E182" s="12"/>
      <c r="F182" s="12"/>
      <c r="G182" s="12"/>
      <c r="H182" s="12"/>
      <c r="I182" s="12"/>
      <c r="J182" s="333"/>
    </row>
    <row r="183" spans="2:10" s="56" customFormat="1" ht="16.5">
      <c r="B183" s="12"/>
      <c r="C183" s="12"/>
      <c r="D183" s="12"/>
      <c r="E183" s="12"/>
      <c r="F183" s="12"/>
      <c r="G183" s="12"/>
      <c r="H183" s="12"/>
      <c r="I183" s="12"/>
      <c r="J183" s="333"/>
    </row>
    <row r="184" spans="2:10" s="56" customFormat="1" ht="16.5">
      <c r="B184" s="12"/>
      <c r="C184" s="12"/>
      <c r="D184" s="12"/>
      <c r="E184" s="12"/>
      <c r="F184" s="12"/>
      <c r="G184" s="12"/>
      <c r="H184" s="12"/>
      <c r="I184" s="12"/>
      <c r="J184" s="333"/>
    </row>
    <row r="185" spans="2:10" s="56" customFormat="1" ht="16.5">
      <c r="B185" s="12"/>
      <c r="C185" s="12"/>
      <c r="D185" s="12"/>
      <c r="E185" s="12"/>
      <c r="F185" s="12"/>
      <c r="G185" s="12"/>
      <c r="H185" s="12"/>
      <c r="I185" s="12"/>
      <c r="J185" s="333"/>
    </row>
    <row r="186" spans="2:10" s="56" customFormat="1" ht="16.5">
      <c r="B186" s="12"/>
      <c r="C186" s="12"/>
      <c r="D186" s="12"/>
      <c r="E186" s="12"/>
      <c r="F186" s="12"/>
      <c r="G186" s="12"/>
      <c r="H186" s="12"/>
      <c r="I186" s="12"/>
      <c r="J186" s="333"/>
    </row>
    <row r="187" spans="2:10" s="56" customFormat="1" ht="16.5">
      <c r="B187" s="12"/>
      <c r="C187" s="12"/>
      <c r="D187" s="12"/>
      <c r="E187" s="12"/>
      <c r="F187" s="12"/>
      <c r="G187" s="12"/>
      <c r="H187" s="12"/>
      <c r="I187" s="12"/>
      <c r="J187" s="333"/>
    </row>
    <row r="188" spans="2:10" s="56" customFormat="1" ht="16.5">
      <c r="B188" s="12"/>
      <c r="C188" s="12"/>
      <c r="D188" s="12"/>
      <c r="E188" s="12"/>
      <c r="F188" s="12"/>
      <c r="G188" s="12"/>
      <c r="H188" s="12"/>
      <c r="I188" s="12"/>
      <c r="J188" s="333"/>
    </row>
    <row r="189" spans="2:10" s="56" customFormat="1" ht="16.5">
      <c r="B189" s="12"/>
      <c r="C189" s="12"/>
      <c r="D189" s="12"/>
      <c r="E189" s="12"/>
      <c r="F189" s="12"/>
      <c r="G189" s="12"/>
      <c r="H189" s="12"/>
      <c r="I189" s="12"/>
      <c r="J189" s="333"/>
    </row>
    <row r="190" spans="2:10" s="56" customFormat="1" ht="16.5">
      <c r="B190" s="12"/>
      <c r="C190" s="12"/>
      <c r="D190" s="12"/>
      <c r="E190" s="12"/>
      <c r="F190" s="12"/>
      <c r="G190" s="12"/>
      <c r="H190" s="12"/>
      <c r="I190" s="12"/>
      <c r="J190" s="333"/>
    </row>
    <row r="191" spans="2:10" s="56" customFormat="1" ht="16.5">
      <c r="B191" s="12"/>
      <c r="C191" s="12"/>
      <c r="D191" s="12"/>
      <c r="E191" s="12"/>
      <c r="F191" s="12"/>
      <c r="G191" s="12"/>
      <c r="H191" s="12"/>
      <c r="I191" s="12"/>
      <c r="J191" s="333"/>
    </row>
    <row r="192" spans="2:10" s="56" customFormat="1" ht="16.5">
      <c r="B192" s="12"/>
      <c r="C192" s="12"/>
      <c r="D192" s="12"/>
      <c r="E192" s="12"/>
      <c r="F192" s="12"/>
      <c r="G192" s="12"/>
      <c r="H192" s="12"/>
      <c r="I192" s="12"/>
      <c r="J192" s="333"/>
    </row>
    <row r="193" spans="2:10" s="56" customFormat="1" ht="16.5">
      <c r="B193" s="12"/>
      <c r="C193" s="12"/>
      <c r="D193" s="12"/>
      <c r="E193" s="12"/>
      <c r="F193" s="12"/>
      <c r="G193" s="12"/>
      <c r="H193" s="12"/>
      <c r="I193" s="12"/>
      <c r="J193" s="333"/>
    </row>
    <row r="194" spans="2:10" s="56" customFormat="1" ht="16.5">
      <c r="B194" s="12"/>
      <c r="C194" s="12"/>
      <c r="D194" s="12"/>
      <c r="E194" s="12"/>
      <c r="F194" s="12"/>
      <c r="G194" s="12"/>
      <c r="H194" s="12"/>
      <c r="I194" s="12"/>
      <c r="J194" s="333"/>
    </row>
    <row r="195" spans="2:10" s="56" customFormat="1" ht="16.5">
      <c r="B195" s="12"/>
      <c r="C195" s="12"/>
      <c r="D195" s="12"/>
      <c r="E195" s="12"/>
      <c r="F195" s="12"/>
      <c r="G195" s="12"/>
      <c r="H195" s="12"/>
      <c r="I195" s="12"/>
      <c r="J195" s="333"/>
    </row>
    <row r="196" spans="2:10" s="56" customFormat="1" ht="16.5">
      <c r="B196" s="12"/>
      <c r="C196" s="12"/>
      <c r="D196" s="12"/>
      <c r="E196" s="12"/>
      <c r="F196" s="12"/>
      <c r="G196" s="12"/>
      <c r="H196" s="12"/>
      <c r="I196" s="12"/>
      <c r="J196" s="333"/>
    </row>
    <row r="197" spans="2:10" s="56" customFormat="1" ht="16.5">
      <c r="B197" s="12"/>
      <c r="C197" s="12"/>
      <c r="D197" s="12"/>
      <c r="E197" s="12"/>
      <c r="F197" s="12"/>
      <c r="G197" s="12"/>
      <c r="H197" s="12"/>
      <c r="I197" s="12"/>
      <c r="J197" s="333"/>
    </row>
    <row r="198" spans="2:10" s="56" customFormat="1" ht="16.5">
      <c r="B198" s="12"/>
      <c r="C198" s="12"/>
      <c r="D198" s="12"/>
      <c r="E198" s="12"/>
      <c r="F198" s="12"/>
      <c r="G198" s="12"/>
      <c r="H198" s="12"/>
      <c r="I198" s="12"/>
      <c r="J198" s="333"/>
    </row>
    <row r="199" spans="2:10" s="56" customFormat="1" ht="16.5">
      <c r="B199" s="12"/>
      <c r="C199" s="12"/>
      <c r="D199" s="12"/>
      <c r="E199" s="12"/>
      <c r="F199" s="12"/>
      <c r="G199" s="12"/>
      <c r="H199" s="12"/>
      <c r="I199" s="12"/>
      <c r="J199" s="333"/>
    </row>
    <row r="200" spans="2:10" s="56" customFormat="1" ht="16.5">
      <c r="B200" s="12"/>
      <c r="C200" s="12"/>
      <c r="D200" s="12"/>
      <c r="E200" s="12"/>
      <c r="F200" s="12"/>
      <c r="G200" s="12"/>
      <c r="H200" s="12"/>
      <c r="I200" s="12"/>
      <c r="J200" s="333"/>
    </row>
    <row r="201" spans="2:10" s="56" customFormat="1" ht="16.5">
      <c r="B201" s="12"/>
      <c r="C201" s="12"/>
      <c r="D201" s="12"/>
      <c r="E201" s="12"/>
      <c r="F201" s="12"/>
      <c r="G201" s="12"/>
      <c r="H201" s="12"/>
      <c r="I201" s="12"/>
      <c r="J201" s="333"/>
    </row>
    <row r="202" spans="2:10" s="56" customFormat="1" ht="16.5">
      <c r="B202" s="12"/>
      <c r="C202" s="12"/>
      <c r="D202" s="12"/>
      <c r="E202" s="12"/>
      <c r="F202" s="12"/>
      <c r="G202" s="12"/>
      <c r="H202" s="12"/>
      <c r="I202" s="12"/>
      <c r="J202" s="333"/>
    </row>
    <row r="203" spans="2:10" s="56" customFormat="1" ht="16.5">
      <c r="B203" s="12"/>
      <c r="C203" s="12"/>
      <c r="D203" s="12"/>
      <c r="E203" s="12"/>
      <c r="F203" s="12"/>
      <c r="G203" s="12"/>
      <c r="H203" s="12"/>
      <c r="I203" s="12"/>
      <c r="J203" s="333"/>
    </row>
    <row r="204" spans="2:10" s="56" customFormat="1" ht="16.5">
      <c r="B204" s="12"/>
      <c r="C204" s="12"/>
      <c r="D204" s="12"/>
      <c r="E204" s="12"/>
      <c r="F204" s="12"/>
      <c r="G204" s="12"/>
      <c r="H204" s="12"/>
      <c r="I204" s="12"/>
      <c r="J204" s="333"/>
    </row>
    <row r="205" spans="2:10" s="56" customFormat="1" ht="16.5">
      <c r="B205" s="12"/>
      <c r="C205" s="12"/>
      <c r="D205" s="12"/>
      <c r="E205" s="12"/>
      <c r="F205" s="12"/>
      <c r="G205" s="12"/>
      <c r="H205" s="12"/>
      <c r="I205" s="12"/>
      <c r="J205" s="333"/>
    </row>
    <row r="206" spans="2:10" s="56" customFormat="1" ht="16.5">
      <c r="B206" s="12"/>
      <c r="C206" s="12"/>
      <c r="D206" s="12"/>
      <c r="E206" s="12"/>
      <c r="F206" s="12"/>
      <c r="G206" s="12"/>
      <c r="H206" s="12"/>
      <c r="I206" s="12"/>
      <c r="J206" s="333"/>
    </row>
    <row r="207" spans="2:10" s="56" customFormat="1" ht="16.5">
      <c r="B207" s="12"/>
      <c r="C207" s="12"/>
      <c r="D207" s="12"/>
      <c r="E207" s="12"/>
      <c r="F207" s="12"/>
      <c r="G207" s="12"/>
      <c r="H207" s="12"/>
      <c r="I207" s="12"/>
      <c r="J207" s="333"/>
    </row>
    <row r="208" spans="2:10" s="56" customFormat="1" ht="16.5">
      <c r="B208" s="12"/>
      <c r="C208" s="12"/>
      <c r="D208" s="12"/>
      <c r="E208" s="12"/>
      <c r="F208" s="12"/>
      <c r="G208" s="12"/>
      <c r="H208" s="12"/>
      <c r="I208" s="12"/>
      <c r="J208" s="333"/>
    </row>
    <row r="209" spans="2:10" s="56" customFormat="1" ht="16.5">
      <c r="B209" s="12"/>
      <c r="C209" s="12"/>
      <c r="D209" s="12"/>
      <c r="E209" s="12"/>
      <c r="F209" s="12"/>
      <c r="G209" s="12"/>
      <c r="H209" s="12"/>
      <c r="I209" s="12"/>
      <c r="J209" s="333"/>
    </row>
    <row r="210" spans="2:10" s="56" customFormat="1" ht="16.5">
      <c r="B210" s="12"/>
      <c r="C210" s="12"/>
      <c r="D210" s="12"/>
      <c r="E210" s="12"/>
      <c r="F210" s="12"/>
      <c r="G210" s="12"/>
      <c r="H210" s="12"/>
      <c r="I210" s="12"/>
      <c r="J210" s="333"/>
    </row>
    <row r="211" spans="2:10" s="56" customFormat="1" ht="16.5">
      <c r="B211" s="12"/>
      <c r="C211" s="12"/>
      <c r="D211" s="12"/>
      <c r="E211" s="12"/>
      <c r="F211" s="12"/>
      <c r="G211" s="12"/>
      <c r="H211" s="12"/>
      <c r="I211" s="12"/>
      <c r="J211" s="333"/>
    </row>
    <row r="212" spans="2:10" s="56" customFormat="1" ht="16.5">
      <c r="B212" s="12"/>
      <c r="C212" s="12"/>
      <c r="D212" s="12"/>
      <c r="E212" s="12"/>
      <c r="F212" s="12"/>
      <c r="G212" s="12"/>
      <c r="H212" s="12"/>
      <c r="I212" s="12"/>
      <c r="J212" s="333"/>
    </row>
    <row r="213" spans="2:10" s="56" customFormat="1" ht="16.5">
      <c r="B213" s="12"/>
      <c r="C213" s="12"/>
      <c r="D213" s="12"/>
      <c r="E213" s="12"/>
      <c r="F213" s="12"/>
      <c r="G213" s="12"/>
      <c r="H213" s="12"/>
      <c r="I213" s="12"/>
      <c r="J213" s="333"/>
    </row>
    <row r="214" spans="2:10" s="56" customFormat="1" ht="16.5">
      <c r="B214" s="12"/>
      <c r="C214" s="12"/>
      <c r="D214" s="12"/>
      <c r="E214" s="12"/>
      <c r="F214" s="12"/>
      <c r="G214" s="12"/>
      <c r="H214" s="12"/>
      <c r="I214" s="12"/>
      <c r="J214" s="333"/>
    </row>
    <row r="215" spans="2:10" s="56" customFormat="1" ht="16.5">
      <c r="B215" s="12"/>
      <c r="C215" s="12"/>
      <c r="D215" s="12"/>
      <c r="E215" s="12"/>
      <c r="F215" s="12"/>
      <c r="G215" s="12"/>
      <c r="H215" s="12"/>
      <c r="I215" s="12"/>
      <c r="J215" s="333"/>
    </row>
    <row r="216" spans="2:10" s="56" customFormat="1" ht="16.5">
      <c r="B216" s="12"/>
      <c r="C216" s="12"/>
      <c r="D216" s="12"/>
      <c r="E216" s="12"/>
      <c r="F216" s="12"/>
      <c r="G216" s="12"/>
      <c r="H216" s="12"/>
      <c r="I216" s="12"/>
      <c r="J216" s="333"/>
    </row>
    <row r="217" spans="2:10" s="56" customFormat="1" ht="16.5">
      <c r="B217" s="12"/>
      <c r="C217" s="12"/>
      <c r="D217" s="12"/>
      <c r="E217" s="12"/>
      <c r="F217" s="12"/>
      <c r="G217" s="12"/>
      <c r="H217" s="12"/>
      <c r="I217" s="12"/>
      <c r="J217" s="333"/>
    </row>
    <row r="218" spans="2:10" s="56" customFormat="1" ht="16.5">
      <c r="B218" s="12"/>
      <c r="C218" s="12"/>
      <c r="D218" s="12"/>
      <c r="E218" s="12"/>
      <c r="F218" s="12"/>
      <c r="G218" s="12"/>
      <c r="H218" s="12"/>
      <c r="I218" s="12"/>
      <c r="J218" s="333"/>
    </row>
    <row r="219" spans="2:10" s="56" customFormat="1" ht="16.5">
      <c r="B219" s="12"/>
      <c r="C219" s="12"/>
      <c r="D219" s="12"/>
      <c r="E219" s="12"/>
      <c r="F219" s="12"/>
      <c r="G219" s="12"/>
      <c r="H219" s="12"/>
      <c r="I219" s="12"/>
      <c r="J219" s="333"/>
    </row>
    <row r="220" spans="2:10" s="56" customFormat="1" ht="16.5">
      <c r="B220" s="12"/>
      <c r="C220" s="12"/>
      <c r="D220" s="12"/>
      <c r="E220" s="12"/>
      <c r="F220" s="12"/>
      <c r="G220" s="12"/>
      <c r="H220" s="12"/>
      <c r="I220" s="12"/>
      <c r="J220" s="333"/>
    </row>
    <row r="221" spans="2:10" s="56" customFormat="1" ht="16.5">
      <c r="B221" s="12"/>
      <c r="C221" s="12"/>
      <c r="D221" s="12"/>
      <c r="E221" s="12"/>
      <c r="F221" s="12"/>
      <c r="G221" s="12"/>
      <c r="H221" s="12"/>
      <c r="I221" s="12"/>
      <c r="J221" s="333"/>
    </row>
    <row r="222" spans="2:10" s="56" customFormat="1" ht="16.5">
      <c r="B222" s="12"/>
      <c r="C222" s="12"/>
      <c r="D222" s="12"/>
      <c r="E222" s="12"/>
      <c r="F222" s="12"/>
      <c r="G222" s="12"/>
      <c r="H222" s="12"/>
      <c r="I222" s="12"/>
      <c r="J222" s="333"/>
    </row>
    <row r="223" spans="2:10" s="56" customFormat="1" ht="16.5">
      <c r="B223" s="12"/>
      <c r="C223" s="12"/>
      <c r="D223" s="12"/>
      <c r="E223" s="12"/>
      <c r="F223" s="12"/>
      <c r="G223" s="12"/>
      <c r="H223" s="12"/>
      <c r="I223" s="12"/>
      <c r="J223" s="333"/>
    </row>
    <row r="224" spans="2:10" s="56" customFormat="1" ht="16.5">
      <c r="B224" s="12"/>
      <c r="C224" s="12"/>
      <c r="D224" s="12"/>
      <c r="E224" s="12"/>
      <c r="F224" s="12"/>
      <c r="G224" s="12"/>
      <c r="H224" s="12"/>
      <c r="I224" s="12"/>
      <c r="J224" s="333"/>
    </row>
    <row r="225" spans="2:10" s="56" customFormat="1" ht="16.5">
      <c r="B225" s="12"/>
      <c r="C225" s="12"/>
      <c r="D225" s="12"/>
      <c r="E225" s="12"/>
      <c r="F225" s="12"/>
      <c r="G225" s="12"/>
      <c r="H225" s="12"/>
      <c r="I225" s="12"/>
      <c r="J225" s="333"/>
    </row>
    <row r="226" spans="2:10" s="56" customFormat="1" ht="16.5">
      <c r="B226" s="12"/>
      <c r="C226" s="12"/>
      <c r="D226" s="12"/>
      <c r="E226" s="12"/>
      <c r="F226" s="12"/>
      <c r="G226" s="12"/>
      <c r="H226" s="12"/>
      <c r="I226" s="12"/>
      <c r="J226" s="333"/>
    </row>
    <row r="227" spans="2:10" s="56" customFormat="1" ht="16.5">
      <c r="B227" s="12"/>
      <c r="C227" s="12"/>
      <c r="D227" s="12"/>
      <c r="E227" s="12"/>
      <c r="F227" s="12"/>
      <c r="G227" s="12"/>
      <c r="H227" s="12"/>
      <c r="I227" s="12"/>
      <c r="J227" s="333"/>
    </row>
    <row r="228" spans="2:10" s="56" customFormat="1" ht="16.5">
      <c r="B228" s="12"/>
      <c r="C228" s="12"/>
      <c r="D228" s="12"/>
      <c r="E228" s="12"/>
      <c r="F228" s="12"/>
      <c r="G228" s="12"/>
      <c r="H228" s="12"/>
      <c r="I228" s="12"/>
      <c r="J228" s="333"/>
    </row>
    <row r="229" spans="2:10" s="56" customFormat="1" ht="16.5">
      <c r="B229" s="12"/>
      <c r="C229" s="12"/>
      <c r="D229" s="12"/>
      <c r="E229" s="12"/>
      <c r="F229" s="12"/>
      <c r="G229" s="12"/>
      <c r="H229" s="12"/>
      <c r="I229" s="12"/>
      <c r="J229" s="333"/>
    </row>
    <row r="230" spans="2:10" s="56" customFormat="1" ht="16.5">
      <c r="B230" s="12"/>
      <c r="C230" s="12"/>
      <c r="D230" s="12"/>
      <c r="E230" s="12"/>
      <c r="F230" s="12"/>
      <c r="G230" s="12"/>
      <c r="H230" s="12"/>
      <c r="I230" s="12"/>
      <c r="J230" s="333"/>
    </row>
    <row r="231" spans="2:10" s="56" customFormat="1" ht="16.5">
      <c r="B231" s="12"/>
      <c r="C231" s="12"/>
      <c r="D231" s="12"/>
      <c r="E231" s="12"/>
      <c r="F231" s="12"/>
      <c r="G231" s="12"/>
      <c r="H231" s="12"/>
      <c r="I231" s="12"/>
      <c r="J231" s="333"/>
    </row>
    <row r="232" spans="2:10" s="56" customFormat="1" ht="16.5">
      <c r="B232" s="12"/>
      <c r="C232" s="12"/>
      <c r="D232" s="12"/>
      <c r="E232" s="12"/>
      <c r="F232" s="12"/>
      <c r="G232" s="12"/>
      <c r="H232" s="12"/>
      <c r="I232" s="12"/>
      <c r="J232" s="333"/>
    </row>
    <row r="233" spans="2:10" s="56" customFormat="1" ht="16.5">
      <c r="B233" s="12"/>
      <c r="C233" s="12"/>
      <c r="D233" s="12"/>
      <c r="E233" s="12"/>
      <c r="F233" s="12"/>
      <c r="G233" s="12"/>
      <c r="H233" s="12"/>
      <c r="I233" s="12"/>
      <c r="J233" s="333"/>
    </row>
    <row r="234" spans="2:10" s="56" customFormat="1" ht="16.5">
      <c r="B234" s="12"/>
      <c r="C234" s="12"/>
      <c r="D234" s="12"/>
      <c r="E234" s="12"/>
      <c r="F234" s="12"/>
      <c r="G234" s="12"/>
      <c r="H234" s="12"/>
      <c r="I234" s="12"/>
      <c r="J234" s="333"/>
    </row>
    <row r="235" spans="2:10" s="56" customFormat="1" ht="16.5">
      <c r="B235" s="12"/>
      <c r="C235" s="12"/>
      <c r="D235" s="12"/>
      <c r="E235" s="12"/>
      <c r="F235" s="12"/>
      <c r="G235" s="12"/>
      <c r="H235" s="12"/>
      <c r="I235" s="12"/>
      <c r="J235" s="333"/>
    </row>
    <row r="236" spans="2:10" s="56" customFormat="1" ht="16.5">
      <c r="B236" s="12"/>
      <c r="C236" s="12"/>
      <c r="D236" s="12"/>
      <c r="E236" s="12"/>
      <c r="F236" s="12"/>
      <c r="G236" s="12"/>
      <c r="H236" s="12"/>
      <c r="I236" s="12"/>
      <c r="J236" s="333"/>
    </row>
    <row r="237" spans="2:10" s="56" customFormat="1" ht="16.5">
      <c r="B237" s="12"/>
      <c r="C237" s="12"/>
      <c r="D237" s="12"/>
      <c r="E237" s="12"/>
      <c r="F237" s="12"/>
      <c r="G237" s="12"/>
      <c r="H237" s="12"/>
      <c r="I237" s="12"/>
      <c r="J237" s="333"/>
    </row>
    <row r="238" spans="2:10" s="56" customFormat="1" ht="16.5">
      <c r="B238" s="12"/>
      <c r="C238" s="12"/>
      <c r="D238" s="12"/>
      <c r="E238" s="12"/>
      <c r="F238" s="12"/>
      <c r="G238" s="12"/>
      <c r="H238" s="12"/>
      <c r="I238" s="12"/>
      <c r="J238" s="333"/>
    </row>
    <row r="239" spans="2:10" s="56" customFormat="1" ht="16.5">
      <c r="B239" s="12"/>
      <c r="C239" s="12"/>
      <c r="D239" s="12"/>
      <c r="E239" s="12"/>
      <c r="F239" s="12"/>
      <c r="G239" s="12"/>
      <c r="H239" s="12"/>
      <c r="I239" s="12"/>
      <c r="J239" s="333"/>
    </row>
    <row r="240" spans="2:10" s="56" customFormat="1" ht="16.5">
      <c r="B240" s="12"/>
      <c r="C240" s="12"/>
      <c r="D240" s="12"/>
      <c r="E240" s="12"/>
      <c r="F240" s="12"/>
      <c r="G240" s="12"/>
      <c r="H240" s="12"/>
      <c r="I240" s="12"/>
      <c r="J240" s="333"/>
    </row>
    <row r="241" spans="2:10" s="56" customFormat="1" ht="16.5">
      <c r="B241" s="12"/>
      <c r="C241" s="12"/>
      <c r="D241" s="12"/>
      <c r="E241" s="12"/>
      <c r="F241" s="12"/>
      <c r="G241" s="12"/>
      <c r="H241" s="12"/>
      <c r="I241" s="12"/>
      <c r="J241" s="333"/>
    </row>
    <row r="242" spans="2:10" s="56" customFormat="1" ht="16.5">
      <c r="B242" s="12"/>
      <c r="C242" s="12"/>
      <c r="D242" s="12"/>
      <c r="E242" s="12"/>
      <c r="F242" s="12"/>
      <c r="G242" s="12"/>
      <c r="H242" s="12"/>
      <c r="I242" s="12"/>
      <c r="J242" s="333"/>
    </row>
    <row r="243" spans="2:10" s="56" customFormat="1" ht="16.5">
      <c r="B243" s="12"/>
      <c r="C243" s="12"/>
      <c r="D243" s="12"/>
      <c r="E243" s="12"/>
      <c r="F243" s="12"/>
      <c r="G243" s="12"/>
      <c r="H243" s="12"/>
      <c r="I243" s="12"/>
      <c r="J243" s="333"/>
    </row>
    <row r="244" spans="2:10" s="56" customFormat="1" ht="16.5">
      <c r="B244" s="12"/>
      <c r="C244" s="12"/>
      <c r="D244" s="12"/>
      <c r="E244" s="12"/>
      <c r="F244" s="12"/>
      <c r="G244" s="12"/>
      <c r="H244" s="12"/>
      <c r="I244" s="12"/>
      <c r="J244" s="333"/>
    </row>
    <row r="245" spans="2:10" s="56" customFormat="1" ht="16.5">
      <c r="B245" s="12"/>
      <c r="C245" s="12"/>
      <c r="D245" s="12"/>
      <c r="E245" s="12"/>
      <c r="F245" s="12"/>
      <c r="G245" s="12"/>
      <c r="H245" s="12"/>
      <c r="I245" s="12"/>
      <c r="J245" s="333"/>
    </row>
    <row r="246" spans="2:10" s="56" customFormat="1" ht="16.5">
      <c r="B246" s="12"/>
      <c r="C246" s="12"/>
      <c r="D246" s="12"/>
      <c r="E246" s="12"/>
      <c r="F246" s="12"/>
      <c r="G246" s="12"/>
      <c r="H246" s="12"/>
      <c r="I246" s="12"/>
      <c r="J246" s="333"/>
    </row>
    <row r="247" spans="2:10" s="56" customFormat="1" ht="16.5">
      <c r="B247" s="12"/>
      <c r="C247" s="12"/>
      <c r="D247" s="12"/>
      <c r="E247" s="12"/>
      <c r="F247" s="12"/>
      <c r="G247" s="12"/>
      <c r="H247" s="12"/>
      <c r="I247" s="12"/>
      <c r="J247" s="333"/>
    </row>
    <row r="248" spans="2:10" s="56" customFormat="1" ht="16.5">
      <c r="B248" s="12"/>
      <c r="C248" s="12"/>
      <c r="D248" s="12"/>
      <c r="E248" s="12"/>
      <c r="F248" s="12"/>
      <c r="G248" s="12"/>
      <c r="H248" s="12"/>
      <c r="I248" s="12"/>
      <c r="J248" s="333"/>
    </row>
    <row r="249" spans="2:10" s="56" customFormat="1" ht="16.5">
      <c r="B249" s="12"/>
      <c r="C249" s="12"/>
      <c r="D249" s="12"/>
      <c r="E249" s="12"/>
      <c r="F249" s="12"/>
      <c r="G249" s="12"/>
      <c r="H249" s="12"/>
      <c r="I249" s="12"/>
      <c r="J249" s="333"/>
    </row>
    <row r="250" spans="2:10" s="56" customFormat="1" ht="16.5">
      <c r="B250" s="12"/>
      <c r="C250" s="12"/>
      <c r="D250" s="12"/>
      <c r="E250" s="12"/>
      <c r="F250" s="12"/>
      <c r="G250" s="12"/>
      <c r="H250" s="12"/>
      <c r="I250" s="12"/>
      <c r="J250" s="333"/>
    </row>
    <row r="251" spans="2:10" s="56" customFormat="1" ht="16.5">
      <c r="B251" s="12"/>
      <c r="C251" s="12"/>
      <c r="D251" s="12"/>
      <c r="E251" s="12"/>
      <c r="F251" s="12"/>
      <c r="G251" s="12"/>
      <c r="H251" s="12"/>
      <c r="I251" s="12"/>
      <c r="J251" s="333"/>
    </row>
    <row r="252" spans="2:10" s="56" customFormat="1" ht="16.5">
      <c r="B252" s="12"/>
      <c r="C252" s="12"/>
      <c r="D252" s="12"/>
      <c r="E252" s="12"/>
      <c r="F252" s="12"/>
      <c r="G252" s="12"/>
      <c r="H252" s="12"/>
      <c r="I252" s="12"/>
      <c r="J252" s="333"/>
    </row>
    <row r="253" spans="2:10" s="56" customFormat="1" ht="16.5">
      <c r="B253" s="12"/>
      <c r="C253" s="12"/>
      <c r="D253" s="12"/>
      <c r="E253" s="12"/>
      <c r="F253" s="12"/>
      <c r="G253" s="12"/>
      <c r="H253" s="12"/>
      <c r="I253" s="12"/>
      <c r="J253" s="333"/>
    </row>
    <row r="254" spans="2:10" s="56" customFormat="1" ht="16.5">
      <c r="B254" s="12"/>
      <c r="C254" s="12"/>
      <c r="D254" s="12"/>
      <c r="E254" s="12"/>
      <c r="F254" s="12"/>
      <c r="G254" s="12"/>
      <c r="H254" s="12"/>
      <c r="I254" s="12"/>
      <c r="J254" s="333"/>
    </row>
    <row r="255" spans="2:10" s="56" customFormat="1" ht="16.5">
      <c r="B255" s="12"/>
      <c r="C255" s="12"/>
      <c r="D255" s="12"/>
      <c r="E255" s="12"/>
      <c r="F255" s="12"/>
      <c r="G255" s="12"/>
      <c r="H255" s="12"/>
      <c r="I255" s="12"/>
      <c r="J255" s="333"/>
    </row>
    <row r="256" spans="2:10" s="56" customFormat="1" ht="16.5">
      <c r="B256" s="12"/>
      <c r="C256" s="12"/>
      <c r="D256" s="12"/>
      <c r="E256" s="12"/>
      <c r="F256" s="12"/>
      <c r="G256" s="12"/>
      <c r="H256" s="12"/>
      <c r="I256" s="12"/>
      <c r="J256" s="333"/>
    </row>
    <row r="257" spans="2:10" s="56" customFormat="1" ht="16.5">
      <c r="B257" s="12"/>
      <c r="C257" s="12"/>
      <c r="D257" s="12"/>
      <c r="E257" s="12"/>
      <c r="F257" s="12"/>
      <c r="G257" s="12"/>
      <c r="H257" s="12"/>
      <c r="I257" s="12"/>
      <c r="J257" s="333"/>
    </row>
    <row r="258" spans="2:10" s="56" customFormat="1" ht="16.5">
      <c r="B258" s="12"/>
      <c r="C258" s="12"/>
      <c r="D258" s="12"/>
      <c r="E258" s="12"/>
      <c r="F258" s="12"/>
      <c r="G258" s="12"/>
      <c r="H258" s="12"/>
      <c r="I258" s="12"/>
      <c r="J258" s="333"/>
    </row>
    <row r="259" spans="2:10" s="56" customFormat="1" ht="16.5">
      <c r="B259" s="12"/>
      <c r="C259" s="12"/>
      <c r="D259" s="12"/>
      <c r="E259" s="12"/>
      <c r="F259" s="12"/>
      <c r="G259" s="12"/>
      <c r="H259" s="12"/>
      <c r="I259" s="12"/>
      <c r="J259" s="333"/>
    </row>
    <row r="260" spans="2:10" s="56" customFormat="1" ht="16.5">
      <c r="B260" s="12"/>
      <c r="C260" s="12"/>
      <c r="D260" s="12"/>
      <c r="E260" s="12"/>
      <c r="F260" s="12"/>
      <c r="G260" s="12"/>
      <c r="H260" s="12"/>
      <c r="I260" s="12"/>
      <c r="J260" s="333"/>
    </row>
    <row r="261" spans="2:10" s="56" customFormat="1" ht="16.5">
      <c r="B261" s="12"/>
      <c r="C261" s="12"/>
      <c r="D261" s="12"/>
      <c r="E261" s="12"/>
      <c r="F261" s="12"/>
      <c r="G261" s="12"/>
      <c r="H261" s="12"/>
      <c r="I261" s="12"/>
      <c r="J261" s="333"/>
    </row>
    <row r="262" spans="2:10" s="56" customFormat="1" ht="16.5">
      <c r="B262" s="12"/>
      <c r="C262" s="12"/>
      <c r="D262" s="12"/>
      <c r="E262" s="12"/>
      <c r="F262" s="12"/>
      <c r="G262" s="12"/>
      <c r="H262" s="12"/>
      <c r="I262" s="12"/>
      <c r="J262" s="333"/>
    </row>
    <row r="263" spans="2:10" s="56" customFormat="1" ht="16.5">
      <c r="B263" s="12"/>
      <c r="C263" s="12"/>
      <c r="D263" s="12"/>
      <c r="E263" s="12"/>
      <c r="F263" s="12"/>
      <c r="G263" s="12"/>
      <c r="H263" s="12"/>
      <c r="I263" s="12"/>
      <c r="J263" s="333"/>
    </row>
    <row r="264" spans="2:10" s="56" customFormat="1" ht="16.5">
      <c r="B264" s="12"/>
      <c r="C264" s="12"/>
      <c r="D264" s="12"/>
      <c r="E264" s="12"/>
      <c r="F264" s="12"/>
      <c r="G264" s="12"/>
      <c r="H264" s="12"/>
      <c r="I264" s="12"/>
      <c r="J264" s="333"/>
    </row>
    <row r="265" spans="2:10" s="56" customFormat="1" ht="16.5">
      <c r="B265" s="12"/>
      <c r="C265" s="12"/>
      <c r="D265" s="12"/>
      <c r="E265" s="12"/>
      <c r="F265" s="12"/>
      <c r="G265" s="12"/>
      <c r="H265" s="12"/>
      <c r="I265" s="12"/>
      <c r="J265" s="333"/>
    </row>
    <row r="266" spans="2:10" s="56" customFormat="1" ht="16.5">
      <c r="B266" s="12"/>
      <c r="C266" s="12"/>
      <c r="D266" s="12"/>
      <c r="E266" s="12"/>
      <c r="F266" s="12"/>
      <c r="G266" s="12"/>
      <c r="H266" s="12"/>
      <c r="I266" s="12"/>
      <c r="J266" s="333"/>
    </row>
    <row r="267" spans="2:10" s="56" customFormat="1" ht="16.5">
      <c r="B267" s="12"/>
      <c r="C267" s="12"/>
      <c r="D267" s="12"/>
      <c r="E267" s="12"/>
      <c r="F267" s="12"/>
      <c r="G267" s="12"/>
      <c r="H267" s="12"/>
      <c r="I267" s="12"/>
      <c r="J267" s="333"/>
    </row>
    <row r="268" spans="2:10" s="56" customFormat="1" ht="16.5">
      <c r="B268" s="12"/>
      <c r="C268" s="12"/>
      <c r="D268" s="12"/>
      <c r="E268" s="12"/>
      <c r="F268" s="12"/>
      <c r="G268" s="12"/>
      <c r="H268" s="12"/>
      <c r="I268" s="12"/>
      <c r="J268" s="333"/>
    </row>
    <row r="269" spans="2:10" s="56" customFormat="1" ht="16.5">
      <c r="B269" s="12"/>
      <c r="C269" s="12"/>
      <c r="D269" s="12"/>
      <c r="E269" s="12"/>
      <c r="F269" s="12"/>
      <c r="G269" s="12"/>
      <c r="H269" s="12"/>
      <c r="I269" s="12"/>
      <c r="J269" s="333"/>
    </row>
    <row r="270" spans="2:10" s="56" customFormat="1" ht="16.5">
      <c r="B270" s="12"/>
      <c r="C270" s="12"/>
      <c r="D270" s="12"/>
      <c r="E270" s="12"/>
      <c r="F270" s="12"/>
      <c r="G270" s="12"/>
      <c r="H270" s="12"/>
      <c r="I270" s="12"/>
      <c r="J270" s="333"/>
    </row>
    <row r="271" spans="2:10" s="56" customFormat="1" ht="16.5">
      <c r="B271" s="12"/>
      <c r="C271" s="12"/>
      <c r="D271" s="12"/>
      <c r="E271" s="12"/>
      <c r="F271" s="12"/>
      <c r="G271" s="12"/>
      <c r="H271" s="12"/>
      <c r="I271" s="12"/>
      <c r="J271" s="333"/>
    </row>
    <row r="272" spans="2:10" s="56" customFormat="1" ht="16.5">
      <c r="B272" s="12"/>
      <c r="C272" s="12"/>
      <c r="D272" s="12"/>
      <c r="E272" s="12"/>
      <c r="F272" s="12"/>
      <c r="G272" s="12"/>
      <c r="H272" s="12"/>
      <c r="I272" s="12"/>
      <c r="J272" s="333"/>
    </row>
    <row r="273" spans="2:10" s="56" customFormat="1" ht="16.5">
      <c r="B273" s="12"/>
      <c r="C273" s="12"/>
      <c r="D273" s="12"/>
      <c r="E273" s="12"/>
      <c r="F273" s="12"/>
      <c r="G273" s="12"/>
      <c r="H273" s="12"/>
      <c r="I273" s="12"/>
      <c r="J273" s="333"/>
    </row>
    <row r="274" spans="2:10" s="56" customFormat="1" ht="16.5">
      <c r="B274" s="12"/>
      <c r="C274" s="12"/>
      <c r="D274" s="12"/>
      <c r="E274" s="12"/>
      <c r="F274" s="12"/>
      <c r="G274" s="12"/>
      <c r="H274" s="12"/>
      <c r="I274" s="12"/>
      <c r="J274" s="333"/>
    </row>
    <row r="275" spans="2:10" s="56" customFormat="1" ht="16.5">
      <c r="B275" s="12"/>
      <c r="C275" s="12"/>
      <c r="D275" s="12"/>
      <c r="E275" s="12"/>
      <c r="F275" s="12"/>
      <c r="G275" s="12"/>
      <c r="H275" s="12"/>
      <c r="I275" s="12"/>
      <c r="J275" s="333"/>
    </row>
    <row r="276" spans="2:10" s="56" customFormat="1" ht="16.5">
      <c r="B276" s="12"/>
      <c r="C276" s="12"/>
      <c r="D276" s="12"/>
      <c r="E276" s="12"/>
      <c r="F276" s="12"/>
      <c r="G276" s="12"/>
      <c r="H276" s="12"/>
      <c r="I276" s="12"/>
      <c r="J276" s="333"/>
    </row>
    <row r="277" spans="2:10" s="56" customFormat="1" ht="16.5">
      <c r="B277" s="12"/>
      <c r="C277" s="12"/>
      <c r="D277" s="12"/>
      <c r="E277" s="12"/>
      <c r="F277" s="12"/>
      <c r="G277" s="12"/>
      <c r="H277" s="12"/>
      <c r="I277" s="12"/>
      <c r="J277" s="333"/>
    </row>
    <row r="278" spans="2:10" s="56" customFormat="1" ht="16.5">
      <c r="B278" s="12"/>
      <c r="C278" s="12"/>
      <c r="D278" s="12"/>
      <c r="E278" s="12"/>
      <c r="F278" s="12"/>
      <c r="G278" s="12"/>
      <c r="H278" s="12"/>
      <c r="I278" s="12"/>
      <c r="J278" s="333"/>
    </row>
    <row r="279" spans="2:10" s="56" customFormat="1" ht="16.5">
      <c r="B279" s="12"/>
      <c r="C279" s="12"/>
      <c r="D279" s="12"/>
      <c r="E279" s="12"/>
      <c r="F279" s="12"/>
      <c r="G279" s="12"/>
      <c r="H279" s="12"/>
      <c r="I279" s="12"/>
      <c r="J279" s="333"/>
    </row>
    <row r="280" spans="2:10" s="56" customFormat="1" ht="16.5">
      <c r="B280" s="12"/>
      <c r="C280" s="12"/>
      <c r="D280" s="12"/>
      <c r="E280" s="12"/>
      <c r="F280" s="12"/>
      <c r="G280" s="12"/>
      <c r="H280" s="12"/>
      <c r="I280" s="12"/>
      <c r="J280" s="333"/>
    </row>
    <row r="281" spans="2:10" s="56" customFormat="1" ht="16.5">
      <c r="B281" s="12"/>
      <c r="C281" s="12"/>
      <c r="D281" s="12"/>
      <c r="E281" s="12"/>
      <c r="F281" s="12"/>
      <c r="G281" s="12"/>
      <c r="H281" s="12"/>
      <c r="I281" s="12"/>
      <c r="J281" s="333"/>
    </row>
    <row r="282" spans="2:10" s="56" customFormat="1" ht="16.5">
      <c r="B282" s="12"/>
      <c r="C282" s="12"/>
      <c r="D282" s="12"/>
      <c r="E282" s="12"/>
      <c r="F282" s="12"/>
      <c r="G282" s="12"/>
      <c r="H282" s="12"/>
      <c r="I282" s="12"/>
      <c r="J282" s="333"/>
    </row>
    <row r="283" spans="2:10" s="56" customFormat="1" ht="16.5">
      <c r="B283" s="12"/>
      <c r="C283" s="12"/>
      <c r="D283" s="12"/>
      <c r="E283" s="12"/>
      <c r="F283" s="12"/>
      <c r="G283" s="12"/>
      <c r="H283" s="12"/>
      <c r="I283" s="12"/>
      <c r="J283" s="333"/>
    </row>
    <row r="284" spans="2:10" s="56" customFormat="1" ht="16.5">
      <c r="B284" s="12"/>
      <c r="C284" s="12"/>
      <c r="D284" s="12"/>
      <c r="E284" s="12"/>
      <c r="F284" s="12"/>
      <c r="G284" s="12"/>
      <c r="H284" s="12"/>
      <c r="I284" s="12"/>
      <c r="J284" s="333"/>
    </row>
    <row r="285" spans="2:10" s="56" customFormat="1" ht="16.5">
      <c r="B285" s="12"/>
      <c r="C285" s="12"/>
      <c r="D285" s="12"/>
      <c r="E285" s="12"/>
      <c r="F285" s="12"/>
      <c r="G285" s="12"/>
      <c r="H285" s="12"/>
      <c r="I285" s="12"/>
      <c r="J285" s="333"/>
    </row>
    <row r="286" spans="2:10" s="56" customFormat="1" ht="16.5">
      <c r="B286" s="12"/>
      <c r="C286" s="12"/>
      <c r="D286" s="12"/>
      <c r="E286" s="12"/>
      <c r="F286" s="12"/>
      <c r="G286" s="12"/>
      <c r="H286" s="12"/>
      <c r="I286" s="12"/>
      <c r="J286" s="333"/>
    </row>
    <row r="287" spans="2:10" s="56" customFormat="1" ht="16.5">
      <c r="B287" s="12"/>
      <c r="C287" s="12"/>
      <c r="D287" s="12"/>
      <c r="E287" s="12"/>
      <c r="F287" s="12"/>
      <c r="G287" s="12"/>
      <c r="H287" s="12"/>
      <c r="I287" s="12"/>
      <c r="J287" s="333"/>
    </row>
    <row r="288" spans="2:10" s="56" customFormat="1" ht="16.5">
      <c r="B288" s="12"/>
      <c r="C288" s="12"/>
      <c r="D288" s="12"/>
      <c r="E288" s="12"/>
      <c r="F288" s="12"/>
      <c r="G288" s="12"/>
      <c r="H288" s="12"/>
      <c r="I288" s="12"/>
      <c r="J288" s="333"/>
    </row>
    <row r="289" spans="2:10" s="56" customFormat="1" ht="16.5">
      <c r="B289" s="12"/>
      <c r="C289" s="12"/>
      <c r="D289" s="12"/>
      <c r="E289" s="12"/>
      <c r="F289" s="12"/>
      <c r="G289" s="12"/>
      <c r="H289" s="12"/>
      <c r="I289" s="12"/>
      <c r="J289" s="333"/>
    </row>
    <row r="290" spans="2:10" s="56" customFormat="1" ht="16.5">
      <c r="B290" s="12"/>
      <c r="C290" s="12"/>
      <c r="D290" s="12"/>
      <c r="E290" s="12"/>
      <c r="F290" s="12"/>
      <c r="G290" s="12"/>
      <c r="H290" s="12"/>
      <c r="I290" s="12"/>
      <c r="J290" s="333"/>
    </row>
    <row r="291" spans="2:10" s="56" customFormat="1" ht="16.5">
      <c r="B291" s="12"/>
      <c r="C291" s="12"/>
      <c r="D291" s="12"/>
      <c r="E291" s="12"/>
      <c r="F291" s="12"/>
      <c r="G291" s="12"/>
      <c r="H291" s="12"/>
      <c r="I291" s="12"/>
      <c r="J291" s="333"/>
    </row>
    <row r="292" spans="2:10" s="56" customFormat="1" ht="16.5">
      <c r="B292" s="12"/>
      <c r="C292" s="12"/>
      <c r="D292" s="12"/>
      <c r="E292" s="12"/>
      <c r="F292" s="12"/>
      <c r="G292" s="12"/>
      <c r="H292" s="12"/>
      <c r="I292" s="12"/>
      <c r="J292" s="333"/>
    </row>
    <row r="293" spans="2:10" s="56" customFormat="1" ht="16.5">
      <c r="B293" s="12"/>
      <c r="C293" s="12"/>
      <c r="D293" s="12"/>
      <c r="E293" s="12"/>
      <c r="F293" s="12"/>
      <c r="G293" s="12"/>
      <c r="H293" s="12"/>
      <c r="I293" s="12"/>
      <c r="J293" s="333"/>
    </row>
    <row r="294" spans="2:10" s="56" customFormat="1" ht="16.5">
      <c r="B294" s="12"/>
      <c r="C294" s="12"/>
      <c r="D294" s="12"/>
      <c r="E294" s="12"/>
      <c r="F294" s="12"/>
      <c r="G294" s="12"/>
      <c r="H294" s="12"/>
      <c r="I294" s="12"/>
      <c r="J294" s="333"/>
    </row>
    <row r="295" spans="2:10" s="56" customFormat="1" ht="16.5">
      <c r="B295" s="12"/>
      <c r="C295" s="12"/>
      <c r="D295" s="12"/>
      <c r="E295" s="12"/>
      <c r="F295" s="12"/>
      <c r="G295" s="12"/>
      <c r="H295" s="12"/>
      <c r="I295" s="12"/>
      <c r="J295" s="333"/>
    </row>
    <row r="296" spans="2:10" s="56" customFormat="1" ht="16.5">
      <c r="B296" s="12"/>
      <c r="C296" s="12"/>
      <c r="D296" s="12"/>
      <c r="E296" s="12"/>
      <c r="F296" s="12"/>
      <c r="G296" s="12"/>
      <c r="H296" s="12"/>
      <c r="I296" s="12"/>
      <c r="J296" s="333"/>
    </row>
    <row r="297" spans="2:10" s="56" customFormat="1" ht="16.5">
      <c r="B297" s="12"/>
      <c r="C297" s="12"/>
      <c r="D297" s="12"/>
      <c r="E297" s="12"/>
      <c r="F297" s="12"/>
      <c r="G297" s="12"/>
      <c r="H297" s="12"/>
      <c r="I297" s="12"/>
      <c r="J297" s="333"/>
    </row>
    <row r="298" spans="2:10" s="56" customFormat="1" ht="16.5">
      <c r="B298" s="12"/>
      <c r="C298" s="12"/>
      <c r="D298" s="12"/>
      <c r="E298" s="12"/>
      <c r="F298" s="12"/>
      <c r="G298" s="12"/>
      <c r="H298" s="12"/>
      <c r="I298" s="12"/>
      <c r="J298" s="333"/>
    </row>
    <row r="299" spans="2:10" s="56" customFormat="1" ht="16.5">
      <c r="B299" s="12"/>
      <c r="C299" s="12"/>
      <c r="D299" s="12"/>
      <c r="E299" s="12"/>
      <c r="F299" s="12"/>
      <c r="G299" s="12"/>
      <c r="H299" s="12"/>
      <c r="I299" s="12"/>
      <c r="J299" s="333"/>
    </row>
    <row r="300" spans="2:10" s="56" customFormat="1" ht="16.5">
      <c r="B300" s="12"/>
      <c r="C300" s="12"/>
      <c r="D300" s="12"/>
      <c r="E300" s="12"/>
      <c r="F300" s="12"/>
      <c r="G300" s="12"/>
      <c r="H300" s="12"/>
      <c r="I300" s="12"/>
      <c r="J300" s="333"/>
    </row>
    <row r="301" spans="2:10" s="56" customFormat="1" ht="16.5">
      <c r="B301" s="12"/>
      <c r="C301" s="12"/>
      <c r="D301" s="12"/>
      <c r="E301" s="12"/>
      <c r="F301" s="12"/>
      <c r="G301" s="12"/>
      <c r="H301" s="12"/>
      <c r="I301" s="12"/>
      <c r="J301" s="333"/>
    </row>
    <row r="302" spans="2:10" s="56" customFormat="1" ht="16.5">
      <c r="B302" s="12"/>
      <c r="C302" s="12"/>
      <c r="D302" s="12"/>
      <c r="E302" s="12"/>
      <c r="F302" s="12"/>
      <c r="G302" s="12"/>
      <c r="H302" s="12"/>
      <c r="I302" s="12"/>
      <c r="J302" s="333"/>
    </row>
    <row r="303" spans="2:10" s="56" customFormat="1" ht="16.5">
      <c r="B303" s="12"/>
      <c r="C303" s="12"/>
      <c r="D303" s="12"/>
      <c r="E303" s="12"/>
      <c r="F303" s="12"/>
      <c r="G303" s="12"/>
      <c r="H303" s="12"/>
      <c r="I303" s="12"/>
      <c r="J303" s="333"/>
    </row>
    <row r="304" spans="2:10" s="56" customFormat="1" ht="16.5">
      <c r="B304" s="12"/>
      <c r="C304" s="12"/>
      <c r="D304" s="12"/>
      <c r="E304" s="12"/>
      <c r="F304" s="12"/>
      <c r="G304" s="12"/>
      <c r="H304" s="12"/>
      <c r="I304" s="12"/>
      <c r="J304" s="333"/>
    </row>
    <row r="305" spans="2:10" s="56" customFormat="1" ht="16.5">
      <c r="B305" s="12"/>
      <c r="C305" s="12"/>
      <c r="D305" s="12"/>
      <c r="E305" s="12"/>
      <c r="F305" s="12"/>
      <c r="G305" s="12"/>
      <c r="H305" s="12"/>
      <c r="I305" s="12"/>
      <c r="J305" s="333"/>
    </row>
    <row r="306" spans="2:10" s="56" customFormat="1" ht="16.5">
      <c r="B306" s="12"/>
      <c r="C306" s="12"/>
      <c r="D306" s="12"/>
      <c r="E306" s="12"/>
      <c r="F306" s="12"/>
      <c r="G306" s="12"/>
      <c r="H306" s="12"/>
      <c r="I306" s="12"/>
      <c r="J306" s="333"/>
    </row>
    <row r="307" spans="2:10" s="56" customFormat="1" ht="16.5">
      <c r="B307" s="12"/>
      <c r="C307" s="12"/>
      <c r="D307" s="12"/>
      <c r="E307" s="12"/>
      <c r="F307" s="12"/>
      <c r="G307" s="12"/>
      <c r="H307" s="12"/>
      <c r="I307" s="12"/>
      <c r="J307" s="333"/>
    </row>
    <row r="308" spans="2:10" s="56" customFormat="1" ht="16.5">
      <c r="B308" s="12"/>
      <c r="C308" s="12"/>
      <c r="D308" s="12"/>
      <c r="E308" s="12"/>
      <c r="F308" s="12"/>
      <c r="G308" s="12"/>
      <c r="H308" s="12"/>
      <c r="I308" s="12"/>
      <c r="J308" s="333"/>
    </row>
    <row r="309" spans="2:10" s="56" customFormat="1" ht="16.5">
      <c r="B309" s="12"/>
      <c r="C309" s="12"/>
      <c r="D309" s="12"/>
      <c r="E309" s="12"/>
      <c r="F309" s="12"/>
      <c r="G309" s="12"/>
      <c r="H309" s="12"/>
      <c r="I309" s="12"/>
      <c r="J309" s="333"/>
    </row>
    <row r="310" spans="2:10" s="56" customFormat="1" ht="16.5">
      <c r="B310" s="12"/>
      <c r="C310" s="12"/>
      <c r="D310" s="12"/>
      <c r="E310" s="12"/>
      <c r="F310" s="12"/>
      <c r="G310" s="12"/>
      <c r="H310" s="12"/>
      <c r="I310" s="12"/>
      <c r="J310" s="333"/>
    </row>
    <row r="311" spans="2:10" s="56" customFormat="1" ht="16.5">
      <c r="B311" s="12"/>
      <c r="C311" s="12"/>
      <c r="D311" s="12"/>
      <c r="E311" s="12"/>
      <c r="F311" s="12"/>
      <c r="G311" s="12"/>
      <c r="H311" s="12"/>
      <c r="I311" s="12"/>
      <c r="J311" s="333"/>
    </row>
    <row r="312" spans="2:10" s="56" customFormat="1" ht="16.5">
      <c r="B312" s="12"/>
      <c r="C312" s="12"/>
      <c r="D312" s="12"/>
      <c r="E312" s="12"/>
      <c r="F312" s="12"/>
      <c r="G312" s="12"/>
      <c r="H312" s="12"/>
      <c r="I312" s="12"/>
      <c r="J312" s="333"/>
    </row>
    <row r="313" spans="2:10" s="56" customFormat="1" ht="16.5">
      <c r="B313" s="12"/>
      <c r="C313" s="12"/>
      <c r="D313" s="12"/>
      <c r="E313" s="12"/>
      <c r="F313" s="12"/>
      <c r="G313" s="12"/>
      <c r="H313" s="12"/>
      <c r="I313" s="12"/>
      <c r="J313" s="333"/>
    </row>
    <row r="314" spans="2:10" s="56" customFormat="1" ht="16.5">
      <c r="B314" s="12"/>
      <c r="C314" s="12"/>
      <c r="D314" s="12"/>
      <c r="E314" s="12"/>
      <c r="F314" s="12"/>
      <c r="G314" s="12"/>
      <c r="H314" s="12"/>
      <c r="I314" s="12"/>
      <c r="J314" s="333"/>
    </row>
    <row r="315" spans="2:10" s="56" customFormat="1" ht="16.5">
      <c r="B315" s="12"/>
      <c r="C315" s="12"/>
      <c r="D315" s="12"/>
      <c r="E315" s="12"/>
      <c r="F315" s="12"/>
      <c r="G315" s="12"/>
      <c r="H315" s="12"/>
      <c r="I315" s="12"/>
      <c r="J315" s="333"/>
    </row>
    <row r="316" spans="2:10" s="56" customFormat="1" ht="16.5">
      <c r="B316" s="12"/>
      <c r="C316" s="12"/>
      <c r="D316" s="12"/>
      <c r="E316" s="12"/>
      <c r="F316" s="12"/>
      <c r="G316" s="12"/>
      <c r="H316" s="12"/>
      <c r="I316" s="12"/>
      <c r="J316" s="333"/>
    </row>
    <row r="317" spans="2:10" s="56" customFormat="1" ht="16.5">
      <c r="B317" s="12"/>
      <c r="C317" s="12"/>
      <c r="D317" s="12"/>
      <c r="E317" s="12"/>
      <c r="F317" s="12"/>
      <c r="G317" s="12"/>
      <c r="H317" s="12"/>
      <c r="I317" s="12"/>
      <c r="J317" s="333"/>
    </row>
    <row r="318" spans="2:10" s="56" customFormat="1" ht="16.5">
      <c r="B318" s="12"/>
      <c r="C318" s="12"/>
      <c r="D318" s="12"/>
      <c r="E318" s="12"/>
      <c r="F318" s="12"/>
      <c r="G318" s="12"/>
      <c r="H318" s="12"/>
      <c r="I318" s="12"/>
      <c r="J318" s="333"/>
    </row>
    <row r="319" spans="2:10" s="56" customFormat="1" ht="16.5">
      <c r="B319" s="12"/>
      <c r="C319" s="12"/>
      <c r="D319" s="12"/>
      <c r="E319" s="12"/>
      <c r="F319" s="12"/>
      <c r="G319" s="12"/>
      <c r="H319" s="12"/>
      <c r="I319" s="12"/>
      <c r="J319" s="333"/>
    </row>
    <row r="320" spans="2:10" s="56" customFormat="1" ht="16.5">
      <c r="B320" s="12"/>
      <c r="C320" s="12"/>
      <c r="D320" s="12"/>
      <c r="E320" s="12"/>
      <c r="F320" s="12"/>
      <c r="G320" s="12"/>
      <c r="H320" s="12"/>
      <c r="I320" s="12"/>
      <c r="J320" s="333"/>
    </row>
    <row r="321" spans="2:10" s="56" customFormat="1" ht="16.5">
      <c r="B321" s="12"/>
      <c r="C321" s="12"/>
      <c r="D321" s="12"/>
      <c r="E321" s="12"/>
      <c r="F321" s="12"/>
      <c r="G321" s="12"/>
      <c r="H321" s="12"/>
      <c r="I321" s="12"/>
      <c r="J321" s="333"/>
    </row>
    <row r="322" spans="2:10" s="56" customFormat="1" ht="16.5">
      <c r="B322" s="12"/>
      <c r="C322" s="12"/>
      <c r="D322" s="12"/>
      <c r="E322" s="12"/>
      <c r="F322" s="12"/>
      <c r="G322" s="12"/>
      <c r="H322" s="12"/>
      <c r="I322" s="12"/>
      <c r="J322" s="333"/>
    </row>
    <row r="323" spans="2:10" s="56" customFormat="1" ht="16.5">
      <c r="B323" s="12"/>
      <c r="C323" s="12"/>
      <c r="D323" s="12"/>
      <c r="E323" s="12"/>
      <c r="F323" s="12"/>
      <c r="G323" s="12"/>
      <c r="H323" s="12"/>
      <c r="I323" s="12"/>
      <c r="J323" s="333"/>
    </row>
    <row r="324" spans="2:10" s="56" customFormat="1" ht="16.5">
      <c r="B324" s="12"/>
      <c r="C324" s="12"/>
      <c r="D324" s="12"/>
      <c r="E324" s="12"/>
      <c r="F324" s="12"/>
      <c r="G324" s="12"/>
      <c r="H324" s="12"/>
      <c r="I324" s="12"/>
      <c r="J324" s="333"/>
    </row>
    <row r="325" spans="2:10" s="56" customFormat="1" ht="16.5">
      <c r="B325" s="12"/>
      <c r="C325" s="12"/>
      <c r="D325" s="12"/>
      <c r="E325" s="12"/>
      <c r="F325" s="12"/>
      <c r="G325" s="12"/>
      <c r="H325" s="12"/>
      <c r="I325" s="12"/>
      <c r="J325" s="333"/>
    </row>
    <row r="326" spans="2:10" s="56" customFormat="1" ht="16.5">
      <c r="B326" s="12"/>
      <c r="C326" s="12"/>
      <c r="D326" s="12"/>
      <c r="E326" s="12"/>
      <c r="F326" s="12"/>
      <c r="G326" s="12"/>
      <c r="H326" s="12"/>
      <c r="I326" s="12"/>
      <c r="J326" s="333"/>
    </row>
    <row r="327" spans="2:10" s="56" customFormat="1" ht="16.5">
      <c r="B327" s="12"/>
      <c r="C327" s="12"/>
      <c r="D327" s="12"/>
      <c r="E327" s="12"/>
      <c r="F327" s="12"/>
      <c r="G327" s="12"/>
      <c r="H327" s="12"/>
      <c r="I327" s="12"/>
      <c r="J327" s="333"/>
    </row>
    <row r="328" spans="2:10" s="56" customFormat="1" ht="16.5">
      <c r="B328" s="12"/>
      <c r="C328" s="12"/>
      <c r="D328" s="12"/>
      <c r="E328" s="12"/>
      <c r="F328" s="12"/>
      <c r="G328" s="12"/>
      <c r="H328" s="12"/>
      <c r="I328" s="12"/>
      <c r="J328" s="333"/>
    </row>
    <row r="329" spans="2:10" s="56" customFormat="1" ht="16.5">
      <c r="B329" s="12"/>
      <c r="C329" s="12"/>
      <c r="D329" s="12"/>
      <c r="E329" s="12"/>
      <c r="F329" s="12"/>
      <c r="G329" s="12"/>
      <c r="H329" s="12"/>
      <c r="I329" s="12"/>
      <c r="J329" s="333"/>
    </row>
    <row r="330" spans="2:10" s="56" customFormat="1" ht="16.5">
      <c r="B330" s="12"/>
      <c r="C330" s="12"/>
      <c r="D330" s="12"/>
      <c r="E330" s="12"/>
      <c r="F330" s="12"/>
      <c r="G330" s="12"/>
      <c r="H330" s="12"/>
      <c r="I330" s="12"/>
      <c r="J330" s="333"/>
    </row>
    <row r="331" spans="2:10" s="56" customFormat="1" ht="16.5">
      <c r="B331" s="12"/>
      <c r="C331" s="12"/>
      <c r="D331" s="12"/>
      <c r="E331" s="12"/>
      <c r="F331" s="12"/>
      <c r="G331" s="12"/>
      <c r="H331" s="12"/>
      <c r="I331" s="12"/>
      <c r="J331" s="333"/>
    </row>
    <row r="332" spans="2:10" s="56" customFormat="1" ht="16.5">
      <c r="B332" s="12"/>
      <c r="C332" s="12"/>
      <c r="D332" s="12"/>
      <c r="E332" s="12"/>
      <c r="F332" s="12"/>
      <c r="G332" s="12"/>
      <c r="H332" s="12"/>
      <c r="I332" s="12"/>
      <c r="J332" s="333"/>
    </row>
    <row r="333" spans="2:10" s="56" customFormat="1" ht="16.5">
      <c r="B333" s="12"/>
      <c r="C333" s="12"/>
      <c r="D333" s="12"/>
      <c r="E333" s="12"/>
      <c r="F333" s="12"/>
      <c r="G333" s="12"/>
      <c r="H333" s="12"/>
      <c r="I333" s="12"/>
      <c r="J333" s="333"/>
    </row>
    <row r="334" spans="2:10" s="56" customFormat="1" ht="16.5">
      <c r="B334" s="12"/>
      <c r="C334" s="12"/>
      <c r="D334" s="12"/>
      <c r="E334" s="12"/>
      <c r="F334" s="12"/>
      <c r="G334" s="12"/>
      <c r="H334" s="12"/>
      <c r="I334" s="12"/>
      <c r="J334" s="333"/>
    </row>
    <row r="335" spans="2:10" s="56" customFormat="1" ht="16.5">
      <c r="B335" s="12"/>
      <c r="C335" s="12"/>
      <c r="D335" s="12"/>
      <c r="E335" s="12"/>
      <c r="F335" s="12"/>
      <c r="G335" s="12"/>
      <c r="H335" s="12"/>
      <c r="I335" s="12"/>
      <c r="J335" s="333"/>
    </row>
    <row r="336" spans="2:10" s="56" customFormat="1" ht="16.5">
      <c r="B336" s="12"/>
      <c r="C336" s="12"/>
      <c r="D336" s="12"/>
      <c r="E336" s="12"/>
      <c r="F336" s="12"/>
      <c r="G336" s="12"/>
      <c r="H336" s="12"/>
      <c r="I336" s="12"/>
      <c r="J336" s="333"/>
    </row>
    <row r="337" spans="2:10" s="56" customFormat="1" ht="16.5">
      <c r="B337" s="12"/>
      <c r="C337" s="12"/>
      <c r="D337" s="12"/>
      <c r="E337" s="12"/>
      <c r="F337" s="12"/>
      <c r="G337" s="12"/>
      <c r="H337" s="12"/>
      <c r="I337" s="12"/>
      <c r="J337" s="333"/>
    </row>
    <row r="338" spans="2:10" s="56" customFormat="1" ht="16.5">
      <c r="B338" s="12"/>
      <c r="C338" s="12"/>
      <c r="D338" s="12"/>
      <c r="E338" s="12"/>
      <c r="F338" s="12"/>
      <c r="G338" s="12"/>
      <c r="H338" s="12"/>
      <c r="I338" s="12"/>
      <c r="J338" s="333"/>
    </row>
    <row r="339" spans="2:10" s="56" customFormat="1" ht="16.5">
      <c r="B339" s="12"/>
      <c r="C339" s="12"/>
      <c r="D339" s="12"/>
      <c r="E339" s="12"/>
      <c r="F339" s="12"/>
      <c r="G339" s="12"/>
      <c r="H339" s="12"/>
      <c r="I339" s="12"/>
      <c r="J339" s="333"/>
    </row>
    <row r="340" spans="2:10" s="56" customFormat="1" ht="16.5">
      <c r="B340" s="12"/>
      <c r="C340" s="12"/>
      <c r="D340" s="12"/>
      <c r="E340" s="12"/>
      <c r="F340" s="12"/>
      <c r="G340" s="12"/>
      <c r="H340" s="12"/>
      <c r="I340" s="12"/>
      <c r="J340" s="333"/>
    </row>
    <row r="341" spans="2:10" s="56" customFormat="1" ht="16.5">
      <c r="B341" s="12"/>
      <c r="C341" s="12"/>
      <c r="D341" s="12"/>
      <c r="E341" s="12"/>
      <c r="F341" s="12"/>
      <c r="G341" s="12"/>
      <c r="H341" s="12"/>
      <c r="I341" s="12"/>
      <c r="J341" s="333"/>
    </row>
    <row r="342" spans="2:10" s="56" customFormat="1" ht="16.5">
      <c r="B342" s="12"/>
      <c r="C342" s="12"/>
      <c r="D342" s="12"/>
      <c r="E342" s="12"/>
      <c r="F342" s="12"/>
      <c r="G342" s="12"/>
      <c r="H342" s="12"/>
      <c r="I342" s="12"/>
      <c r="J342" s="333"/>
    </row>
    <row r="343" spans="2:10" s="56" customFormat="1" ht="16.5">
      <c r="B343" s="12"/>
      <c r="C343" s="12"/>
      <c r="D343" s="12"/>
      <c r="E343" s="12"/>
      <c r="F343" s="12"/>
      <c r="G343" s="12"/>
      <c r="H343" s="12"/>
      <c r="I343" s="12"/>
      <c r="J343" s="333"/>
    </row>
    <row r="344" spans="2:10" s="56" customFormat="1" ht="16.5">
      <c r="B344" s="12"/>
      <c r="C344" s="12"/>
      <c r="D344" s="12"/>
      <c r="E344" s="12"/>
      <c r="F344" s="12"/>
      <c r="G344" s="12"/>
      <c r="H344" s="12"/>
      <c r="I344" s="12"/>
      <c r="J344" s="333"/>
    </row>
    <row r="345" spans="2:10" s="56" customFormat="1" ht="16.5">
      <c r="B345" s="12"/>
      <c r="C345" s="12"/>
      <c r="D345" s="12"/>
      <c r="E345" s="12"/>
      <c r="F345" s="12"/>
      <c r="G345" s="12"/>
      <c r="H345" s="12"/>
      <c r="I345" s="12"/>
      <c r="J345" s="333"/>
    </row>
    <row r="346" spans="2:10" s="56" customFormat="1" ht="16.5">
      <c r="B346" s="12"/>
      <c r="C346" s="12"/>
      <c r="D346" s="12"/>
      <c r="E346" s="12"/>
      <c r="F346" s="12"/>
      <c r="G346" s="12"/>
      <c r="H346" s="12"/>
      <c r="I346" s="12"/>
      <c r="J346" s="333"/>
    </row>
    <row r="347" spans="2:10" s="56" customFormat="1" ht="16.5">
      <c r="B347" s="12"/>
      <c r="C347" s="12"/>
      <c r="D347" s="12"/>
      <c r="E347" s="12"/>
      <c r="F347" s="12"/>
      <c r="G347" s="12"/>
      <c r="H347" s="12"/>
      <c r="I347" s="12"/>
      <c r="J347" s="333"/>
    </row>
    <row r="348" spans="2:10" s="56" customFormat="1" ht="16.5">
      <c r="B348" s="12"/>
      <c r="C348" s="12"/>
      <c r="D348" s="12"/>
      <c r="E348" s="12"/>
      <c r="F348" s="12"/>
      <c r="G348" s="12"/>
      <c r="H348" s="12"/>
      <c r="I348" s="12"/>
      <c r="J348" s="333"/>
    </row>
    <row r="349" spans="2:10" s="56" customFormat="1" ht="16.5">
      <c r="B349" s="12"/>
      <c r="C349" s="12"/>
      <c r="D349" s="12"/>
      <c r="E349" s="12"/>
      <c r="F349" s="12"/>
      <c r="G349" s="12"/>
      <c r="H349" s="12"/>
      <c r="I349" s="12"/>
      <c r="J349" s="333"/>
    </row>
    <row r="350" spans="2:10" s="56" customFormat="1" ht="16.5">
      <c r="B350" s="12"/>
      <c r="C350" s="12"/>
      <c r="D350" s="12"/>
      <c r="E350" s="12"/>
      <c r="F350" s="12"/>
      <c r="G350" s="12"/>
      <c r="H350" s="12"/>
      <c r="I350" s="12"/>
      <c r="J350" s="333"/>
    </row>
    <row r="351" spans="2:10" s="56" customFormat="1" ht="16.5">
      <c r="B351" s="12"/>
      <c r="C351" s="12"/>
      <c r="D351" s="12"/>
      <c r="E351" s="12"/>
      <c r="F351" s="12"/>
      <c r="G351" s="12"/>
      <c r="H351" s="12"/>
      <c r="I351" s="12"/>
      <c r="J351" s="333"/>
    </row>
    <row r="352" spans="2:10" s="56" customFormat="1" ht="16.5">
      <c r="B352" s="12"/>
      <c r="C352" s="12"/>
      <c r="D352" s="12"/>
      <c r="E352" s="12"/>
      <c r="F352" s="12"/>
      <c r="G352" s="12"/>
      <c r="H352" s="12"/>
      <c r="I352" s="12"/>
      <c r="J352" s="333"/>
    </row>
    <row r="353" spans="2:10" s="56" customFormat="1" ht="16.5">
      <c r="B353" s="12"/>
      <c r="C353" s="12"/>
      <c r="D353" s="12"/>
      <c r="E353" s="12"/>
      <c r="F353" s="12"/>
      <c r="G353" s="12"/>
      <c r="H353" s="12"/>
      <c r="I353" s="12"/>
      <c r="J353" s="333"/>
    </row>
    <row r="354" spans="2:10" s="56" customFormat="1" ht="16.5">
      <c r="B354" s="12"/>
      <c r="C354" s="12"/>
      <c r="D354" s="12"/>
      <c r="E354" s="12"/>
      <c r="F354" s="12"/>
      <c r="G354" s="12"/>
      <c r="H354" s="12"/>
      <c r="I354" s="12"/>
      <c r="J354" s="333"/>
    </row>
    <row r="355" spans="2:10" s="56" customFormat="1" ht="16.5">
      <c r="B355" s="12"/>
      <c r="C355" s="12"/>
      <c r="D355" s="12"/>
      <c r="E355" s="12"/>
      <c r="F355" s="12"/>
      <c r="G355" s="12"/>
      <c r="H355" s="12"/>
      <c r="I355" s="12"/>
      <c r="J355" s="333"/>
    </row>
    <row r="356" spans="2:10" s="56" customFormat="1" ht="16.5">
      <c r="B356" s="12"/>
      <c r="C356" s="12"/>
      <c r="D356" s="12"/>
      <c r="E356" s="12"/>
      <c r="F356" s="12"/>
      <c r="G356" s="12"/>
      <c r="H356" s="12"/>
      <c r="I356" s="12"/>
      <c r="J356" s="333"/>
    </row>
    <row r="357" spans="2:10" s="56" customFormat="1" ht="16.5">
      <c r="B357" s="12"/>
      <c r="C357" s="12"/>
      <c r="D357" s="12"/>
      <c r="E357" s="12"/>
      <c r="F357" s="12"/>
      <c r="G357" s="12"/>
      <c r="H357" s="12"/>
      <c r="I357" s="12"/>
      <c r="J357" s="333"/>
    </row>
    <row r="358" spans="2:10" s="56" customFormat="1" ht="16.5">
      <c r="B358" s="12"/>
      <c r="C358" s="12"/>
      <c r="D358" s="12"/>
      <c r="E358" s="12"/>
      <c r="F358" s="12"/>
      <c r="G358" s="12"/>
      <c r="H358" s="12"/>
      <c r="I358" s="12"/>
      <c r="J358" s="333"/>
    </row>
    <row r="359" spans="2:10" s="56" customFormat="1" ht="16.5">
      <c r="B359" s="12"/>
      <c r="C359" s="12"/>
      <c r="D359" s="12"/>
      <c r="E359" s="12"/>
      <c r="F359" s="12"/>
      <c r="G359" s="12"/>
      <c r="H359" s="12"/>
      <c r="I359" s="12"/>
      <c r="J359" s="333"/>
    </row>
    <row r="360" spans="2:10" s="56" customFormat="1" ht="16.5">
      <c r="B360" s="12"/>
      <c r="C360" s="12"/>
      <c r="D360" s="12"/>
      <c r="E360" s="12"/>
      <c r="F360" s="12"/>
      <c r="G360" s="12"/>
      <c r="H360" s="12"/>
      <c r="I360" s="12"/>
      <c r="J360" s="333"/>
    </row>
    <row r="361" spans="2:10" s="56" customFormat="1" ht="16.5">
      <c r="B361" s="12"/>
      <c r="C361" s="12"/>
      <c r="D361" s="12"/>
      <c r="E361" s="12"/>
      <c r="F361" s="12"/>
      <c r="G361" s="12"/>
      <c r="H361" s="12"/>
      <c r="I361" s="12"/>
      <c r="J361" s="333"/>
    </row>
    <row r="362" spans="2:10" s="56" customFormat="1" ht="16.5">
      <c r="B362" s="12"/>
      <c r="C362" s="12"/>
      <c r="D362" s="12"/>
      <c r="E362" s="12"/>
      <c r="F362" s="12"/>
      <c r="G362" s="12"/>
      <c r="H362" s="12"/>
      <c r="I362" s="12"/>
      <c r="J362" s="333"/>
    </row>
    <row r="363" spans="2:10" ht="16.5"/>
    <row r="364" spans="2:10" ht="16.5"/>
    <row r="365" spans="2:10" ht="16.5"/>
    <row r="366" spans="2:10" s="56" customFormat="1" ht="16.5">
      <c r="B366" s="12"/>
      <c r="C366" s="12"/>
      <c r="D366" s="12"/>
      <c r="E366" s="12"/>
      <c r="F366" s="12"/>
      <c r="G366" s="12"/>
      <c r="H366" s="12"/>
      <c r="I366" s="12"/>
      <c r="J366" s="333"/>
    </row>
    <row r="367" spans="2:10" s="56" customFormat="1" ht="16.5">
      <c r="B367" s="12"/>
      <c r="C367" s="12"/>
      <c r="D367" s="12"/>
      <c r="E367" s="12"/>
      <c r="F367" s="12"/>
      <c r="G367" s="12"/>
      <c r="H367" s="12"/>
      <c r="I367" s="12"/>
      <c r="J367" s="333"/>
    </row>
    <row r="368" spans="2:10" s="56" customFormat="1" ht="16.5">
      <c r="B368" s="12"/>
      <c r="C368" s="12"/>
      <c r="D368" s="12"/>
      <c r="E368" s="12"/>
      <c r="F368" s="12"/>
      <c r="G368" s="12"/>
      <c r="H368" s="12"/>
      <c r="I368" s="12"/>
      <c r="J368" s="333"/>
    </row>
    <row r="369" spans="2:10" s="56" customFormat="1" ht="16.5">
      <c r="B369" s="12"/>
      <c r="C369" s="12"/>
      <c r="D369" s="12"/>
      <c r="E369" s="12"/>
      <c r="F369" s="12"/>
      <c r="G369" s="12"/>
      <c r="H369" s="12"/>
      <c r="I369" s="12"/>
      <c r="J369" s="333"/>
    </row>
    <row r="370" spans="2:10" s="56" customFormat="1" ht="16.5">
      <c r="B370" s="12"/>
      <c r="C370" s="12"/>
      <c r="D370" s="12"/>
      <c r="E370" s="12"/>
      <c r="F370" s="12"/>
      <c r="G370" s="12"/>
      <c r="H370" s="12"/>
      <c r="I370" s="12"/>
      <c r="J370" s="333"/>
    </row>
    <row r="371" spans="2:10" s="56" customFormat="1" ht="16.5">
      <c r="B371" s="12"/>
      <c r="C371" s="12"/>
      <c r="D371" s="12"/>
      <c r="E371" s="12"/>
      <c r="F371" s="12"/>
      <c r="G371" s="12"/>
      <c r="H371" s="12"/>
      <c r="I371" s="12"/>
      <c r="J371" s="333"/>
    </row>
    <row r="372" spans="2:10" s="56" customFormat="1" ht="16.5">
      <c r="B372" s="12"/>
      <c r="C372" s="12"/>
      <c r="D372" s="12"/>
      <c r="E372" s="12"/>
      <c r="F372" s="12"/>
      <c r="G372" s="12"/>
      <c r="H372" s="12"/>
      <c r="I372" s="12"/>
      <c r="J372" s="333"/>
    </row>
    <row r="373" spans="2:10" s="56" customFormat="1" ht="16.5">
      <c r="B373" s="12"/>
      <c r="C373" s="12"/>
      <c r="D373" s="12"/>
      <c r="E373" s="12"/>
      <c r="F373" s="12"/>
      <c r="G373" s="12"/>
      <c r="H373" s="12"/>
      <c r="I373" s="12"/>
      <c r="J373" s="333"/>
    </row>
    <row r="374" spans="2:10" s="56" customFormat="1" ht="16.5">
      <c r="B374" s="12"/>
      <c r="C374" s="12"/>
      <c r="D374" s="12"/>
      <c r="E374" s="12"/>
      <c r="F374" s="12"/>
      <c r="G374" s="12"/>
      <c r="H374" s="12"/>
      <c r="I374" s="12"/>
      <c r="J374" s="333"/>
    </row>
    <row r="375" spans="2:10" s="56" customFormat="1" ht="16.5">
      <c r="B375" s="12"/>
      <c r="C375" s="12"/>
      <c r="D375" s="12"/>
      <c r="E375" s="12"/>
      <c r="F375" s="12"/>
      <c r="G375" s="12"/>
      <c r="H375" s="12"/>
      <c r="I375" s="12"/>
      <c r="J375" s="333"/>
    </row>
    <row r="376" spans="2:10" s="56" customFormat="1" ht="16.5">
      <c r="B376" s="12"/>
      <c r="C376" s="12"/>
      <c r="D376" s="12"/>
      <c r="E376" s="12"/>
      <c r="F376" s="12"/>
      <c r="G376" s="12"/>
      <c r="H376" s="12"/>
      <c r="I376" s="12"/>
      <c r="J376" s="333"/>
    </row>
    <row r="377" spans="2:10" s="56" customFormat="1" ht="16.5">
      <c r="B377" s="12"/>
      <c r="C377" s="12"/>
      <c r="D377" s="12"/>
      <c r="E377" s="12"/>
      <c r="F377" s="12"/>
      <c r="G377" s="12"/>
      <c r="H377" s="12"/>
      <c r="I377" s="12"/>
      <c r="J377" s="333"/>
    </row>
    <row r="378" spans="2:10" s="56" customFormat="1" ht="16.5">
      <c r="B378" s="12"/>
      <c r="C378" s="12"/>
      <c r="D378" s="12"/>
      <c r="E378" s="12"/>
      <c r="F378" s="12"/>
      <c r="G378" s="12"/>
      <c r="H378" s="12"/>
      <c r="I378" s="12"/>
      <c r="J378" s="333"/>
    </row>
    <row r="379" spans="2:10" s="56" customFormat="1" ht="16.5">
      <c r="B379" s="12"/>
      <c r="C379" s="12"/>
      <c r="D379" s="12"/>
      <c r="E379" s="12"/>
      <c r="F379" s="12"/>
      <c r="G379" s="12"/>
      <c r="H379" s="12"/>
      <c r="I379" s="12"/>
      <c r="J379" s="333"/>
    </row>
    <row r="380" spans="2:10" s="56" customFormat="1" ht="16.5">
      <c r="B380" s="12"/>
      <c r="C380" s="12"/>
      <c r="D380" s="12"/>
      <c r="E380" s="12"/>
      <c r="F380" s="12"/>
      <c r="G380" s="12"/>
      <c r="H380" s="12"/>
      <c r="I380" s="12"/>
      <c r="J380" s="333"/>
    </row>
    <row r="381" spans="2:10" s="56" customFormat="1" ht="16.5">
      <c r="B381" s="12"/>
      <c r="C381" s="12"/>
      <c r="D381" s="12"/>
      <c r="E381" s="12"/>
      <c r="F381" s="12"/>
      <c r="G381" s="12"/>
      <c r="H381" s="12"/>
      <c r="I381" s="12"/>
      <c r="J381" s="333"/>
    </row>
    <row r="382" spans="2:10" s="56" customFormat="1" ht="16.5">
      <c r="B382" s="12"/>
      <c r="C382" s="12"/>
      <c r="D382" s="12"/>
      <c r="E382" s="12"/>
      <c r="F382" s="12"/>
      <c r="G382" s="12"/>
      <c r="H382" s="12"/>
      <c r="I382" s="12"/>
      <c r="J382" s="333"/>
    </row>
    <row r="383" spans="2:10" s="56" customFormat="1" ht="16.5">
      <c r="B383" s="12"/>
      <c r="C383" s="12"/>
      <c r="D383" s="12"/>
      <c r="E383" s="12"/>
      <c r="F383" s="12"/>
      <c r="G383" s="12"/>
      <c r="H383" s="12"/>
      <c r="I383" s="12"/>
      <c r="J383" s="333"/>
    </row>
    <row r="384" spans="2:10" s="56" customFormat="1" ht="16.5">
      <c r="B384" s="12"/>
      <c r="C384" s="12"/>
      <c r="D384" s="12"/>
      <c r="E384" s="12"/>
      <c r="F384" s="12"/>
      <c r="G384" s="12"/>
      <c r="H384" s="12"/>
      <c r="I384" s="12"/>
      <c r="J384" s="333"/>
    </row>
    <row r="385" spans="2:10" s="56" customFormat="1" ht="16.5">
      <c r="B385" s="12"/>
      <c r="C385" s="12"/>
      <c r="D385" s="12"/>
      <c r="E385" s="12"/>
      <c r="F385" s="12"/>
      <c r="G385" s="12"/>
      <c r="H385" s="12"/>
      <c r="I385" s="12"/>
      <c r="J385" s="333"/>
    </row>
    <row r="386" spans="2:10" s="56" customFormat="1" ht="16.5">
      <c r="B386" s="12"/>
      <c r="C386" s="12"/>
      <c r="D386" s="12"/>
      <c r="E386" s="12"/>
      <c r="F386" s="12"/>
      <c r="G386" s="12"/>
      <c r="H386" s="12"/>
      <c r="I386" s="12"/>
      <c r="J386" s="333"/>
    </row>
    <row r="387" spans="2:10" s="56" customFormat="1" ht="16.5">
      <c r="B387" s="12"/>
      <c r="C387" s="12"/>
      <c r="D387" s="12"/>
      <c r="E387" s="12"/>
      <c r="F387" s="12"/>
      <c r="G387" s="12"/>
      <c r="H387" s="12"/>
      <c r="I387" s="12"/>
      <c r="J387" s="333"/>
    </row>
    <row r="388" spans="2:10" s="56" customFormat="1" ht="16.5">
      <c r="B388" s="12"/>
      <c r="C388" s="12"/>
      <c r="D388" s="12"/>
      <c r="E388" s="12"/>
      <c r="F388" s="12"/>
      <c r="G388" s="12"/>
      <c r="H388" s="12"/>
      <c r="I388" s="12"/>
      <c r="J388" s="333"/>
    </row>
    <row r="389" spans="2:10" s="56" customFormat="1" ht="16.5">
      <c r="B389" s="12"/>
      <c r="C389" s="12"/>
      <c r="D389" s="12"/>
      <c r="E389" s="12"/>
      <c r="F389" s="12"/>
      <c r="G389" s="12"/>
      <c r="H389" s="12"/>
      <c r="I389" s="12"/>
      <c r="J389" s="333"/>
    </row>
    <row r="390" spans="2:10" s="56" customFormat="1" ht="16.5">
      <c r="B390" s="12"/>
      <c r="C390" s="12"/>
      <c r="D390" s="12"/>
      <c r="E390" s="12"/>
      <c r="F390" s="12"/>
      <c r="G390" s="12"/>
      <c r="H390" s="12"/>
      <c r="I390" s="12"/>
      <c r="J390" s="333"/>
    </row>
    <row r="391" spans="2:10" s="56" customFormat="1" ht="16.5">
      <c r="B391" s="12"/>
      <c r="C391" s="12"/>
      <c r="D391" s="12"/>
      <c r="E391" s="12"/>
      <c r="F391" s="12"/>
      <c r="G391" s="12"/>
      <c r="H391" s="12"/>
      <c r="I391" s="12"/>
      <c r="J391" s="333"/>
    </row>
    <row r="392" spans="2:10" s="56" customFormat="1" ht="16.5">
      <c r="B392" s="12"/>
      <c r="C392" s="12"/>
      <c r="D392" s="12"/>
      <c r="E392" s="12"/>
      <c r="F392" s="12"/>
      <c r="G392" s="12"/>
      <c r="H392" s="12"/>
      <c r="I392" s="12"/>
      <c r="J392" s="333"/>
    </row>
    <row r="393" spans="2:10" s="56" customFormat="1" ht="16.5">
      <c r="B393" s="12"/>
      <c r="C393" s="12"/>
      <c r="D393" s="12"/>
      <c r="E393" s="12"/>
      <c r="F393" s="12"/>
      <c r="G393" s="12"/>
      <c r="H393" s="12"/>
      <c r="I393" s="12"/>
      <c r="J393" s="333"/>
    </row>
    <row r="394" spans="2:10" s="56" customFormat="1" ht="16.5">
      <c r="B394" s="12"/>
      <c r="C394" s="12"/>
      <c r="D394" s="12"/>
      <c r="E394" s="12"/>
      <c r="F394" s="12"/>
      <c r="G394" s="12"/>
      <c r="H394" s="12"/>
      <c r="I394" s="12"/>
      <c r="J394" s="333"/>
    </row>
    <row r="395" spans="2:10" s="56" customFormat="1" ht="16.5">
      <c r="B395" s="12"/>
      <c r="C395" s="12"/>
      <c r="D395" s="12"/>
      <c r="E395" s="12"/>
      <c r="F395" s="12"/>
      <c r="G395" s="12"/>
      <c r="H395" s="12"/>
      <c r="I395" s="12"/>
      <c r="J395" s="333"/>
    </row>
    <row r="396" spans="2:10" s="56" customFormat="1" ht="16.5">
      <c r="B396" s="12"/>
      <c r="C396" s="12"/>
      <c r="D396" s="12"/>
      <c r="E396" s="12"/>
      <c r="F396" s="12"/>
      <c r="G396" s="12"/>
      <c r="H396" s="12"/>
      <c r="I396" s="12"/>
      <c r="J396" s="333"/>
    </row>
    <row r="397" spans="2:10" s="56" customFormat="1" ht="16.5">
      <c r="B397" s="12"/>
      <c r="C397" s="12"/>
      <c r="D397" s="12"/>
      <c r="E397" s="12"/>
      <c r="F397" s="12"/>
      <c r="G397" s="12"/>
      <c r="H397" s="12"/>
      <c r="I397" s="12"/>
      <c r="J397" s="333"/>
    </row>
    <row r="398" spans="2:10" ht="16.5"/>
    <row r="399" spans="2:10" ht="17.25" hidden="1" customHeight="1"/>
    <row r="400" spans="2:10" ht="24" hidden="1" customHeight="1"/>
    <row r="401" spans="2:10" ht="19.5" hidden="1" customHeight="1"/>
    <row r="402" spans="2:10" ht="18.75" hidden="1" customHeight="1"/>
    <row r="403" spans="2:10" s="56" customFormat="1" ht="16.5" hidden="1">
      <c r="B403" s="12"/>
      <c r="C403" s="12"/>
      <c r="D403" s="12"/>
      <c r="E403" s="12"/>
      <c r="F403" s="12"/>
      <c r="G403" s="12"/>
      <c r="H403" s="12"/>
      <c r="I403" s="12"/>
      <c r="J403" s="333"/>
    </row>
    <row r="404" spans="2:10" s="56" customFormat="1" ht="16.5">
      <c r="B404" s="12"/>
      <c r="C404" s="12"/>
      <c r="D404" s="12"/>
      <c r="E404" s="12"/>
      <c r="F404" s="12"/>
      <c r="G404" s="12"/>
      <c r="H404" s="12"/>
      <c r="I404" s="12"/>
      <c r="J404" s="333"/>
    </row>
    <row r="405" spans="2:10" s="56" customFormat="1" ht="16.5">
      <c r="B405" s="12"/>
      <c r="C405" s="12"/>
      <c r="D405" s="12"/>
      <c r="E405" s="12"/>
      <c r="F405" s="12"/>
      <c r="G405" s="12"/>
      <c r="H405" s="12"/>
      <c r="I405" s="12"/>
      <c r="J405" s="333"/>
    </row>
    <row r="406" spans="2:10" ht="16.5"/>
    <row r="407" spans="2:10" s="56" customFormat="1" ht="16.5">
      <c r="B407" s="12"/>
      <c r="C407" s="12"/>
      <c r="D407" s="12"/>
      <c r="E407" s="12"/>
      <c r="F407" s="12"/>
      <c r="G407" s="12"/>
      <c r="H407" s="12"/>
      <c r="I407" s="12"/>
      <c r="J407" s="333"/>
    </row>
    <row r="408" spans="2:10" s="56" customFormat="1" ht="16.5">
      <c r="B408" s="12"/>
      <c r="C408" s="12"/>
      <c r="D408" s="12"/>
      <c r="E408" s="12"/>
      <c r="F408" s="12"/>
      <c r="G408" s="12"/>
      <c r="H408" s="12"/>
      <c r="I408" s="12"/>
      <c r="J408" s="333"/>
    </row>
    <row r="409" spans="2:10" ht="16.5"/>
    <row r="410" spans="2:10" s="56" customFormat="1" ht="16.5">
      <c r="B410" s="12"/>
      <c r="C410" s="12"/>
      <c r="D410" s="12"/>
      <c r="E410" s="12"/>
      <c r="F410" s="12"/>
      <c r="G410" s="12"/>
      <c r="H410" s="12"/>
      <c r="I410" s="12"/>
      <c r="J410" s="333"/>
    </row>
    <row r="411" spans="2:10" s="56" customFormat="1" ht="16.5">
      <c r="B411" s="12"/>
      <c r="C411" s="12"/>
      <c r="D411" s="12"/>
      <c r="E411" s="12"/>
      <c r="F411" s="12"/>
      <c r="G411" s="12"/>
      <c r="H411" s="12"/>
      <c r="I411" s="12"/>
      <c r="J411" s="333"/>
    </row>
    <row r="412" spans="2:10" ht="16.5"/>
    <row r="413" spans="2:10" ht="16.5"/>
    <row r="414" spans="2:10" ht="16.5"/>
    <row r="415" spans="2:10" ht="16.5"/>
    <row r="416" spans="2:10" ht="16.5"/>
    <row r="417" spans="2:10" ht="16.5"/>
    <row r="418" spans="2:10" ht="16.5"/>
    <row r="419" spans="2:10" ht="16.5"/>
    <row r="420" spans="2:10" ht="16.5"/>
    <row r="421" spans="2:10" s="56" customFormat="1" ht="16.5">
      <c r="B421" s="12"/>
      <c r="C421" s="12"/>
      <c r="D421" s="12"/>
      <c r="E421" s="12"/>
      <c r="F421" s="12"/>
      <c r="G421" s="12"/>
      <c r="H421" s="12"/>
      <c r="I421" s="12"/>
      <c r="J421" s="333"/>
    </row>
    <row r="422" spans="2:10" ht="16.5"/>
    <row r="423" spans="2:10" ht="16.5"/>
    <row r="424" spans="2:10" ht="16.5"/>
    <row r="425" spans="2:10" ht="16.5"/>
    <row r="426" spans="2:10" ht="16.5"/>
    <row r="427" spans="2:10" ht="16.5"/>
    <row r="428" spans="2:10" ht="16.5"/>
    <row r="429" spans="2:10" ht="15" customHeight="1"/>
    <row r="430" spans="2:10" ht="15" customHeight="1"/>
    <row r="431" spans="2:10" ht="16.5"/>
    <row r="432" spans="2:10" ht="16.5"/>
    <row r="433" ht="18.75" customHeight="1"/>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sheetData>
  <mergeCells count="9">
    <mergeCell ref="B111:I111"/>
    <mergeCell ref="B112:I112"/>
    <mergeCell ref="B113:I113"/>
    <mergeCell ref="B116:D116"/>
    <mergeCell ref="D10:D13"/>
    <mergeCell ref="B16:E16"/>
    <mergeCell ref="B17:E17"/>
    <mergeCell ref="B18:E18"/>
    <mergeCell ref="B110:I110"/>
  </mergeCells>
  <phoneticPr fontId="72" type="noConversion"/>
  <dataValidations count="25">
    <dataValidation type="textLength" allowBlank="1" showInputMessage="1" showErrorMessage="1" errorTitle="Veuillez ne pas modifier" error="Veuillez ne pas modifier ces cellules" sqref="B72:C72 B71:G71 B16:E17 B19:C19 F72 B20 D20:E20 I36 B32:D33 B35:D35 E32:F35 B36 D36:G36" xr:uid="{41CB2CFC-8915-431A-8B82-76B8D96A6704}">
      <formula1>10000</formula1>
      <formula2>50000</formula2>
    </dataValidation>
    <dataValidation type="decimal" allowBlank="1" showInputMessage="1" showErrorMessage="1" errorTitle="Veuillez ne pas modifier" error="Veuillez ne pas modifier ces cellules" sqref="E114:G116 B114:D115" xr:uid="{3A04F5EF-66E4-43AD-A539-8FA3BA9F198C}">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D77:D84 D87:D92 D97 D101:D107 B37:B65" xr:uid="{42A6D033-2055-45B6-94DB-C3843F45F704}"/>
    <dataValidation allowBlank="1" showInputMessage="1" showErrorMessage="1" promptTitle="URL du registre" prompt="Veuillez indiquer l'URL directe vers le registre ou l'agence" sqref="D34 J25:L29" xr:uid="{FF61CD17-04D9-4E17-8201-8C3D36137BFF}"/>
    <dataValidation allowBlank="1" showInputMessage="1" showErrorMessage="1" promptTitle="Nom du registre" prompt="Veuillez saisir le nom du registre ou de l'agence" sqref="J24:L24 C34" xr:uid="{AA416186-66C7-468A-ABAB-5FAA86F8A146}"/>
    <dataValidation allowBlank="1" showInputMessage="1" showErrorMessage="1" promptTitle="Nom de l'identifiant" prompt="Veuillez saisir le nom de l'identifiant, tel que « Numéro d'identification du contribuable » ou similaire" sqref="J23:L23 B34" xr:uid="{FC7A539E-0F6B-429E-8CD3-69786236AD39}"/>
    <dataValidation type="whole" allowBlank="1" showInputMessage="1" showErrorMessage="1" errorTitle="Veuillez ne pas modifier" error="Veuillez ne pas modifier ces cellules" sqref="D72 B110:B113" xr:uid="{FDE65DF8-CA28-4BE2-AC49-6DAD21AF5E77}">
      <formula1>444</formula1>
      <formula2>445</formula2>
    </dataValidation>
    <dataValidation type="list" allowBlank="1" showInputMessage="1" showErrorMessage="1" sqref="F109" xr:uid="{DDDC6CD4-1998-4B24-880C-9DED458166FA}">
      <formula1>Simple_options_list</formula1>
    </dataValidation>
    <dataValidation allowBlank="1" showInputMessage="1" showErrorMessage="1" promptTitle="Compagnie associée" prompt="Veuillez indiquer les compagnies affiliées au projet, séparées par une virgule." sqref="D98:D100 D73:D76 D85:D86 D108 D93:D96" xr:uid="{990B4CFE-C77D-4B99-90F4-BE71B86E0400}"/>
    <dataValidation type="list" allowBlank="1" showInputMessage="1" showErrorMessage="1" sqref="G109 E103 F73:F108" xr:uid="{765C9FE0-D12B-4DF9-AE3E-DE4CE4CC1EDB}">
      <formula1>Project_phases_list</formula1>
    </dataValidation>
    <dataValidation type="whole" allowBlank="1" showInputMessage="1" showErrorMessage="1" errorTitle="Veuillez ne pas modifier" error="Veuillez ne pas modifier ces cellules" sqref="E72" xr:uid="{EF07BAD0-2F5A-4204-A46F-F594A3588E86}">
      <formula1>4</formula1>
      <formula2>5</formula2>
    </dataValidation>
    <dataValidation allowBlank="1" showInputMessage="1" showErrorMessage="1" promptTitle="Numéro de référence" prompt="Veuillez indiquer le numéro de référence de l'accord légal: contrat, licence, concession,…" sqref="C73:C76 C85:C108" xr:uid="{35B65327-F6D3-41FF-A657-92A960D2D1F1}"/>
    <dataValidation allowBlank="1" showInputMessage="1" showErrorMessage="1" errorTitle="Veuillez ne pas modifier" error="Veuillez ne pas modifier ces cellules" sqref="H36 B116:D116" xr:uid="{61CAE946-A4D7-4D88-A2EA-B59DF5431476}"/>
    <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sqref="E104:E108 E73:E102" xr:uid="{46A9ED9C-B29B-4A51-B129-E091B5E99439}">
      <formula1>Commodity_names</formula1>
    </dataValidation>
    <dataValidation allowBlank="1" showInputMessage="1" showErrorMessage="1" promptTitle="Nom du Projet" prompt="Veuillez indiquer le nom du Projet._x000a__x000a_Veuillez vous abstenir d'utiliser des acronymes et indiquez le nom complet_x000a__x000a_" sqref="B73:B109" xr:uid="{28E7BA77-65D5-4785-9580-9EE9295D25F1}"/>
    <dataValidation allowBlank="1" showInputMessage="1" showErrorMessage="1" promptTitle="Numéro d'identification" prompt="Veuillez indiquer le numéro d'identification de l'agence gouvernementale, si applicable" sqref="D21:D29" xr:uid="{B62DCA52-4501-43B1-A007-69E53BD53B5F}"/>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29" xr:uid="{5F2CD2D8-A157-47E5-A3F5-C3C3A71E1458}"/>
    <dataValidation allowBlank="1" showInputMessage="1" showErrorMessage="1" promptTitle="Production -volume-" prompt="Veuillez indiquer le volume de production du projet" sqref="G73:G108" xr:uid="{214EC8C1-6BF9-40F3-9758-86701E4D2A88}"/>
    <dataValidation allowBlank="1" showInputMessage="1" showErrorMessage="1" promptTitle="Production -valeur-" prompt="Veuillez indiquer la valeur de la production du projet" sqref="I73:I108" xr:uid="{6908EAC0-1385-4F50-B3D8-4B8A57D6013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3:H108" xr:uid="{41AEB8C4-3D9C-4110-A3FD-27B3DB753D54}">
      <formula1>"&lt;Selectionner unité&gt;,Sm3,Sm3 o.e.,Barils,Tonnes,oz,carats,Scf"</formula1>
    </dataValidation>
    <dataValidation type="list" allowBlank="1" showInputMessage="1" showErrorMessage="1" promptTitle="Veuillez sélectionner le secteur" prompt="Veuillez sélectionner le secteur pertinent pour l'entreprise dans la liste" sqref="E37:E65" xr:uid="{F383C4B0-BFB1-4275-8902-B9CBC1BDD66F}">
      <formula1>Sector_list</formula1>
    </dataValidation>
    <dataValidation allowBlank="1" showInputMessage="1" showErrorMessage="1" promptTitle="Veuillez sélectionner les matièr" prompt="Veuillez sélectionner les matières premières exploitées, séparées par une virgule" sqref="F37:F63" xr:uid="{03DB06AD-5356-48E6-AF86-BD36AB1EF40E}"/>
    <dataValidation errorStyle="warning" allowBlank="1" showInputMessage="1" showErrorMessage="1" errorTitle="URL" error="Veuillez indiquer une URL" sqref="G37:H63" xr:uid="{7E085E98-106D-442B-9524-E857F18034EC}"/>
    <dataValidation allowBlank="1" showInputMessage="1" showErrorMessage="1" promptTitle="Numéro d'identification" prompt="Veuillez saisir un numéro d'identification unique, tel qu’un TIN, un numéro d'organisation ou similaire." sqref="D37:D65 F64:H65" xr:uid="{CB3B9251-12D5-4F96-BBCA-A761DAA6C149}"/>
    <dataValidation type="list" allowBlank="1" showInputMessage="1" showErrorMessage="1" sqref="C37:C65" xr:uid="{5B632419-A767-4DE0-8BA9-B8BB05BA6696}">
      <formula1>"&lt; Type d'entreprise &gt;,Société publique financière et Entreprise d'Etat,Privée"</formula1>
    </dataValidation>
  </dataValidations>
  <hyperlinks>
    <hyperlink ref="B14" r:id="rId1" xr:uid="{00000000-0004-0000-0300-000004000000}"/>
    <hyperlink ref="B112:G112" r:id="rId2" display="Pour la version la plus récente des modèles de données résumées, consultez https://eiti.org/fr/document/modele-donnees-resumees-itie" xr:uid="{720C091A-88D8-4AD8-A681-42225317FFF1}"/>
    <hyperlink ref="B111:G111" r:id="rId3" display="Vous voulez en savoir plus sur votre pays ? Vérifiez si votre pays met en œuvre la Norme ITIE en visitant https://eiti.org/countries" xr:uid="{B05B0465-C1F8-4E2C-B484-E8B1089F5DD4}"/>
    <hyperlink ref="B113:G113" r:id="rId4" display="Give us your feedback or report a conflict in the data! Write to us at  data@eiti.org" xr:uid="{89CD5C69-DD4F-4A10-A797-F37E54CCEA66}"/>
    <hyperlink ref="G49" r:id="rId5" xr:uid="{3A6C8CE3-9436-49CB-870E-2376AA6F3DD3}"/>
    <hyperlink ref="G57" r:id="rId6" xr:uid="{1B7045C6-BA2F-4CFE-8E12-2B99A906EF6D}"/>
    <hyperlink ref="G59" r:id="rId7" xr:uid="{55B2B2A0-6A7A-4BFA-BCA1-A9C103BDE0BE}"/>
    <hyperlink ref="G44" r:id="rId8" xr:uid="{0B98031C-8D28-4386-BD60-ED448D10ED7D}"/>
    <hyperlink ref="G50" r:id="rId9" xr:uid="{EF67DB07-DA69-4512-B80A-27161DBA0D10}"/>
    <hyperlink ref="G65" r:id="rId10" xr:uid="{B7B90E8A-3EEB-4236-9B7D-9986F5258E2A}"/>
    <hyperlink ref="G38" r:id="rId11" xr:uid="{4A53A7BD-37F3-43D6-A415-07CB0ED1CB25}"/>
    <hyperlink ref="G37" r:id="rId12" xr:uid="{4844F45D-E110-4B80-8709-77C991AC0DBD}"/>
    <hyperlink ref="G56" r:id="rId13" xr:uid="{C7C2AB2E-9F4A-455D-A06D-32FB6FB9C54E}"/>
    <hyperlink ref="G40" r:id="rId14" xr:uid="{88421EE4-6972-4C79-B6FB-45E968035EF2}"/>
    <hyperlink ref="G45" r:id="rId15" xr:uid="{51B8C970-D9D4-4F3E-9CFA-C2BA96E03D66}"/>
    <hyperlink ref="G42" r:id="rId16" xr:uid="{7B58F148-2807-41D9-BE63-33681EB577F9}"/>
    <hyperlink ref="G41" r:id="rId17" xr:uid="{22890E37-36B2-4418-A33D-3E0A7A5F059F}"/>
    <hyperlink ref="G52" r:id="rId18" xr:uid="{B33CDBBF-C182-43AE-AFA8-D0ACBB40E511}"/>
    <hyperlink ref="G62" r:id="rId19" xr:uid="{5E8E7123-825E-4A40-9322-F72B29364784}"/>
    <hyperlink ref="G47" r:id="rId20" xr:uid="{E01409F7-7670-4EED-8C26-F3152A754E31}"/>
    <hyperlink ref="G43" r:id="rId21" xr:uid="{EBF12152-3DA5-4701-884F-37C4F4E7F04B}"/>
  </hyperlinks>
  <pageMargins left="0.25" right="0.25" top="0.75" bottom="0.75" header="0.3" footer="0.3"/>
  <pageSetup paperSize="8" fitToHeight="0" orientation="landscape" horizontalDpi="2400" verticalDpi="2400" r:id="rId22"/>
  <drawing r:id="rId23"/>
  <tableParts count="3">
    <tablePart r:id="rId24"/>
    <tablePart r:id="rId25"/>
    <tablePart r:id="rId26"/>
  </tableParts>
  <extLst>
    <ext xmlns:x14="http://schemas.microsoft.com/office/spreadsheetml/2009/9/main" uri="{CCE6A557-97BC-4b89-ADB6-D9C93CAAB3DF}">
      <x14:dataValidations xmlns:xm="http://schemas.microsoft.com/office/excel/2006/main" count="2">
        <x14:dataValidation type="list" allowBlank="1" showInputMessage="1" showErrorMessage="1" xr:uid="{A0485DF7-0291-4282-9DA4-8B361737270D}">
          <x14:formula1>
            <xm:f>Listes!$AE$3:$AE$7</xm:f>
          </x14:formula1>
          <xm:sqref>C21:C29</xm:sqref>
        </x14:dataValidation>
        <x14:dataValidation type="list" allowBlank="1" showInputMessage="1" showErrorMessage="1" xr:uid="{080AB5DF-9F7C-4D51-B77F-2D9DAE275C99}">
          <x14:formula1>
            <xm:f>Listes!$I$11:$I$168</xm:f>
          </x14:formula1>
          <xm:sqref>J73:J108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B1:U132"/>
  <sheetViews>
    <sheetView showGridLines="0" tabSelected="1" topLeftCell="A91" zoomScaleNormal="100" workbookViewId="0">
      <selection activeCell="I109" sqref="I109"/>
    </sheetView>
  </sheetViews>
  <sheetFormatPr baseColWidth="10" defaultColWidth="9.28515625" defaultRowHeight="16.5"/>
  <cols>
    <col min="1" max="1" width="3" style="295" customWidth="1"/>
    <col min="2" max="4" width="9.28515625" style="295" hidden="1" customWidth="1"/>
    <col min="5" max="5" width="27.42578125" style="295" hidden="1" customWidth="1"/>
    <col min="6" max="6" width="82" style="295" customWidth="1"/>
    <col min="7" max="7" width="16.7109375" style="295" customWidth="1"/>
    <col min="8" max="8" width="77" style="295" bestFit="1" customWidth="1"/>
    <col min="9" max="9" width="60.42578125" style="295" bestFit="1" customWidth="1"/>
    <col min="10" max="10" width="26.7109375" style="295" bestFit="1" customWidth="1"/>
    <col min="11" max="11" width="11.28515625" style="295" customWidth="1"/>
    <col min="12" max="12" width="2.7109375" style="295" customWidth="1"/>
    <col min="13" max="13" width="19.5703125" style="295" bestFit="1" customWidth="1"/>
    <col min="14" max="14" width="73.42578125" style="295" bestFit="1" customWidth="1"/>
    <col min="15" max="16384" width="9.28515625" style="295"/>
  </cols>
  <sheetData>
    <row r="1" spans="6:14" s="12" customFormat="1" ht="15.75" hidden="1" customHeight="1"/>
    <row r="2" spans="6:14" s="12" customFormat="1" hidden="1"/>
    <row r="3" spans="6:14" s="12" customFormat="1" hidden="1">
      <c r="N3" s="13" t="s">
        <v>2173</v>
      </c>
    </row>
    <row r="4" spans="6:14" s="12" customFormat="1" hidden="1">
      <c r="N4" s="13">
        <f>Introduction!G4</f>
        <v>0</v>
      </c>
    </row>
    <row r="5" spans="6:14" s="12" customFormat="1" hidden="1"/>
    <row r="6" spans="6:14" s="12" customFormat="1" hidden="1"/>
    <row r="7" spans="6:14" s="12" customFormat="1"/>
    <row r="8" spans="6:14" s="12" customFormat="1">
      <c r="F8" s="15" t="s">
        <v>2097</v>
      </c>
      <c r="G8" s="74"/>
      <c r="H8" s="74"/>
      <c r="I8" s="74"/>
      <c r="J8" s="74"/>
      <c r="K8" s="74"/>
      <c r="L8" s="74"/>
      <c r="M8" s="74"/>
      <c r="N8" s="74"/>
    </row>
    <row r="9" spans="6:14" s="12" customFormat="1" ht="21" customHeight="1">
      <c r="F9" s="391" t="s">
        <v>2174</v>
      </c>
      <c r="G9" s="391"/>
      <c r="H9" s="391"/>
      <c r="I9" s="391"/>
      <c r="J9" s="391"/>
      <c r="K9" s="292"/>
      <c r="L9" s="292"/>
      <c r="M9" s="391"/>
      <c r="N9" s="391"/>
    </row>
    <row r="10" spans="6:14" s="12" customFormat="1" ht="31.15" customHeight="1">
      <c r="F10" s="392" t="s">
        <v>2345</v>
      </c>
      <c r="G10" s="392"/>
      <c r="H10" s="392"/>
      <c r="I10" s="392"/>
      <c r="J10" s="392"/>
      <c r="K10" s="286"/>
      <c r="L10" s="74"/>
      <c r="M10" s="396"/>
      <c r="N10" s="396"/>
    </row>
    <row r="11" spans="6:14" s="12" customFormat="1" ht="29.25" customHeight="1">
      <c r="F11" s="393" t="s">
        <v>2346</v>
      </c>
      <c r="G11" s="393"/>
      <c r="H11" s="393"/>
      <c r="I11" s="393"/>
      <c r="J11" s="393"/>
      <c r="K11" s="287"/>
      <c r="L11" s="74"/>
      <c r="M11" s="396"/>
      <c r="N11" s="396"/>
    </row>
    <row r="12" spans="6:14" s="12" customFormat="1" ht="33.6" customHeight="1">
      <c r="F12" s="393" t="s">
        <v>2347</v>
      </c>
      <c r="G12" s="393"/>
      <c r="H12" s="393"/>
      <c r="I12" s="393"/>
      <c r="J12" s="393"/>
      <c r="K12" s="287"/>
      <c r="L12" s="74"/>
      <c r="M12" s="396"/>
      <c r="N12" s="396"/>
    </row>
    <row r="13" spans="6:14" s="12" customFormat="1" ht="36" customHeight="1">
      <c r="F13" s="394" t="s">
        <v>2348</v>
      </c>
      <c r="G13" s="394"/>
      <c r="H13" s="394"/>
      <c r="I13" s="394"/>
      <c r="J13" s="394"/>
      <c r="K13" s="285"/>
      <c r="L13" s="74"/>
      <c r="M13" s="396"/>
      <c r="N13" s="396"/>
    </row>
    <row r="14" spans="6:14" s="12" customFormat="1" ht="50.25" customHeight="1">
      <c r="F14" s="394" t="s">
        <v>2349</v>
      </c>
      <c r="G14" s="394"/>
      <c r="H14" s="394"/>
      <c r="I14" s="394"/>
      <c r="J14" s="394"/>
      <c r="K14" s="285"/>
      <c r="L14" s="74"/>
      <c r="M14" s="396"/>
      <c r="N14" s="396"/>
    </row>
    <row r="15" spans="6:14" s="12" customFormat="1" ht="33" customHeight="1">
      <c r="F15" s="394" t="s">
        <v>2099</v>
      </c>
      <c r="G15" s="394"/>
      <c r="H15" s="394"/>
      <c r="I15" s="394"/>
      <c r="J15" s="394"/>
      <c r="K15" s="285"/>
      <c r="L15" s="74"/>
      <c r="M15" s="284"/>
      <c r="N15" s="284"/>
    </row>
    <row r="16" spans="6:14" s="12" customFormat="1">
      <c r="F16" s="403" t="s">
        <v>2225</v>
      </c>
      <c r="G16" s="403"/>
      <c r="H16" s="403"/>
      <c r="I16" s="403"/>
      <c r="J16" s="403"/>
      <c r="K16" s="403"/>
      <c r="L16" s="403"/>
      <c r="M16" s="403"/>
      <c r="N16" s="403"/>
    </row>
    <row r="17" spans="2:21" s="12" customFormat="1"/>
    <row r="18" spans="2:21" s="12" customFormat="1">
      <c r="F18" s="293" t="s">
        <v>2098</v>
      </c>
      <c r="G18" s="74"/>
      <c r="H18" s="210"/>
      <c r="I18" s="74"/>
      <c r="J18" s="210"/>
      <c r="K18" s="210"/>
      <c r="M18" s="294" t="s">
        <v>2100</v>
      </c>
      <c r="N18" s="294"/>
    </row>
    <row r="19" spans="2:21" s="12" customFormat="1" ht="15.6" customHeight="1">
      <c r="M19" s="398" t="s">
        <v>2521</v>
      </c>
      <c r="N19" s="399"/>
    </row>
    <row r="20" spans="2:21">
      <c r="F20" s="395" t="s">
        <v>2666</v>
      </c>
      <c r="G20" s="395"/>
      <c r="H20" s="395"/>
      <c r="I20" s="395"/>
      <c r="J20" s="395"/>
      <c r="K20" s="296"/>
      <c r="M20" s="12"/>
      <c r="N20" s="12"/>
    </row>
    <row r="21" spans="2:21" ht="13.9" customHeight="1">
      <c r="B21" s="297" t="s">
        <v>1402</v>
      </c>
      <c r="C21" s="297" t="s">
        <v>1403</v>
      </c>
      <c r="D21" s="297" t="s">
        <v>1404</v>
      </c>
      <c r="E21" s="297" t="s">
        <v>1405</v>
      </c>
      <c r="F21" s="295" t="s">
        <v>2102</v>
      </c>
      <c r="G21" s="295" t="s">
        <v>1464</v>
      </c>
      <c r="H21" s="298" t="s">
        <v>1351</v>
      </c>
      <c r="I21" s="295" t="s">
        <v>1408</v>
      </c>
      <c r="J21" s="295" t="s">
        <v>1352</v>
      </c>
      <c r="K21" s="295" t="s">
        <v>970</v>
      </c>
      <c r="M21" s="402" t="s">
        <v>2101</v>
      </c>
      <c r="N21" s="402"/>
    </row>
    <row r="22" spans="2:21" ht="42.75" customHeight="1">
      <c r="B22" s="297" t="str">
        <f>IFERROR(VLOOKUP(Government_revenues_table[[#This Row],[Classification SFP]],Table6_GFS_codes_classification[],COLUMNS($F:F)+3,FALSE),"Do not enter data")</f>
        <v>Autre revenu (14E)</v>
      </c>
      <c r="C22" s="297" t="str">
        <f>IFERROR(VLOOKUP(Government_revenues_table[[#This Row],[Classification SFP]],Table6_GFS_codes_classification[],COLUMNS($F:G)+3,FALSE),"Do not enter data")</f>
        <v>Revenu dégagé de la propriété (141E)</v>
      </c>
      <c r="D22" s="297" t="str">
        <f>IFERROR(VLOOKUP(Government_revenues_table[[#This Row],[Classification SFP]],Table6_GFS_codes_classification[],COLUMNS($F:H)+3,FALSE),"Do not enter data")</f>
        <v>Loyers (1415E)</v>
      </c>
      <c r="E22" s="297" t="str">
        <f>IFERROR(VLOOKUP(Government_revenues_table[[#This Row],[Classification SFP]],Table6_GFS_codes_classification[],COLUMNS($F:I)+3,FALSE),"Do not enter data")</f>
        <v>Redevances (1415E1)</v>
      </c>
      <c r="F22" s="295" t="s">
        <v>1465</v>
      </c>
      <c r="G22" s="12" t="s">
        <v>2096</v>
      </c>
      <c r="H22" s="295" t="s">
        <v>2624</v>
      </c>
      <c r="I22" s="295" t="s">
        <v>2695</v>
      </c>
      <c r="J22" s="328">
        <v>42108704590</v>
      </c>
      <c r="K22" s="299" t="s">
        <v>1172</v>
      </c>
      <c r="M22" s="392" t="s">
        <v>2103</v>
      </c>
      <c r="N22" s="392"/>
    </row>
    <row r="23" spans="2:21">
      <c r="B23" s="297" t="str">
        <f>IFERROR(VLOOKUP(Government_revenues_table[[#This Row],[Classification SFP]],Table6_GFS_codes_classification[],COLUMNS($F:F)+3,FALSE),"Do not enter data")</f>
        <v>Impôts (11E)</v>
      </c>
      <c r="C23" s="297" t="str">
        <f>IFERROR(VLOOKUP(Government_revenues_table[[#This Row],[Classification SFP]],Table6_GFS_codes_classification[],COLUMNS($F:G)+3,FALSE),"Do not enter data")</f>
        <v>Impôts sur les biens et services (114E)</v>
      </c>
      <c r="D23" s="297" t="str">
        <f>IFERROR(VLOOKUP(Government_revenues_table[[#This Row],[Classification SFP]],Table6_GFS_codes_classification[],COLUMNS($F:H)+3,FALSE),"Do not enter data")</f>
        <v>Impôts généraux sur les biens et services (TVA, taxes sur les ventes, taxes sur le chiffre d’affaires (1141E)</v>
      </c>
      <c r="E23" s="297" t="str">
        <f>IFERROR(VLOOKUP(Government_revenues_table[[#This Row],[Classification SFP]],Table6_GFS_codes_classification[],COLUMNS($F:I)+3,FALSE),"Do not enter data")</f>
        <v>Impôts généraux sur les biens et services (TVA, taxes sur les ventes, taxes sur le chiffre d’affaires (1141E)</v>
      </c>
      <c r="F23" s="295" t="s">
        <v>1503</v>
      </c>
      <c r="G23" s="12" t="s">
        <v>2096</v>
      </c>
      <c r="H23" s="295" t="s">
        <v>2638</v>
      </c>
      <c r="I23" s="295" t="s">
        <v>2550</v>
      </c>
      <c r="J23" s="328">
        <v>32526122862</v>
      </c>
      <c r="K23" s="299" t="s">
        <v>1172</v>
      </c>
      <c r="M23" s="392"/>
      <c r="N23" s="392"/>
    </row>
    <row r="24" spans="2:21" ht="14.1" customHeight="1">
      <c r="B24" s="297" t="str">
        <f>IFERROR(VLOOKUP(Government_revenues_table[[#This Row],[Classification SFP]],Table6_GFS_codes_classification[],COLUMNS($F:F)+3,FALSE),"Do not enter data")</f>
        <v>Impôts (11E)</v>
      </c>
      <c r="C24" s="297" t="str">
        <f>IFERROR(VLOOKUP(Government_revenues_table[[#This Row],[Classification SFP]],Table6_GFS_codes_classification[],COLUMNS($F:G)+3,FALSE),"Do not enter data")</f>
        <v>Impôts sur la masse salariale et la force de travail (112E)</v>
      </c>
      <c r="D24" s="297" t="str">
        <f>IFERROR(VLOOKUP(Government_revenues_table[[#This Row],[Classification SFP]],Table6_GFS_codes_classification[],COLUMNS($F:H)+3,FALSE),"Do not enter data")</f>
        <v>Impôts sur la masse salariale et la force de travail (112E)</v>
      </c>
      <c r="E24" s="297" t="str">
        <f>IFERROR(VLOOKUP(Government_revenues_table[[#This Row],[Classification SFP]],Table6_GFS_codes_classification[],COLUMNS($F:I)+3,FALSE),"Do not enter data")</f>
        <v>Impôts sur la masse salariale et la force de travail (112E)</v>
      </c>
      <c r="F24" s="295" t="s">
        <v>1390</v>
      </c>
      <c r="G24" s="12" t="s">
        <v>2096</v>
      </c>
      <c r="H24" s="295" t="s">
        <v>2635</v>
      </c>
      <c r="I24" s="295" t="s">
        <v>2550</v>
      </c>
      <c r="J24" s="328">
        <v>25990968213</v>
      </c>
      <c r="K24" s="299" t="s">
        <v>1172</v>
      </c>
      <c r="M24" s="392"/>
      <c r="N24" s="392"/>
    </row>
    <row r="25" spans="2:21" ht="33.75" customHeight="1">
      <c r="B25" s="297" t="str">
        <f>IFERROR(VLOOKUP(Government_revenues_table[[#This Row],[Classification SFP]],Table6_GFS_codes_classification[],COLUMNS($F:F)+3,FALSE),"Do not enter data")</f>
        <v>Impôts (11E)</v>
      </c>
      <c r="C25" s="297" t="str">
        <f>IFERROR(VLOOKUP(Government_revenues_table[[#This Row],[Classification SFP]],Table6_GFS_codes_classification[],COLUMNS($F:G)+3,FALSE),"Do not enter data")</f>
        <v>Taxes sur le commerce et les transactions au niveau international (115E)</v>
      </c>
      <c r="D25" s="297" t="str">
        <f>IFERROR(VLOOKUP(Government_revenues_table[[#This Row],[Classification SFP]],Table6_GFS_codes_classification[],COLUMNS($F:H)+3,FALSE),"Do not enter data")</f>
        <v>Droits de douane et autres droits d’importation (1151E)</v>
      </c>
      <c r="E25" s="297" t="str">
        <f>IFERROR(VLOOKUP(Government_revenues_table[[#This Row],[Classification SFP]],Table6_GFS_codes_classification[],COLUMNS($F:I)+3,FALSE),"Do not enter data")</f>
        <v>Droits de douane et autres droits d’importation (1151E)</v>
      </c>
      <c r="F25" s="295" t="s">
        <v>1435</v>
      </c>
      <c r="G25" s="12" t="s">
        <v>2096</v>
      </c>
      <c r="H25" s="295" t="s">
        <v>2646</v>
      </c>
      <c r="I25" s="295" t="s">
        <v>2549</v>
      </c>
      <c r="J25" s="328">
        <v>23377806013</v>
      </c>
      <c r="K25" s="299" t="s">
        <v>1172</v>
      </c>
      <c r="M25" s="392"/>
      <c r="N25" s="392"/>
    </row>
    <row r="26" spans="2:21" ht="27" customHeight="1">
      <c r="B26" s="297" t="str">
        <f>IFERROR(VLOOKUP(Government_revenues_table[[#This Row],[Classification SFP]],Table6_GFS_codes_classification[],COLUMNS($F:F)+3,FALSE),"Do not enter data")</f>
        <v>Impôts (11E)</v>
      </c>
      <c r="C26" s="297" t="str">
        <f>IFERROR(VLOOKUP(Government_revenues_table[[#This Row],[Classification SFP]],Table6_GFS_codes_classification[],COLUMNS($F:G)+3,FALSE),"Do not enter data")</f>
        <v>Impôts sur le revenu, le bénéfice et les plus-values</v>
      </c>
      <c r="D26" s="297" t="str">
        <f>IFERROR(VLOOKUP(Government_revenues_table[[#This Row],[Classification SFP]],Table6_GFS_codes_classification[],COLUMNS($F:H)+3,FALSE),"Do not enter data")</f>
        <v>Impôts ordinaires sur le revenu, le bénéfice et les plus-values (1112E1)</v>
      </c>
      <c r="E26" s="297" t="str">
        <f>IFERROR(VLOOKUP(Government_revenues_table[[#This Row],[Classification SFP]],Table6_GFS_codes_classification[],COLUMNS($F:I)+3,FALSE),"Do not enter data")</f>
        <v>Impôts ordinaires sur le revenu, le bénéfice et les plus-values (1112E1)</v>
      </c>
      <c r="F26" s="295" t="s">
        <v>1424</v>
      </c>
      <c r="G26" s="12" t="s">
        <v>2096</v>
      </c>
      <c r="H26" s="295" t="s">
        <v>2630</v>
      </c>
      <c r="I26" s="295" t="s">
        <v>2550</v>
      </c>
      <c r="J26" s="299">
        <v>22522304771</v>
      </c>
      <c r="K26" s="299" t="s">
        <v>1172</v>
      </c>
      <c r="M26" s="392"/>
      <c r="N26" s="392"/>
    </row>
    <row r="27" spans="2:21">
      <c r="B27" s="297" t="str">
        <f>IFERROR(VLOOKUP(Government_revenues_table[[#This Row],[Classification SFP]],Table6_GFS_codes_classification[],COLUMNS($F:F)+3,FALSE),"Do not enter data")</f>
        <v>Autre revenu (14E)</v>
      </c>
      <c r="C27" s="297" t="str">
        <f>IFERROR(VLOOKUP(Government_revenues_table[[#This Row],[Classification SFP]],Table6_GFS_codes_classification[],COLUMNS($F:G)+3,FALSE),"Do not enter data")</f>
        <v>Revenu dégagé de la propriété (141E)</v>
      </c>
      <c r="D27" s="297" t="str">
        <f>IFERROR(VLOOKUP(Government_revenues_table[[#This Row],[Classification SFP]],Table6_GFS_codes_classification[],COLUMNS($F:H)+3,FALSE),"Do not enter data")</f>
        <v>Dividendes (1412E)</v>
      </c>
      <c r="E27" s="297" t="str">
        <f>IFERROR(VLOOKUP(Government_revenues_table[[#This Row],[Classification SFP]],Table6_GFS_codes_classification[],COLUMNS($F:I)+3,FALSE),"Do not enter data")</f>
        <v>Provenant de la participation de l’État (1412E2)</v>
      </c>
      <c r="F27" s="295" t="s">
        <v>1415</v>
      </c>
      <c r="G27" s="12" t="s">
        <v>2096</v>
      </c>
      <c r="H27" s="295" t="s">
        <v>2649</v>
      </c>
      <c r="I27" s="295" t="s">
        <v>2551</v>
      </c>
      <c r="J27" s="328">
        <v>16599906089</v>
      </c>
      <c r="K27" s="299" t="s">
        <v>1172</v>
      </c>
      <c r="M27" s="400" t="s">
        <v>2667</v>
      </c>
      <c r="N27" s="400"/>
    </row>
    <row r="28" spans="2:21">
      <c r="B28" s="297" t="str">
        <f>IFERROR(VLOOKUP(Government_revenues_table[[#This Row],[Classification SFP]],Table6_GFS_codes_classification[],COLUMNS($F:F)+3,FALSE),"Do not enter data")</f>
        <v>Impôts (11E)</v>
      </c>
      <c r="C28" s="297" t="str">
        <f>IFERROR(VLOOKUP(Government_revenues_table[[#This Row],[Classification SFP]],Table6_GFS_codes_classification[],COLUMNS($F:G)+3,FALSE),"Do not enter data")</f>
        <v>Impôts sur les biens et services (114E)</v>
      </c>
      <c r="D28" s="297" t="str">
        <f>IFERROR(VLOOKUP(Government_revenues_table[[#This Row],[Classification SFP]],Table6_GFS_codes_classification[],COLUMNS($F:H)+3,FALSE),"Do not enter data")</f>
        <v>Impôts généraux sur les biens et services (TVA, taxes sur les ventes, taxes sur le chiffre d’affaires (1141E)</v>
      </c>
      <c r="E28" s="297" t="str">
        <f>IFERROR(VLOOKUP(Government_revenues_table[[#This Row],[Classification SFP]],Table6_GFS_codes_classification[],COLUMNS($F:I)+3,FALSE),"Do not enter data")</f>
        <v>Impôts généraux sur les biens et services (TVA, taxes sur les ventes, taxes sur le chiffre d’affaires (1141E)</v>
      </c>
      <c r="F28" s="295" t="s">
        <v>1503</v>
      </c>
      <c r="G28" s="12" t="s">
        <v>2096</v>
      </c>
      <c r="H28" s="295" t="s">
        <v>2636</v>
      </c>
      <c r="I28" s="295" t="s">
        <v>2550</v>
      </c>
      <c r="J28" s="328">
        <v>15433880734</v>
      </c>
      <c r="K28" s="299" t="s">
        <v>1172</v>
      </c>
      <c r="M28" s="401" t="s">
        <v>2668</v>
      </c>
      <c r="N28" s="401"/>
    </row>
    <row r="29" spans="2:21" ht="54.75" customHeight="1" thickBot="1">
      <c r="B29" s="297" t="str">
        <f>IFERROR(VLOOKUP(Government_revenues_table[[#This Row],[Classification SFP]],Table6_GFS_codes_classification[],COLUMNS($F:F)+3,FALSE),"Do not enter data")</f>
        <v>Impôts (11E)</v>
      </c>
      <c r="C29" s="297" t="str">
        <f>IFERROR(VLOOKUP(Government_revenues_table[[#This Row],[Classification SFP]],Table6_GFS_codes_classification[],COLUMNS($F:G)+3,FALSE),"Do not enter data")</f>
        <v>Impôts sur le revenu, le bénéfice et les plus-values</v>
      </c>
      <c r="D29" s="297" t="str">
        <f>IFERROR(VLOOKUP(Government_revenues_table[[#This Row],[Classification SFP]],Table6_GFS_codes_classification[],COLUMNS($F:H)+3,FALSE),"Do not enter data")</f>
        <v>Impôts ordinaires sur le revenu, le bénéfice et les plus-values (1112E1)</v>
      </c>
      <c r="E29" s="297" t="str">
        <f>IFERROR(VLOOKUP(Government_revenues_table[[#This Row],[Classification SFP]],Table6_GFS_codes_classification[],COLUMNS($F:I)+3,FALSE),"Do not enter data")</f>
        <v>Impôts ordinaires sur le revenu, le bénéfice et les plus-values (1112E1)</v>
      </c>
      <c r="F29" s="295" t="s">
        <v>1424</v>
      </c>
      <c r="G29" s="12" t="s">
        <v>2096</v>
      </c>
      <c r="H29" s="295" t="s">
        <v>2631</v>
      </c>
      <c r="I29" s="295" t="s">
        <v>2550</v>
      </c>
      <c r="J29" s="299">
        <v>13447825420</v>
      </c>
      <c r="K29" s="299" t="s">
        <v>1172</v>
      </c>
      <c r="M29" s="214"/>
      <c r="N29" s="214"/>
    </row>
    <row r="30" spans="2:21" ht="40.5" customHeight="1">
      <c r="B30" s="297" t="str">
        <f>IFERROR(VLOOKUP(Government_revenues_table[[#This Row],[Classification SFP]],Table6_GFS_codes_classification[],COLUMNS($F:F)+3,FALSE),"Do not enter data")</f>
        <v>Impôts (11E)</v>
      </c>
      <c r="C30" s="297" t="str">
        <f>IFERROR(VLOOKUP(Government_revenues_table[[#This Row],[Classification SFP]],Table6_GFS_codes_classification[],COLUMNS($F:G)+3,FALSE),"Do not enter data")</f>
        <v>Impôts sur les biens et services (114E)</v>
      </c>
      <c r="D30" s="297" t="str">
        <f>IFERROR(VLOOKUP(Government_revenues_table[[#This Row],[Classification SFP]],Table6_GFS_codes_classification[],COLUMNS($F:H)+3,FALSE),"Do not enter data")</f>
        <v>Impôts généraux sur les biens et services (TVA, taxes sur les ventes, taxes sur le chiffre d’affaires (1141E)</v>
      </c>
      <c r="E30" s="297" t="str">
        <f>IFERROR(VLOOKUP(Government_revenues_table[[#This Row],[Classification SFP]],Table6_GFS_codes_classification[],COLUMNS($F:I)+3,FALSE),"Do not enter data")</f>
        <v>Impôts généraux sur les biens et services (TVA, taxes sur les ventes, taxes sur le chiffre d’affaires (1141E)</v>
      </c>
      <c r="F30" s="295" t="s">
        <v>1503</v>
      </c>
      <c r="G30" s="12" t="s">
        <v>2096</v>
      </c>
      <c r="H30" s="295" t="s">
        <v>2639</v>
      </c>
      <c r="I30" s="295" t="s">
        <v>2550</v>
      </c>
      <c r="J30" s="328">
        <v>10289539042</v>
      </c>
      <c r="K30" s="299" t="s">
        <v>1172</v>
      </c>
      <c r="P30" s="59"/>
      <c r="Q30" s="12"/>
      <c r="R30" s="148"/>
      <c r="S30" s="12"/>
      <c r="T30" s="148"/>
      <c r="U30" s="12"/>
    </row>
    <row r="31" spans="2:21">
      <c r="B31" s="297" t="str">
        <f>IFERROR(VLOOKUP(Government_revenues_table[[#This Row],[Classification SFP]],Table6_GFS_codes_classification[],COLUMNS($F:F)+3,FALSE),"Do not enter data")</f>
        <v>Impôts (11E)</v>
      </c>
      <c r="C31" s="297" t="str">
        <f>IFERROR(VLOOKUP(Government_revenues_table[[#This Row],[Classification SFP]],Table6_GFS_codes_classification[],COLUMNS($F:G)+3,FALSE),"Do not enter data")</f>
        <v>Taxes sur le commerce et les transactions au niveau international (115E)</v>
      </c>
      <c r="D31" s="297" t="str">
        <f>IFERROR(VLOOKUP(Government_revenues_table[[#This Row],[Classification SFP]],Table6_GFS_codes_classification[],COLUMNS($F:H)+3,FALSE),"Do not enter data")</f>
        <v>Droits de douane et autres droits d’importation (1151E)</v>
      </c>
      <c r="E31" s="297" t="str">
        <f>IFERROR(VLOOKUP(Government_revenues_table[[#This Row],[Classification SFP]],Table6_GFS_codes_classification[],COLUMNS($F:I)+3,FALSE),"Do not enter data")</f>
        <v>Droits de douane et autres droits d’importation (1151E)</v>
      </c>
      <c r="F31" s="295" t="s">
        <v>1435</v>
      </c>
      <c r="G31" s="12" t="s">
        <v>2096</v>
      </c>
      <c r="H31" s="295" t="s">
        <v>2640</v>
      </c>
      <c r="I31" s="295" t="s">
        <v>2549</v>
      </c>
      <c r="J31" s="328">
        <v>9617818617</v>
      </c>
      <c r="K31" s="299" t="s">
        <v>1172</v>
      </c>
      <c r="P31" s="397"/>
      <c r="Q31" s="397"/>
      <c r="R31" s="397"/>
      <c r="S31" s="397"/>
      <c r="T31" s="397"/>
      <c r="U31" s="397"/>
    </row>
    <row r="32" spans="2:21">
      <c r="B32" s="297" t="str">
        <f>IFERROR(VLOOKUP(Government_revenues_table[[#This Row],[Classification SFP]],Table6_GFS_codes_classification[],COLUMNS($F:F)+3,FALSE),"Do not enter data")</f>
        <v>Impôts (11E)</v>
      </c>
      <c r="C32" s="297" t="str">
        <f>IFERROR(VLOOKUP(Government_revenues_table[[#This Row],[Classification SFP]],Table6_GFS_codes_classification[],COLUMNS($F:G)+3,FALSE),"Do not enter data")</f>
        <v>Impôts sur la masse salariale et la force de travail (112E)</v>
      </c>
      <c r="D32" s="297" t="str">
        <f>IFERROR(VLOOKUP(Government_revenues_table[[#This Row],[Classification SFP]],Table6_GFS_codes_classification[],COLUMNS($F:H)+3,FALSE),"Do not enter data")</f>
        <v>Impôts sur la masse salariale et la force de travail (112E)</v>
      </c>
      <c r="E32" s="297" t="str">
        <f>IFERROR(VLOOKUP(Government_revenues_table[[#This Row],[Classification SFP]],Table6_GFS_codes_classification[],COLUMNS($F:I)+3,FALSE),"Do not enter data")</f>
        <v>Impôts sur la masse salariale et la force de travail (112E)</v>
      </c>
      <c r="F32" s="295" t="s">
        <v>1390</v>
      </c>
      <c r="G32" s="12" t="s">
        <v>1515</v>
      </c>
      <c r="H32" s="295" t="s">
        <v>2635</v>
      </c>
      <c r="I32" s="295" t="s">
        <v>2550</v>
      </c>
      <c r="J32" s="328">
        <v>6582588951</v>
      </c>
      <c r="K32" s="299" t="s">
        <v>1172</v>
      </c>
    </row>
    <row r="33" spans="2:11">
      <c r="B33" s="297" t="str">
        <f>IFERROR(VLOOKUP(Government_revenues_table[[#This Row],[Classification SFP]],Table6_GFS_codes_classification[],COLUMNS($F:F)+3,FALSE),"Do not enter data")</f>
        <v>Impôts (11E)</v>
      </c>
      <c r="C33" s="297" t="str">
        <f>IFERROR(VLOOKUP(Government_revenues_table[[#This Row],[Classification SFP]],Table6_GFS_codes_classification[],COLUMNS($F:G)+3,FALSE),"Do not enter data")</f>
        <v>Impôts sur le revenu, le bénéfice et les plus-values</v>
      </c>
      <c r="D33" s="297" t="str">
        <f>IFERROR(VLOOKUP(Government_revenues_table[[#This Row],[Classification SFP]],Table6_GFS_codes_classification[],COLUMNS($F:H)+3,FALSE),"Do not enter data")</f>
        <v>Impôts ordinaires sur le revenu, le bénéfice et les plus-values (1112E1)</v>
      </c>
      <c r="E33" s="297" t="str">
        <f>IFERROR(VLOOKUP(Government_revenues_table[[#This Row],[Classification SFP]],Table6_GFS_codes_classification[],COLUMNS($F:I)+3,FALSE),"Do not enter data")</f>
        <v>Impôts ordinaires sur le revenu, le bénéfice et les plus-values (1112E1)</v>
      </c>
      <c r="F33" s="295" t="s">
        <v>1424</v>
      </c>
      <c r="G33" s="12" t="s">
        <v>1515</v>
      </c>
      <c r="H33" s="295" t="s">
        <v>2634</v>
      </c>
      <c r="I33" s="295" t="s">
        <v>2550</v>
      </c>
      <c r="J33" s="328">
        <v>5520710688</v>
      </c>
      <c r="K33" s="299" t="s">
        <v>1172</v>
      </c>
    </row>
    <row r="34" spans="2:11">
      <c r="B34" s="297" t="str">
        <f>IFERROR(VLOOKUP(Government_revenues_table[[#This Row],[Classification SFP]],Table6_GFS_codes_classification[],COLUMNS($F:F)+3,FALSE),"Do not enter data")</f>
        <v>Impôts (11E)</v>
      </c>
      <c r="C34" s="297" t="str">
        <f>IFERROR(VLOOKUP(Government_revenues_table[[#This Row],[Classification SFP]],Table6_GFS_codes_classification[],COLUMNS($F:G)+3,FALSE),"Do not enter data")</f>
        <v>Impôts sur le revenu, le bénéfice et les plus-values</v>
      </c>
      <c r="D34" s="297" t="str">
        <f>IFERROR(VLOOKUP(Government_revenues_table[[#This Row],[Classification SFP]],Table6_GFS_codes_classification[],COLUMNS($F:H)+3,FALSE),"Do not enter data")</f>
        <v>Impôts ordinaires sur le revenu, le bénéfice et les plus-values (1112E1)</v>
      </c>
      <c r="E34" s="297" t="str">
        <f>IFERROR(VLOOKUP(Government_revenues_table[[#This Row],[Classification SFP]],Table6_GFS_codes_classification[],COLUMNS($F:I)+3,FALSE),"Do not enter data")</f>
        <v>Impôts ordinaires sur le revenu, le bénéfice et les plus-values (1112E1)</v>
      </c>
      <c r="F34" s="295" t="s">
        <v>1424</v>
      </c>
      <c r="G34" s="12" t="s">
        <v>1515</v>
      </c>
      <c r="H34" s="295" t="s">
        <v>2633</v>
      </c>
      <c r="I34" s="295" t="s">
        <v>2550</v>
      </c>
      <c r="J34" s="328">
        <v>5030892002</v>
      </c>
      <c r="K34" s="299" t="s">
        <v>1172</v>
      </c>
    </row>
    <row r="35" spans="2:11">
      <c r="B35" s="300" t="str">
        <f>IFERROR(VLOOKUP(Government_revenues_table[[#This Row],[Classification SFP]],Table6_GFS_codes_classification[],COLUMNS($F:F)+3,FALSE),"Do not enter data")</f>
        <v>Cotisations sociales (12E)</v>
      </c>
      <c r="C35" s="300" t="str">
        <f>IFERROR(VLOOKUP(Government_revenues_table[[#This Row],[Classification SFP]],Table6_GFS_codes_classification[],COLUMNS($F:G)+3,FALSE),"Do not enter data")</f>
        <v>Cotisations patronales à la sécurité sociale (1212E)</v>
      </c>
      <c r="D35" s="300" t="str">
        <f>IFERROR(VLOOKUP(Government_revenues_table[[#This Row],[Classification SFP]],Table6_GFS_codes_classification[],COLUMNS($F:H)+3,FALSE),"Do not enter data")</f>
        <v>Cotisations patronales à la sécurité sociale (1212E)</v>
      </c>
      <c r="E35" s="300" t="str">
        <f>IFERROR(VLOOKUP(Government_revenues_table[[#This Row],[Classification SFP]],Table6_GFS_codes_classification[],COLUMNS($F:I)+3,FALSE),"Do not enter data")</f>
        <v>Cotisations patronales à la sécurité sociale (1212E)</v>
      </c>
      <c r="F35" s="295" t="s">
        <v>1396</v>
      </c>
      <c r="G35" s="12" t="s">
        <v>2096</v>
      </c>
      <c r="H35" s="295" t="s">
        <v>2655</v>
      </c>
      <c r="I35" s="295" t="s">
        <v>2554</v>
      </c>
      <c r="J35" s="328">
        <v>4607220095</v>
      </c>
      <c r="K35" s="299" t="s">
        <v>1172</v>
      </c>
    </row>
    <row r="36" spans="2:11">
      <c r="B36" s="297" t="str">
        <f>IFERROR(VLOOKUP(Government_revenues_table[[#This Row],[Classification SFP]],Table6_GFS_codes_classification[],COLUMNS($F:F)+3,FALSE),"Do not enter data")</f>
        <v>Impôts (11E)</v>
      </c>
      <c r="C36" s="297" t="str">
        <f>IFERROR(VLOOKUP(Government_revenues_table[[#This Row],[Classification SFP]],Table6_GFS_codes_classification[],COLUMNS($F:G)+3,FALSE),"Do not enter data")</f>
        <v>Impôts sur le revenu, le bénéfice et les plus-values</v>
      </c>
      <c r="D36" s="297" t="str">
        <f>IFERROR(VLOOKUP(Government_revenues_table[[#This Row],[Classification SFP]],Table6_GFS_codes_classification[],COLUMNS($F:H)+3,FALSE),"Do not enter data")</f>
        <v>Impôts ordinaires sur le revenu, le bénéfice et les plus-values (1112E1)</v>
      </c>
      <c r="E36" s="297" t="str">
        <f>IFERROR(VLOOKUP(Government_revenues_table[[#This Row],[Classification SFP]],Table6_GFS_codes_classification[],COLUMNS($F:I)+3,FALSE),"Do not enter data")</f>
        <v>Impôts ordinaires sur le revenu, le bénéfice et les plus-values (1112E1)</v>
      </c>
      <c r="F36" s="295" t="s">
        <v>1424</v>
      </c>
      <c r="G36" s="12" t="s">
        <v>2096</v>
      </c>
      <c r="H36" s="295" t="s">
        <v>2634</v>
      </c>
      <c r="I36" s="295" t="s">
        <v>2550</v>
      </c>
      <c r="J36" s="328">
        <v>3563953859</v>
      </c>
      <c r="K36" s="299" t="s">
        <v>1172</v>
      </c>
    </row>
    <row r="37" spans="2:11">
      <c r="B37" s="297" t="str">
        <f>IFERROR(VLOOKUP(Government_revenues_table[[#This Row],[Classification SFP]],Table6_GFS_codes_classification[],COLUMNS($F:F)+3,FALSE),"Do not enter data")</f>
        <v>Impôts (11E)</v>
      </c>
      <c r="C37" s="297" t="str">
        <f>IFERROR(VLOOKUP(Government_revenues_table[[#This Row],[Classification SFP]],Table6_GFS_codes_classification[],COLUMNS($F:G)+3,FALSE),"Do not enter data")</f>
        <v>Taxes sur le commerce et les transactions au niveau international (115E)</v>
      </c>
      <c r="D37" s="297" t="str">
        <f>IFERROR(VLOOKUP(Government_revenues_table[[#This Row],[Classification SFP]],Table6_GFS_codes_classification[],COLUMNS($F:H)+3,FALSE),"Do not enter data")</f>
        <v>Droits de douane et autres droits d’importation (1151E)</v>
      </c>
      <c r="E37" s="297" t="str">
        <f>IFERROR(VLOOKUP(Government_revenues_table[[#This Row],[Classification SFP]],Table6_GFS_codes_classification[],COLUMNS($F:I)+3,FALSE),"Do not enter data")</f>
        <v>Droits de douane et autres droits d’importation (1151E)</v>
      </c>
      <c r="F37" s="295" t="s">
        <v>1435</v>
      </c>
      <c r="G37" s="12" t="s">
        <v>1515</v>
      </c>
      <c r="H37" s="295" t="s">
        <v>2644</v>
      </c>
      <c r="I37" s="295" t="s">
        <v>2549</v>
      </c>
      <c r="J37" s="328">
        <v>2224611231</v>
      </c>
      <c r="K37" s="299" t="s">
        <v>1172</v>
      </c>
    </row>
    <row r="38" spans="2:11">
      <c r="B38" s="297" t="str">
        <f>IFERROR(VLOOKUP(Government_revenues_table[[#This Row],[Classification SFP]],Table6_GFS_codes_classification[],COLUMNS($F:F)+3,FALSE),"Do not enter data")</f>
        <v>Impôts (11E)</v>
      </c>
      <c r="C38" s="297" t="str">
        <f>IFERROR(VLOOKUP(Government_revenues_table[[#This Row],[Classification SFP]],Table6_GFS_codes_classification[],COLUMNS($F:G)+3,FALSE),"Do not enter data")</f>
        <v>Taxes sur le commerce et les transactions au niveau international (115E)</v>
      </c>
      <c r="D38" s="297" t="str">
        <f>IFERROR(VLOOKUP(Government_revenues_table[[#This Row],[Classification SFP]],Table6_GFS_codes_classification[],COLUMNS($F:H)+3,FALSE),"Do not enter data")</f>
        <v>Droits de douane et autres droits d’importation (1151E)</v>
      </c>
      <c r="E38" s="297" t="str">
        <f>IFERROR(VLOOKUP(Government_revenues_table[[#This Row],[Classification SFP]],Table6_GFS_codes_classification[],COLUMNS($F:I)+3,FALSE),"Do not enter data")</f>
        <v>Droits de douane et autres droits d’importation (1151E)</v>
      </c>
      <c r="F38" s="295" t="s">
        <v>1435</v>
      </c>
      <c r="G38" s="12" t="s">
        <v>2096</v>
      </c>
      <c r="H38" s="295" t="s">
        <v>2644</v>
      </c>
      <c r="I38" s="295" t="s">
        <v>2549</v>
      </c>
      <c r="J38" s="328">
        <v>1786007941</v>
      </c>
      <c r="K38" s="299" t="s">
        <v>1172</v>
      </c>
    </row>
    <row r="39" spans="2:11">
      <c r="B39" s="297" t="str">
        <f>IFERROR(VLOOKUP(Government_revenues_table[[#This Row],[Classification SFP]],Table6_GFS_codes_classification[],COLUMNS($F:F)+3,FALSE),"Do not enter data")</f>
        <v>Impôts (11E)</v>
      </c>
      <c r="C39" s="297" t="str">
        <f>IFERROR(VLOOKUP(Government_revenues_table[[#This Row],[Classification SFP]],Table6_GFS_codes_classification[],COLUMNS($F:G)+3,FALSE),"Do not enter data")</f>
        <v>Taxes sur le commerce et les transactions au niveau international (115E)</v>
      </c>
      <c r="D39" s="297" t="str">
        <f>IFERROR(VLOOKUP(Government_revenues_table[[#This Row],[Classification SFP]],Table6_GFS_codes_classification[],COLUMNS($F:H)+3,FALSE),"Do not enter data")</f>
        <v>Droits de douane et autres droits d’importation (1151E)</v>
      </c>
      <c r="E39" s="297" t="str">
        <f>IFERROR(VLOOKUP(Government_revenues_table[[#This Row],[Classification SFP]],Table6_GFS_codes_classification[],COLUMNS($F:I)+3,FALSE),"Do not enter data")</f>
        <v>Droits de douane et autres droits d’importation (1151E)</v>
      </c>
      <c r="F39" s="295" t="s">
        <v>1435</v>
      </c>
      <c r="G39" s="12" t="s">
        <v>1515</v>
      </c>
      <c r="H39" s="295" t="s">
        <v>2642</v>
      </c>
      <c r="I39" s="295" t="s">
        <v>2549</v>
      </c>
      <c r="J39" s="328">
        <v>1779688959</v>
      </c>
      <c r="K39" s="299" t="s">
        <v>1172</v>
      </c>
    </row>
    <row r="40" spans="2:11">
      <c r="B40" s="297" t="str">
        <f>IFERROR(VLOOKUP(Government_revenues_table[[#This Row],[Classification SFP]],Table6_GFS_codes_classification[],COLUMNS($F:F)+3,FALSE),"Do not enter data")</f>
        <v>Impôts (11E)</v>
      </c>
      <c r="C40" s="297" t="str">
        <f>IFERROR(VLOOKUP(Government_revenues_table[[#This Row],[Classification SFP]],Table6_GFS_codes_classification[],COLUMNS($F:G)+3,FALSE),"Do not enter data")</f>
        <v>Impôts sur le revenu, le bénéfice et les plus-values</v>
      </c>
      <c r="D40" s="297" t="str">
        <f>IFERROR(VLOOKUP(Government_revenues_table[[#This Row],[Classification SFP]],Table6_GFS_codes_classification[],COLUMNS($F:H)+3,FALSE),"Do not enter data")</f>
        <v>Impôts ordinaires sur le revenu, le bénéfice et les plus-values (1112E1)</v>
      </c>
      <c r="E40" s="297" t="str">
        <f>IFERROR(VLOOKUP(Government_revenues_table[[#This Row],[Classification SFP]],Table6_GFS_codes_classification[],COLUMNS($F:I)+3,FALSE),"Do not enter data")</f>
        <v>Impôts ordinaires sur le revenu, le bénéfice et les plus-values (1112E1)</v>
      </c>
      <c r="F40" s="295" t="s">
        <v>1424</v>
      </c>
      <c r="G40" s="12" t="s">
        <v>2096</v>
      </c>
      <c r="H40" s="295" t="s">
        <v>2648</v>
      </c>
      <c r="I40" s="295" t="s">
        <v>2551</v>
      </c>
      <c r="J40" s="328">
        <v>1770577202</v>
      </c>
      <c r="K40" s="299" t="s">
        <v>1172</v>
      </c>
    </row>
    <row r="41" spans="2:11">
      <c r="B41" s="297" t="str">
        <f>IFERROR(VLOOKUP(Government_revenues_table[[#This Row],[Classification SFP]],Table6_GFS_codes_classification[],COLUMNS($F:F)+3,FALSE),"Do not enter data")</f>
        <v>Impôts (11E)</v>
      </c>
      <c r="C41" s="297" t="str">
        <f>IFERROR(VLOOKUP(Government_revenues_table[[#This Row],[Classification SFP]],Table6_GFS_codes_classification[],COLUMNS($F:G)+3,FALSE),"Do not enter data")</f>
        <v>Taxes sur le commerce et les transactions au niveau international (115E)</v>
      </c>
      <c r="D41" s="297" t="str">
        <f>IFERROR(VLOOKUP(Government_revenues_table[[#This Row],[Classification SFP]],Table6_GFS_codes_classification[],COLUMNS($F:H)+3,FALSE),"Do not enter data")</f>
        <v>Droits de douane et autres droits d’importation (1151E)</v>
      </c>
      <c r="E41" s="297" t="str">
        <f>IFERROR(VLOOKUP(Government_revenues_table[[#This Row],[Classification SFP]],Table6_GFS_codes_classification[],COLUMNS($F:I)+3,FALSE),"Do not enter data")</f>
        <v>Droits de douane et autres droits d’importation (1151E)</v>
      </c>
      <c r="F41" s="295" t="s">
        <v>1435</v>
      </c>
      <c r="G41" s="12" t="s">
        <v>2096</v>
      </c>
      <c r="H41" s="295" t="s">
        <v>2689</v>
      </c>
      <c r="I41" s="295" t="s">
        <v>2549</v>
      </c>
      <c r="J41" s="328">
        <v>1720246820</v>
      </c>
      <c r="K41" s="299" t="s">
        <v>1172</v>
      </c>
    </row>
    <row r="42" spans="2:11">
      <c r="B42" s="297" t="str">
        <f>IFERROR(VLOOKUP(Government_revenues_table[[#This Row],[Classification SFP]],Table6_GFS_codes_classification[],COLUMNS($F:F)+3,FALSE),"Do not enter data")</f>
        <v>Impôts (11E)</v>
      </c>
      <c r="C42" s="297" t="str">
        <f>IFERROR(VLOOKUP(Government_revenues_table[[#This Row],[Classification SFP]],Table6_GFS_codes_classification[],COLUMNS($F:G)+3,FALSE),"Do not enter data")</f>
        <v>Taxes sur le commerce et les transactions au niveau international (115E)</v>
      </c>
      <c r="D42" s="297" t="str">
        <f>IFERROR(VLOOKUP(Government_revenues_table[[#This Row],[Classification SFP]],Table6_GFS_codes_classification[],COLUMNS($F:H)+3,FALSE),"Do not enter data")</f>
        <v>Droits de douane et autres droits d’importation (1151E)</v>
      </c>
      <c r="E42" s="297" t="str">
        <f>IFERROR(VLOOKUP(Government_revenues_table[[#This Row],[Classification SFP]],Table6_GFS_codes_classification[],COLUMNS($F:I)+3,FALSE),"Do not enter data")</f>
        <v>Droits de douane et autres droits d’importation (1151E)</v>
      </c>
      <c r="F42" s="295" t="s">
        <v>1435</v>
      </c>
      <c r="G42" s="12" t="s">
        <v>2096</v>
      </c>
      <c r="H42" s="295" t="s">
        <v>2642</v>
      </c>
      <c r="I42" s="295" t="s">
        <v>2549</v>
      </c>
      <c r="J42" s="328">
        <v>1428400012</v>
      </c>
      <c r="K42" s="299" t="s">
        <v>1172</v>
      </c>
    </row>
    <row r="43" spans="2:11">
      <c r="B43" s="297" t="str">
        <f>IFERROR(VLOOKUP(Government_revenues_table[[#This Row],[Classification SFP]],Table6_GFS_codes_classification[],COLUMNS($F:F)+3,FALSE),"Do not enter data")</f>
        <v>Impôts (11E)</v>
      </c>
      <c r="C43" s="297" t="str">
        <f>IFERROR(VLOOKUP(Government_revenues_table[[#This Row],[Classification SFP]],Table6_GFS_codes_classification[],COLUMNS($F:G)+3,FALSE),"Do not enter data")</f>
        <v>Impôts sur le revenu, le bénéfice et les plus-values</v>
      </c>
      <c r="D43" s="297" t="str">
        <f>IFERROR(VLOOKUP(Government_revenues_table[[#This Row],[Classification SFP]],Table6_GFS_codes_classification[],COLUMNS($F:H)+3,FALSE),"Do not enter data")</f>
        <v>Impôts ordinaires sur le revenu, le bénéfice et les plus-values (1112E1)</v>
      </c>
      <c r="E43" s="297" t="str">
        <f>IFERROR(VLOOKUP(Government_revenues_table[[#This Row],[Classification SFP]],Table6_GFS_codes_classification[],COLUMNS($F:I)+3,FALSE),"Do not enter data")</f>
        <v>Impôts ordinaires sur le revenu, le bénéfice et les plus-values (1112E1)</v>
      </c>
      <c r="F43" s="295" t="s">
        <v>1424</v>
      </c>
      <c r="G43" s="12" t="s">
        <v>2096</v>
      </c>
      <c r="H43" s="295" t="s">
        <v>2632</v>
      </c>
      <c r="I43" s="295" t="s">
        <v>2550</v>
      </c>
      <c r="J43" s="328">
        <v>1167984756</v>
      </c>
      <c r="K43" s="299" t="s">
        <v>1172</v>
      </c>
    </row>
    <row r="44" spans="2:11">
      <c r="B44" s="300" t="str">
        <f>IFERROR(VLOOKUP(Government_revenues_table[[#This Row],[Classification SFP]],Table6_GFS_codes_classification[],COLUMNS($F:F)+3,FALSE),"Do not enter data")</f>
        <v>Impôts (11E)</v>
      </c>
      <c r="C44" s="300" t="str">
        <f>IFERROR(VLOOKUP(Government_revenues_table[[#This Row],[Classification SFP]],Table6_GFS_codes_classification[],COLUMNS($F:G)+3,FALSE),"Do not enter data")</f>
        <v>Taxes sur le commerce et les transactions au niveau international (115E)</v>
      </c>
      <c r="D44" s="300" t="str">
        <f>IFERROR(VLOOKUP(Government_revenues_table[[#This Row],[Classification SFP]],Table6_GFS_codes_classification[],COLUMNS($F:H)+3,FALSE),"Do not enter data")</f>
        <v>Droits de douane et autres droits d’importation (1151E)</v>
      </c>
      <c r="E44" s="300" t="str">
        <f>IFERROR(VLOOKUP(Government_revenues_table[[#This Row],[Classification SFP]],Table6_GFS_codes_classification[],COLUMNS($F:I)+3,FALSE),"Do not enter data")</f>
        <v>Droits de douane et autres droits d’importation (1151E)</v>
      </c>
      <c r="F44" s="295" t="s">
        <v>1435</v>
      </c>
      <c r="G44" s="12" t="s">
        <v>1515</v>
      </c>
      <c r="H44" s="295" t="s">
        <v>2641</v>
      </c>
      <c r="I44" s="295" t="s">
        <v>2549</v>
      </c>
      <c r="J44" s="328">
        <v>1112305595</v>
      </c>
      <c r="K44" s="299" t="s">
        <v>1172</v>
      </c>
    </row>
    <row r="45" spans="2:11">
      <c r="B45" s="297" t="str">
        <f>IFERROR(VLOOKUP(Government_revenues_table[[#This Row],[Classification SFP]],Table6_GFS_codes_classification[],COLUMNS($F:F)+3,FALSE),"Do not enter data")</f>
        <v>Impôts (11E)</v>
      </c>
      <c r="C45" s="297" t="str">
        <f>IFERROR(VLOOKUP(Government_revenues_table[[#This Row],[Classification SFP]],Table6_GFS_codes_classification[],COLUMNS($F:G)+3,FALSE),"Do not enter data")</f>
        <v>Taxes sur le commerce et les transactions au niveau international (115E)</v>
      </c>
      <c r="D45" s="297" t="str">
        <f>IFERROR(VLOOKUP(Government_revenues_table[[#This Row],[Classification SFP]],Table6_GFS_codes_classification[],COLUMNS($F:H)+3,FALSE),"Do not enter data")</f>
        <v>Droits de douane et autres droits d’importation (1151E)</v>
      </c>
      <c r="E45" s="297" t="str">
        <f>IFERROR(VLOOKUP(Government_revenues_table[[#This Row],[Classification SFP]],Table6_GFS_codes_classification[],COLUMNS($F:I)+3,FALSE),"Do not enter data")</f>
        <v>Droits de douane et autres droits d’importation (1151E)</v>
      </c>
      <c r="F45" s="295" t="s">
        <v>1435</v>
      </c>
      <c r="G45" s="12" t="s">
        <v>2096</v>
      </c>
      <c r="H45" s="295" t="s">
        <v>2641</v>
      </c>
      <c r="I45" s="295" t="s">
        <v>2549</v>
      </c>
      <c r="J45" s="299">
        <v>891930319</v>
      </c>
      <c r="K45" s="299" t="s">
        <v>1172</v>
      </c>
    </row>
    <row r="46" spans="2:11">
      <c r="B46" s="297" t="str">
        <f>IFERROR(VLOOKUP(Government_revenues_table[[#This Row],[Classification SFP]],Table6_GFS_codes_classification[],COLUMNS($F:F)+3,FALSE),"Do not enter data")</f>
        <v>Cotisations sociales (12E)</v>
      </c>
      <c r="C46" s="297" t="str">
        <f>IFERROR(VLOOKUP(Government_revenues_table[[#This Row],[Classification SFP]],Table6_GFS_codes_classification[],COLUMNS($F:G)+3,FALSE),"Do not enter data")</f>
        <v>Cotisations patronales à la sécurité sociale (1212E)</v>
      </c>
      <c r="D46" s="297" t="str">
        <f>IFERROR(VLOOKUP(Government_revenues_table[[#This Row],[Classification SFP]],Table6_GFS_codes_classification[],COLUMNS($F:H)+3,FALSE),"Do not enter data")</f>
        <v>Cotisations patronales à la sécurité sociale (1212E)</v>
      </c>
      <c r="E46" s="297" t="str">
        <f>IFERROR(VLOOKUP(Government_revenues_table[[#This Row],[Classification SFP]],Table6_GFS_codes_classification[],COLUMNS($F:I)+3,FALSE),"Do not enter data")</f>
        <v>Cotisations patronales à la sécurité sociale (1212E)</v>
      </c>
      <c r="F46" s="295" t="s">
        <v>1396</v>
      </c>
      <c r="G46" s="12" t="s">
        <v>2096</v>
      </c>
      <c r="H46" s="295" t="s">
        <v>2688</v>
      </c>
      <c r="I46" s="295" t="s">
        <v>2555</v>
      </c>
      <c r="J46" s="328">
        <v>856016492</v>
      </c>
      <c r="K46" s="299" t="s">
        <v>1172</v>
      </c>
    </row>
    <row r="47" spans="2:11">
      <c r="B47" s="300"/>
      <c r="C47" s="300"/>
      <c r="D47" s="300"/>
      <c r="E47" s="300"/>
      <c r="F47" s="295" t="s">
        <v>1422</v>
      </c>
      <c r="G47" s="12" t="s">
        <v>1515</v>
      </c>
      <c r="H47" s="295" t="s">
        <v>2657</v>
      </c>
      <c r="I47" s="295" t="s">
        <v>2556</v>
      </c>
      <c r="J47" s="328">
        <v>841183229.81366467</v>
      </c>
      <c r="K47" s="299" t="s">
        <v>1172</v>
      </c>
    </row>
    <row r="48" spans="2:11">
      <c r="B48" s="300"/>
      <c r="C48" s="300"/>
      <c r="D48" s="300"/>
      <c r="E48" s="300"/>
      <c r="F48" s="295" t="s">
        <v>1424</v>
      </c>
      <c r="G48" s="12" t="s">
        <v>2096</v>
      </c>
      <c r="H48" s="295" t="s">
        <v>2650</v>
      </c>
      <c r="I48" s="295" t="s">
        <v>2551</v>
      </c>
      <c r="J48" s="299">
        <v>700210162</v>
      </c>
      <c r="K48" s="299" t="s">
        <v>1172</v>
      </c>
    </row>
    <row r="49" spans="2:11">
      <c r="B49" s="300"/>
      <c r="C49" s="300"/>
      <c r="D49" s="300"/>
      <c r="E49" s="300"/>
      <c r="F49" s="295" t="s">
        <v>1394</v>
      </c>
      <c r="G49" s="12" t="s">
        <v>2096</v>
      </c>
      <c r="H49" s="295" t="s">
        <v>2625</v>
      </c>
      <c r="I49" s="295" t="s">
        <v>2695</v>
      </c>
      <c r="J49" s="299">
        <v>597564136</v>
      </c>
      <c r="K49" s="299" t="s">
        <v>1172</v>
      </c>
    </row>
    <row r="50" spans="2:11">
      <c r="B50" s="300"/>
      <c r="C50" s="300"/>
      <c r="D50" s="300"/>
      <c r="E50" s="300"/>
      <c r="F50" s="295" t="s">
        <v>1503</v>
      </c>
      <c r="G50" s="12" t="s">
        <v>1515</v>
      </c>
      <c r="H50" s="295" t="s">
        <v>2638</v>
      </c>
      <c r="I50" s="295" t="s">
        <v>2550</v>
      </c>
      <c r="J50" s="328">
        <v>495067538</v>
      </c>
      <c r="K50" s="299" t="s">
        <v>1172</v>
      </c>
    </row>
    <row r="51" spans="2:11">
      <c r="B51" s="300"/>
      <c r="C51" s="300"/>
      <c r="D51" s="300"/>
      <c r="E51" s="300"/>
      <c r="F51" s="295" t="s">
        <v>1394</v>
      </c>
      <c r="G51" s="12" t="s">
        <v>2096</v>
      </c>
      <c r="H51" s="295" t="s">
        <v>2653</v>
      </c>
      <c r="I51" s="295" t="s">
        <v>2552</v>
      </c>
      <c r="J51" s="328">
        <v>488520113</v>
      </c>
      <c r="K51" s="299" t="s">
        <v>1172</v>
      </c>
    </row>
    <row r="52" spans="2:11">
      <c r="B52" s="300"/>
      <c r="C52" s="300"/>
      <c r="D52" s="300"/>
      <c r="E52" s="300"/>
      <c r="F52" s="295" t="s">
        <v>2527</v>
      </c>
      <c r="G52" s="12" t="s">
        <v>1515</v>
      </c>
      <c r="H52" s="295" t="s">
        <v>2656</v>
      </c>
      <c r="I52" s="295" t="s">
        <v>2556</v>
      </c>
      <c r="J52" s="328">
        <v>475028655.27950311</v>
      </c>
      <c r="K52" s="299" t="s">
        <v>1172</v>
      </c>
    </row>
    <row r="53" spans="2:11">
      <c r="B53" s="300"/>
      <c r="C53" s="300"/>
      <c r="D53" s="300"/>
      <c r="E53" s="300"/>
      <c r="F53" s="295" t="s">
        <v>1424</v>
      </c>
      <c r="G53" s="12" t="s">
        <v>2096</v>
      </c>
      <c r="H53" s="295" t="s">
        <v>2629</v>
      </c>
      <c r="I53" s="295" t="s">
        <v>2550</v>
      </c>
      <c r="J53" s="299">
        <v>465851016</v>
      </c>
      <c r="K53" s="299" t="s">
        <v>1172</v>
      </c>
    </row>
    <row r="54" spans="2:11">
      <c r="B54" s="300"/>
      <c r="C54" s="300"/>
      <c r="D54" s="300"/>
      <c r="E54" s="300"/>
      <c r="F54" s="295" t="s">
        <v>1424</v>
      </c>
      <c r="G54" s="12" t="s">
        <v>2096</v>
      </c>
      <c r="H54" s="295" t="s">
        <v>2628</v>
      </c>
      <c r="I54" s="295" t="s">
        <v>2550</v>
      </c>
      <c r="J54" s="328">
        <v>447459127</v>
      </c>
      <c r="K54" s="299" t="s">
        <v>1172</v>
      </c>
    </row>
    <row r="55" spans="2:11">
      <c r="B55" s="300"/>
      <c r="C55" s="300"/>
      <c r="D55" s="300"/>
      <c r="E55" s="300"/>
      <c r="F55" s="295" t="s">
        <v>1465</v>
      </c>
      <c r="G55" s="12" t="s">
        <v>2096</v>
      </c>
      <c r="H55" s="295" t="s">
        <v>2627</v>
      </c>
      <c r="I55" s="295" t="s">
        <v>2551</v>
      </c>
      <c r="J55" s="328">
        <v>438801620</v>
      </c>
      <c r="K55" s="299" t="s">
        <v>1172</v>
      </c>
    </row>
    <row r="56" spans="2:11">
      <c r="B56" s="300"/>
      <c r="C56" s="300"/>
      <c r="D56" s="300"/>
      <c r="E56" s="300"/>
      <c r="F56" s="295" t="s">
        <v>1465</v>
      </c>
      <c r="G56" s="12" t="s">
        <v>2096</v>
      </c>
      <c r="H56" s="295" t="s">
        <v>2624</v>
      </c>
      <c r="I56" s="295" t="s">
        <v>2551</v>
      </c>
      <c r="J56" s="328">
        <v>423355547</v>
      </c>
      <c r="K56" s="299" t="s">
        <v>1172</v>
      </c>
    </row>
    <row r="57" spans="2:11">
      <c r="B57" s="300"/>
      <c r="C57" s="300"/>
      <c r="D57" s="300"/>
      <c r="E57" s="300"/>
      <c r="F57" s="295" t="s">
        <v>1435</v>
      </c>
      <c r="G57" s="12" t="s">
        <v>2096</v>
      </c>
      <c r="H57" s="295" t="s">
        <v>2643</v>
      </c>
      <c r="I57" s="295" t="s">
        <v>2549</v>
      </c>
      <c r="J57" s="328">
        <v>414253631</v>
      </c>
      <c r="K57" s="299" t="s">
        <v>1172</v>
      </c>
    </row>
    <row r="58" spans="2:11">
      <c r="B58" s="300"/>
      <c r="C58" s="300"/>
      <c r="D58" s="300"/>
      <c r="E58" s="300"/>
      <c r="F58" s="295" t="s">
        <v>1465</v>
      </c>
      <c r="G58" s="298" t="s">
        <v>2096</v>
      </c>
      <c r="H58" s="298" t="s">
        <v>2627</v>
      </c>
      <c r="I58" s="298" t="s">
        <v>2695</v>
      </c>
      <c r="J58" s="298">
        <v>377603675</v>
      </c>
      <c r="K58" s="298" t="s">
        <v>1172</v>
      </c>
    </row>
    <row r="59" spans="2:11">
      <c r="B59" s="300"/>
      <c r="C59" s="300"/>
      <c r="D59" s="300"/>
      <c r="E59" s="300"/>
      <c r="F59" s="295" t="s">
        <v>1503</v>
      </c>
      <c r="G59" s="12" t="s">
        <v>2096</v>
      </c>
      <c r="H59" s="295" t="s">
        <v>2637</v>
      </c>
      <c r="I59" s="295" t="s">
        <v>2550</v>
      </c>
      <c r="J59" s="328">
        <v>370109536</v>
      </c>
      <c r="K59" s="299" t="s">
        <v>1172</v>
      </c>
    </row>
    <row r="60" spans="2:11">
      <c r="B60" s="300"/>
      <c r="C60" s="300"/>
      <c r="D60" s="300"/>
      <c r="E60" s="300"/>
      <c r="F60" s="295" t="s">
        <v>1396</v>
      </c>
      <c r="G60" s="12" t="s">
        <v>1515</v>
      </c>
      <c r="H60" s="295" t="s">
        <v>2655</v>
      </c>
      <c r="I60" s="295" t="s">
        <v>2554</v>
      </c>
      <c r="J60" s="299">
        <v>265513504</v>
      </c>
      <c r="K60" s="299" t="s">
        <v>1172</v>
      </c>
    </row>
    <row r="61" spans="2:11">
      <c r="B61" s="300"/>
      <c r="C61" s="300"/>
      <c r="D61" s="300"/>
      <c r="E61" s="300"/>
      <c r="F61" s="295" t="s">
        <v>1424</v>
      </c>
      <c r="G61" s="12" t="s">
        <v>2096</v>
      </c>
      <c r="H61" s="295" t="s">
        <v>2633</v>
      </c>
      <c r="I61" s="295" t="s">
        <v>2550</v>
      </c>
      <c r="J61" s="328">
        <v>234891683</v>
      </c>
      <c r="K61" s="299" t="s">
        <v>1172</v>
      </c>
    </row>
    <row r="62" spans="2:11">
      <c r="B62" s="300"/>
      <c r="C62" s="300"/>
      <c r="D62" s="300"/>
      <c r="E62" s="300"/>
      <c r="F62" s="295" t="s">
        <v>1424</v>
      </c>
      <c r="G62" s="12" t="s">
        <v>2096</v>
      </c>
      <c r="H62" s="295" t="s">
        <v>2783</v>
      </c>
      <c r="I62" s="295" t="s">
        <v>2550</v>
      </c>
      <c r="J62" s="328">
        <v>231638203</v>
      </c>
      <c r="K62" s="299" t="s">
        <v>1172</v>
      </c>
    </row>
    <row r="63" spans="2:11">
      <c r="B63" s="300"/>
      <c r="C63" s="300"/>
      <c r="D63" s="300"/>
      <c r="E63" s="300"/>
      <c r="F63" s="295" t="s">
        <v>1424</v>
      </c>
      <c r="G63" s="12" t="s">
        <v>1515</v>
      </c>
      <c r="H63" s="295" t="s">
        <v>2628</v>
      </c>
      <c r="I63" s="295" t="s">
        <v>2556</v>
      </c>
      <c r="J63" s="328">
        <v>149806504</v>
      </c>
      <c r="K63" s="299" t="s">
        <v>1172</v>
      </c>
    </row>
    <row r="64" spans="2:11">
      <c r="B64" s="300"/>
      <c r="C64" s="300"/>
      <c r="D64" s="300"/>
      <c r="E64" s="300"/>
      <c r="F64" s="295" t="s">
        <v>1424</v>
      </c>
      <c r="G64" s="12" t="s">
        <v>2096</v>
      </c>
      <c r="H64" s="295" t="s">
        <v>2626</v>
      </c>
      <c r="I64" s="295" t="s">
        <v>2551</v>
      </c>
      <c r="J64" s="328">
        <v>128500000</v>
      </c>
      <c r="K64" s="299" t="s">
        <v>1172</v>
      </c>
    </row>
    <row r="65" spans="2:11">
      <c r="B65" s="300"/>
      <c r="C65" s="300"/>
      <c r="D65" s="300"/>
      <c r="E65" s="300"/>
      <c r="F65" s="295" t="s">
        <v>1422</v>
      </c>
      <c r="G65" s="12" t="s">
        <v>2096</v>
      </c>
      <c r="H65" s="295" t="s">
        <v>2652</v>
      </c>
      <c r="I65" s="295" t="s">
        <v>2553</v>
      </c>
      <c r="J65" s="328">
        <v>127134379</v>
      </c>
      <c r="K65" s="299" t="s">
        <v>1172</v>
      </c>
    </row>
    <row r="66" spans="2:11">
      <c r="B66" s="300"/>
      <c r="C66" s="300"/>
      <c r="D66" s="300"/>
      <c r="E66" s="300"/>
      <c r="F66" s="295" t="s">
        <v>1424</v>
      </c>
      <c r="G66" s="12" t="s">
        <v>2096</v>
      </c>
      <c r="H66" s="295" t="s">
        <v>2694</v>
      </c>
      <c r="I66" s="295" t="s">
        <v>2549</v>
      </c>
      <c r="J66" s="328">
        <v>117474679</v>
      </c>
      <c r="K66" s="299" t="s">
        <v>1172</v>
      </c>
    </row>
    <row r="67" spans="2:11">
      <c r="B67" s="300"/>
      <c r="C67" s="300"/>
      <c r="D67" s="300"/>
      <c r="E67" s="300"/>
      <c r="F67" s="295" t="s">
        <v>1424</v>
      </c>
      <c r="G67" s="12" t="s">
        <v>2096</v>
      </c>
      <c r="H67" s="295" t="s">
        <v>2626</v>
      </c>
      <c r="I67" s="295" t="s">
        <v>2695</v>
      </c>
      <c r="J67" s="328">
        <v>89359225</v>
      </c>
      <c r="K67" s="299" t="s">
        <v>1172</v>
      </c>
    </row>
    <row r="68" spans="2:11">
      <c r="B68" s="300"/>
      <c r="C68" s="300"/>
      <c r="D68" s="300"/>
      <c r="E68" s="300"/>
      <c r="F68" s="295" t="s">
        <v>1424</v>
      </c>
      <c r="G68" s="12" t="s">
        <v>1515</v>
      </c>
      <c r="H68" s="295" t="s">
        <v>2632</v>
      </c>
      <c r="I68" s="295" t="s">
        <v>2550</v>
      </c>
      <c r="J68" s="328">
        <v>85260159</v>
      </c>
      <c r="K68" s="299" t="s">
        <v>1172</v>
      </c>
    </row>
    <row r="69" spans="2:11">
      <c r="B69" s="300"/>
      <c r="C69" s="300"/>
      <c r="D69" s="300"/>
      <c r="E69" s="300"/>
      <c r="F69" s="295" t="s">
        <v>1394</v>
      </c>
      <c r="G69" s="12" t="s">
        <v>2096</v>
      </c>
      <c r="H69" s="295" t="s">
        <v>2651</v>
      </c>
      <c r="I69" s="295" t="s">
        <v>2553</v>
      </c>
      <c r="J69" s="328">
        <v>76953800</v>
      </c>
      <c r="K69" s="299" t="s">
        <v>1172</v>
      </c>
    </row>
    <row r="70" spans="2:11">
      <c r="B70" s="300"/>
      <c r="C70" s="300"/>
      <c r="D70" s="300"/>
      <c r="E70" s="300"/>
      <c r="F70" s="295" t="s">
        <v>1435</v>
      </c>
      <c r="G70" s="12" t="s">
        <v>2096</v>
      </c>
      <c r="H70" s="295" t="s">
        <v>2645</v>
      </c>
      <c r="I70" s="295" t="s">
        <v>2549</v>
      </c>
      <c r="J70" s="328">
        <v>65780486</v>
      </c>
      <c r="K70" s="299" t="s">
        <v>1172</v>
      </c>
    </row>
    <row r="71" spans="2:11">
      <c r="B71" s="300"/>
      <c r="C71" s="300"/>
      <c r="D71" s="300"/>
      <c r="E71" s="300"/>
      <c r="F71" s="295" t="s">
        <v>1424</v>
      </c>
      <c r="G71" s="12" t="s">
        <v>2096</v>
      </c>
      <c r="H71" s="295" t="s">
        <v>2628</v>
      </c>
      <c r="I71" s="295" t="s">
        <v>2551</v>
      </c>
      <c r="J71" s="328">
        <v>58218717</v>
      </c>
      <c r="K71" s="299" t="s">
        <v>1172</v>
      </c>
    </row>
    <row r="72" spans="2:11">
      <c r="B72" s="300"/>
      <c r="C72" s="300"/>
      <c r="D72" s="300"/>
      <c r="E72" s="300"/>
      <c r="F72" s="295" t="s">
        <v>1394</v>
      </c>
      <c r="G72" s="12" t="s">
        <v>2096</v>
      </c>
      <c r="H72" s="295" t="s">
        <v>2654</v>
      </c>
      <c r="I72" s="295" t="s">
        <v>2552</v>
      </c>
      <c r="J72" s="299">
        <v>49896500</v>
      </c>
      <c r="K72" s="299" t="s">
        <v>1172</v>
      </c>
    </row>
    <row r="73" spans="2:11">
      <c r="B73" s="300"/>
      <c r="C73" s="300"/>
      <c r="D73" s="300"/>
      <c r="E73" s="300"/>
      <c r="F73" s="295" t="s">
        <v>1394</v>
      </c>
      <c r="G73" s="12" t="s">
        <v>2096</v>
      </c>
      <c r="H73" s="295" t="s">
        <v>2647</v>
      </c>
      <c r="I73" s="295" t="s">
        <v>2551</v>
      </c>
      <c r="J73" s="328">
        <v>46379293</v>
      </c>
      <c r="K73" s="299" t="s">
        <v>1172</v>
      </c>
    </row>
    <row r="74" spans="2:11">
      <c r="B74" s="300"/>
      <c r="C74" s="300"/>
      <c r="D74" s="300"/>
      <c r="E74" s="300"/>
      <c r="F74" s="295" t="s">
        <v>1435</v>
      </c>
      <c r="G74" s="12" t="s">
        <v>1515</v>
      </c>
      <c r="H74" s="295" t="s">
        <v>2646</v>
      </c>
      <c r="I74" s="295" t="s">
        <v>2549</v>
      </c>
      <c r="J74" s="330">
        <v>44595390</v>
      </c>
      <c r="K74" s="299" t="s">
        <v>1172</v>
      </c>
    </row>
    <row r="75" spans="2:11">
      <c r="B75" s="300"/>
      <c r="C75" s="300"/>
      <c r="D75" s="300"/>
      <c r="E75" s="300"/>
      <c r="F75" s="295" t="s">
        <v>1422</v>
      </c>
      <c r="G75" s="12" t="s">
        <v>2096</v>
      </c>
      <c r="H75" s="295" t="s">
        <v>2652</v>
      </c>
      <c r="I75" s="295" t="s">
        <v>2695</v>
      </c>
      <c r="J75" s="299">
        <v>31729901</v>
      </c>
      <c r="K75" s="299" t="s">
        <v>1172</v>
      </c>
    </row>
    <row r="76" spans="2:11">
      <c r="B76" s="300"/>
      <c r="C76" s="300"/>
      <c r="D76" s="300"/>
      <c r="E76" s="300"/>
      <c r="F76" s="295" t="s">
        <v>1435</v>
      </c>
      <c r="G76" s="12" t="s">
        <v>1515</v>
      </c>
      <c r="H76" s="295" t="s">
        <v>2640</v>
      </c>
      <c r="I76" s="295" t="s">
        <v>2549</v>
      </c>
      <c r="J76" s="328">
        <v>30603084</v>
      </c>
      <c r="K76" s="299" t="s">
        <v>1172</v>
      </c>
    </row>
    <row r="77" spans="2:11">
      <c r="B77" s="300"/>
      <c r="C77" s="300"/>
      <c r="D77" s="300"/>
      <c r="E77" s="300"/>
      <c r="F77" s="295" t="s">
        <v>1396</v>
      </c>
      <c r="G77" s="12" t="s">
        <v>1515</v>
      </c>
      <c r="H77" s="295" t="s">
        <v>2688</v>
      </c>
      <c r="I77" s="295" t="s">
        <v>2555</v>
      </c>
      <c r="J77" s="328">
        <v>16971788</v>
      </c>
      <c r="K77" s="299" t="s">
        <v>1172</v>
      </c>
    </row>
    <row r="78" spans="2:11">
      <c r="B78" s="300"/>
      <c r="C78" s="300"/>
      <c r="D78" s="300"/>
      <c r="E78" s="300"/>
      <c r="F78" s="295" t="s">
        <v>1503</v>
      </c>
      <c r="G78" s="12" t="s">
        <v>1515</v>
      </c>
      <c r="H78" s="295" t="s">
        <v>2637</v>
      </c>
      <c r="I78" s="295" t="s">
        <v>2550</v>
      </c>
      <c r="J78" s="328">
        <v>14895043</v>
      </c>
      <c r="K78" s="299" t="s">
        <v>1172</v>
      </c>
    </row>
    <row r="79" spans="2:11">
      <c r="B79" s="300"/>
      <c r="C79" s="300"/>
      <c r="D79" s="300"/>
      <c r="E79" s="300"/>
      <c r="F79" s="295" t="s">
        <v>1424</v>
      </c>
      <c r="G79" s="12" t="s">
        <v>1515</v>
      </c>
      <c r="H79" s="295" t="s">
        <v>2630</v>
      </c>
      <c r="I79" s="295" t="s">
        <v>2550</v>
      </c>
      <c r="J79" s="328">
        <v>11623580</v>
      </c>
      <c r="K79" s="299" t="s">
        <v>1172</v>
      </c>
    </row>
    <row r="80" spans="2:11">
      <c r="B80" s="300"/>
      <c r="C80" s="300"/>
      <c r="D80" s="300"/>
      <c r="E80" s="300"/>
      <c r="F80" s="295" t="s">
        <v>1527</v>
      </c>
      <c r="G80" s="12" t="s">
        <v>2096</v>
      </c>
      <c r="H80" s="295" t="s">
        <v>2658</v>
      </c>
      <c r="I80" s="295" t="s">
        <v>2553</v>
      </c>
      <c r="J80" s="299">
        <v>9413652</v>
      </c>
      <c r="K80" s="299" t="s">
        <v>1172</v>
      </c>
    </row>
    <row r="81" spans="2:11">
      <c r="B81" s="300"/>
      <c r="C81" s="300"/>
      <c r="D81" s="300"/>
      <c r="E81" s="300"/>
      <c r="F81" s="295" t="s">
        <v>1424</v>
      </c>
      <c r="G81" s="12" t="s">
        <v>2096</v>
      </c>
      <c r="H81" s="295" t="s">
        <v>2628</v>
      </c>
      <c r="I81" s="295" t="s">
        <v>2549</v>
      </c>
      <c r="J81" s="328">
        <v>8884847</v>
      </c>
      <c r="K81" s="299" t="s">
        <v>1172</v>
      </c>
    </row>
    <row r="82" spans="2:11">
      <c r="B82" s="300"/>
      <c r="C82" s="300"/>
      <c r="D82" s="300"/>
      <c r="E82" s="300"/>
      <c r="F82" s="295" t="s">
        <v>1424</v>
      </c>
      <c r="G82" s="12" t="s">
        <v>1515</v>
      </c>
      <c r="H82" s="295" t="s">
        <v>2631</v>
      </c>
      <c r="I82" s="295" t="s">
        <v>2550</v>
      </c>
      <c r="J82" s="328">
        <v>7500000</v>
      </c>
      <c r="K82" s="299" t="s">
        <v>1172</v>
      </c>
    </row>
    <row r="83" spans="2:11">
      <c r="B83" s="300"/>
      <c r="C83" s="300"/>
      <c r="D83" s="300"/>
      <c r="E83" s="300"/>
      <c r="F83" s="295" t="s">
        <v>1424</v>
      </c>
      <c r="G83" s="12" t="s">
        <v>2096</v>
      </c>
      <c r="H83" s="295" t="s">
        <v>2784</v>
      </c>
      <c r="I83" s="295" t="s">
        <v>2549</v>
      </c>
      <c r="J83" s="330">
        <v>5269128</v>
      </c>
      <c r="K83" s="299" t="s">
        <v>1172</v>
      </c>
    </row>
    <row r="84" spans="2:11">
      <c r="B84" s="300"/>
      <c r="C84" s="300"/>
      <c r="D84" s="300"/>
      <c r="E84" s="300"/>
      <c r="F84" s="295" t="s">
        <v>1435</v>
      </c>
      <c r="G84" s="12" t="s">
        <v>1515</v>
      </c>
      <c r="H84" s="295" t="s">
        <v>2689</v>
      </c>
      <c r="I84" s="295" t="s">
        <v>2549</v>
      </c>
      <c r="J84" s="299">
        <v>4256311</v>
      </c>
      <c r="K84" s="299" t="s">
        <v>1172</v>
      </c>
    </row>
    <row r="85" spans="2:11">
      <c r="B85" s="300"/>
      <c r="C85" s="300"/>
      <c r="D85" s="300"/>
      <c r="E85" s="300"/>
      <c r="F85" s="295" t="s">
        <v>1422</v>
      </c>
      <c r="G85" s="12" t="s">
        <v>1515</v>
      </c>
      <c r="H85" s="295" t="s">
        <v>2652</v>
      </c>
      <c r="I85" s="295" t="s">
        <v>2553</v>
      </c>
      <c r="J85" s="299">
        <v>1640580</v>
      </c>
      <c r="K85" s="299" t="s">
        <v>1172</v>
      </c>
    </row>
    <row r="86" spans="2:11">
      <c r="B86" s="300"/>
      <c r="C86" s="300"/>
      <c r="D86" s="300"/>
      <c r="E86" s="300"/>
      <c r="F86" s="295" t="s">
        <v>1424</v>
      </c>
      <c r="G86" s="12" t="s">
        <v>1515</v>
      </c>
      <c r="H86" s="295" t="s">
        <v>2628</v>
      </c>
      <c r="I86" s="295" t="s">
        <v>2551</v>
      </c>
      <c r="J86" s="328">
        <v>1233965</v>
      </c>
      <c r="K86" s="299" t="s">
        <v>1172</v>
      </c>
    </row>
    <row r="87" spans="2:11">
      <c r="B87" s="300"/>
      <c r="C87" s="300"/>
      <c r="D87" s="300"/>
      <c r="E87" s="300"/>
      <c r="F87" s="295" t="s">
        <v>1435</v>
      </c>
      <c r="G87" s="12" t="s">
        <v>1515</v>
      </c>
      <c r="H87" s="295" t="s">
        <v>2645</v>
      </c>
      <c r="I87" s="295" t="s">
        <v>2549</v>
      </c>
      <c r="J87" s="328">
        <v>1113131</v>
      </c>
      <c r="K87" s="299" t="s">
        <v>1172</v>
      </c>
    </row>
    <row r="88" spans="2:11">
      <c r="B88" s="300"/>
      <c r="C88" s="300"/>
      <c r="D88" s="300"/>
      <c r="E88" s="300"/>
      <c r="F88" s="295" t="s">
        <v>1422</v>
      </c>
      <c r="G88" s="12" t="s">
        <v>1515</v>
      </c>
      <c r="H88" s="295" t="s">
        <v>2652</v>
      </c>
      <c r="I88" s="295" t="s">
        <v>2695</v>
      </c>
      <c r="J88" s="328">
        <v>838449</v>
      </c>
      <c r="K88" s="299" t="s">
        <v>1172</v>
      </c>
    </row>
    <row r="89" spans="2:11">
      <c r="B89" s="300"/>
      <c r="C89" s="300"/>
      <c r="D89" s="300"/>
      <c r="E89" s="300"/>
      <c r="F89" s="295" t="s">
        <v>1422</v>
      </c>
      <c r="G89" s="12" t="s">
        <v>2096</v>
      </c>
      <c r="H89" s="295" t="s">
        <v>2652</v>
      </c>
      <c r="I89" s="295" t="s">
        <v>2550</v>
      </c>
      <c r="J89" s="328">
        <v>642700</v>
      </c>
      <c r="K89" s="299" t="s">
        <v>1172</v>
      </c>
    </row>
    <row r="90" spans="2:11">
      <c r="B90" s="300"/>
      <c r="C90" s="300"/>
      <c r="D90" s="300"/>
      <c r="E90" s="300"/>
      <c r="F90" s="295" t="s">
        <v>1424</v>
      </c>
      <c r="G90" s="12" t="s">
        <v>1515</v>
      </c>
      <c r="H90" s="295" t="s">
        <v>2628</v>
      </c>
      <c r="I90" s="295" t="s">
        <v>2549</v>
      </c>
      <c r="J90" s="328">
        <v>488885</v>
      </c>
      <c r="K90" s="299" t="s">
        <v>1172</v>
      </c>
    </row>
    <row r="91" spans="2:11">
      <c r="B91" s="300"/>
      <c r="C91" s="300"/>
      <c r="D91" s="300"/>
      <c r="E91" s="300"/>
      <c r="F91" s="295" t="s">
        <v>1424</v>
      </c>
      <c r="G91" s="12" t="s">
        <v>1515</v>
      </c>
      <c r="H91" s="295" t="s">
        <v>2628</v>
      </c>
      <c r="I91" s="295" t="s">
        <v>2550</v>
      </c>
      <c r="J91" s="328">
        <v>450000</v>
      </c>
      <c r="K91" s="299" t="s">
        <v>1172</v>
      </c>
    </row>
    <row r="92" spans="2:11">
      <c r="B92" s="300"/>
      <c r="C92" s="300"/>
      <c r="D92" s="300"/>
      <c r="E92" s="300"/>
      <c r="F92" s="295" t="s">
        <v>1424</v>
      </c>
      <c r="G92" s="12" t="s">
        <v>1515</v>
      </c>
      <c r="H92" s="295" t="s">
        <v>2694</v>
      </c>
      <c r="I92" s="295" t="s">
        <v>2549</v>
      </c>
      <c r="J92" s="328">
        <v>419948</v>
      </c>
      <c r="K92" s="299" t="s">
        <v>1172</v>
      </c>
    </row>
    <row r="93" spans="2:11">
      <c r="B93" s="300"/>
      <c r="C93" s="300"/>
      <c r="D93" s="300"/>
      <c r="E93" s="300"/>
      <c r="F93" s="295" t="s">
        <v>1422</v>
      </c>
      <c r="G93" s="12" t="s">
        <v>2096</v>
      </c>
      <c r="H93" s="295" t="s">
        <v>2652</v>
      </c>
      <c r="I93" s="295" t="s">
        <v>2549</v>
      </c>
      <c r="J93" s="328">
        <v>308000</v>
      </c>
      <c r="K93" s="299" t="s">
        <v>1172</v>
      </c>
    </row>
    <row r="94" spans="2:11">
      <c r="B94" s="300"/>
      <c r="C94" s="300"/>
      <c r="D94" s="300"/>
      <c r="E94" s="300"/>
      <c r="F94" s="295" t="s">
        <v>1394</v>
      </c>
      <c r="G94" s="12" t="s">
        <v>2096</v>
      </c>
      <c r="H94" s="295" t="s">
        <v>2654</v>
      </c>
      <c r="I94" s="295" t="s">
        <v>2695</v>
      </c>
      <c r="J94" s="328">
        <v>100000</v>
      </c>
      <c r="K94" s="299" t="s">
        <v>1172</v>
      </c>
    </row>
    <row r="95" spans="2:11">
      <c r="B95" s="300"/>
      <c r="C95" s="300"/>
      <c r="D95" s="300"/>
      <c r="E95" s="300"/>
      <c r="F95" s="295" t="s">
        <v>1435</v>
      </c>
      <c r="G95" s="12" t="s">
        <v>1515</v>
      </c>
      <c r="H95" s="295" t="s">
        <v>2643</v>
      </c>
      <c r="I95" s="295" t="s">
        <v>2549</v>
      </c>
      <c r="J95" s="328">
        <v>58404</v>
      </c>
      <c r="K95" s="299" t="s">
        <v>1172</v>
      </c>
    </row>
    <row r="96" spans="2:11">
      <c r="B96" s="327"/>
      <c r="C96" s="327"/>
      <c r="D96" s="327"/>
      <c r="E96" s="327"/>
      <c r="F96" s="301"/>
      <c r="J96" s="303">
        <f>SUBTOTAL(109,Government_revenues_table[Valeur des revenus])</f>
        <v>260412863177.09317</v>
      </c>
      <c r="K96" s="303"/>
    </row>
    <row r="97" spans="6:14" ht="17.25" thickBot="1">
      <c r="N97" s="316"/>
    </row>
    <row r="98" spans="6:14" ht="17.25" thickBot="1">
      <c r="I98" s="288" t="s">
        <v>2526</v>
      </c>
      <c r="J98" s="289">
        <f>SUMIF(Government_revenues_table[Devise],"USD",Government_revenues_table[Valeur des revenus])+(IFERROR(SUMIF(Government_revenues_table[Devise],"&lt;&gt;USD",Government_revenues_table[Valeur des revenus])/'Partie 1 - Présentation'!$E$51,0))</f>
        <v>419264718.10041434</v>
      </c>
      <c r="K98" s="302"/>
    </row>
    <row r="99" spans="6:14" ht="21" customHeight="1" thickBot="1">
      <c r="J99" s="303"/>
    </row>
    <row r="100" spans="6:14" ht="17.25" thickBot="1">
      <c r="I100" s="288" t="str">
        <f>"Total en "&amp;'Partie 1 - Présentation'!$E$50</f>
        <v>Total en XOF</v>
      </c>
      <c r="J100" s="289">
        <f>IF('Partie 1 - Présentation'!$E$50="USD",0,SUMIF(Government_revenues_table[Devise],'Partie 1 - Présentation'!$E$50,Government_revenues_table[Valeur des revenus]))+(IFERROR(SUMIF(Government_revenues_table[Devise],"USD",Government_revenues_table[Valeur des revenus])*'Partie 1 - Présentation'!$E$51,0))</f>
        <v>260412863177.09317</v>
      </c>
      <c r="K100" s="302"/>
    </row>
    <row r="101" spans="6:14">
      <c r="J101" s="299"/>
    </row>
    <row r="102" spans="6:14">
      <c r="J102" s="316"/>
    </row>
    <row r="104" spans="6:14">
      <c r="F104" s="294" t="s">
        <v>2352</v>
      </c>
      <c r="G104" s="294"/>
      <c r="H104" s="294"/>
      <c r="I104" s="294"/>
      <c r="J104" s="294"/>
      <c r="K104" s="294"/>
    </row>
    <row r="105" spans="6:14">
      <c r="F105" s="304" t="s">
        <v>2074</v>
      </c>
      <c r="G105" s="304"/>
      <c r="H105" s="304"/>
      <c r="I105" s="304"/>
      <c r="J105" s="305"/>
      <c r="K105" s="305"/>
    </row>
    <row r="106" spans="6:14">
      <c r="F106" s="304"/>
      <c r="G106" s="304"/>
      <c r="H106" s="304"/>
      <c r="I106" s="304"/>
      <c r="J106" s="305"/>
      <c r="K106" s="305"/>
    </row>
    <row r="107" spans="6:14">
      <c r="F107" s="304"/>
      <c r="G107" s="304"/>
      <c r="H107" s="304"/>
      <c r="I107" s="304"/>
      <c r="J107" s="305"/>
      <c r="K107" s="305"/>
      <c r="N107" s="306"/>
    </row>
    <row r="108" spans="6:14">
      <c r="F108" s="304" t="s">
        <v>2353</v>
      </c>
      <c r="G108" s="304" t="s">
        <v>2354</v>
      </c>
      <c r="H108" s="304"/>
      <c r="I108" s="304"/>
      <c r="J108" s="305"/>
      <c r="K108" s="305"/>
      <c r="N108" s="306"/>
    </row>
    <row r="109" spans="6:14">
      <c r="F109" s="304" t="s">
        <v>2355</v>
      </c>
      <c r="G109" s="304" t="s">
        <v>2356</v>
      </c>
      <c r="H109" s="304"/>
      <c r="I109" s="304"/>
      <c r="J109" s="305"/>
      <c r="K109" s="305"/>
    </row>
    <row r="110" spans="6:14">
      <c r="F110" s="304"/>
      <c r="G110" s="307" t="s">
        <v>1464</v>
      </c>
      <c r="H110" s="307" t="s">
        <v>1351</v>
      </c>
      <c r="I110" s="307" t="s">
        <v>1408</v>
      </c>
      <c r="J110" s="308" t="s">
        <v>1352</v>
      </c>
      <c r="K110" s="309" t="s">
        <v>970</v>
      </c>
    </row>
    <row r="111" spans="6:14">
      <c r="F111" s="304"/>
      <c r="G111" s="310" t="s">
        <v>1488</v>
      </c>
      <c r="H111" s="310" t="s">
        <v>2635</v>
      </c>
      <c r="I111" s="310" t="s">
        <v>2550</v>
      </c>
      <c r="J111" s="310"/>
      <c r="K111" s="305" t="s">
        <v>1172</v>
      </c>
    </row>
    <row r="112" spans="6:14">
      <c r="F112" s="304"/>
      <c r="G112" s="304" t="s">
        <v>2350</v>
      </c>
      <c r="H112" s="304" t="s">
        <v>2635</v>
      </c>
      <c r="I112" s="304" t="s">
        <v>2550</v>
      </c>
      <c r="J112" s="304"/>
      <c r="K112" s="311" t="s">
        <v>1172</v>
      </c>
    </row>
    <row r="113" spans="2:14" ht="17.25" thickBot="1">
      <c r="F113" s="304"/>
      <c r="G113" s="312" t="s">
        <v>2351</v>
      </c>
      <c r="H113" s="312"/>
      <c r="I113" s="312"/>
      <c r="J113" s="313">
        <f>SUM(J111:J112)</f>
        <v>0</v>
      </c>
      <c r="K113" s="311" t="s">
        <v>1172</v>
      </c>
    </row>
    <row r="114" spans="2:14" ht="17.25" thickTop="1">
      <c r="F114" s="304"/>
      <c r="G114" s="304"/>
      <c r="H114" s="304"/>
      <c r="I114" s="304"/>
      <c r="J114" s="305"/>
      <c r="K114" s="305"/>
    </row>
    <row r="115" spans="2:14">
      <c r="F115" s="304"/>
      <c r="G115" s="304"/>
      <c r="H115" s="304"/>
      <c r="I115" s="304"/>
      <c r="J115" s="305"/>
      <c r="K115" s="305"/>
    </row>
    <row r="116" spans="2:14">
      <c r="F116" s="304"/>
      <c r="G116" s="304"/>
      <c r="H116" s="304"/>
      <c r="I116" s="304"/>
      <c r="J116" s="305"/>
      <c r="K116" s="305"/>
    </row>
    <row r="117" spans="2:14">
      <c r="F117" s="304"/>
      <c r="G117" s="304"/>
      <c r="H117" s="304"/>
      <c r="I117" s="304"/>
      <c r="J117" s="305"/>
      <c r="K117" s="305"/>
    </row>
    <row r="118" spans="2:14">
      <c r="F118" s="304"/>
      <c r="G118" s="304"/>
      <c r="H118" s="304"/>
      <c r="I118" s="304"/>
      <c r="J118" s="305"/>
      <c r="K118" s="305"/>
    </row>
    <row r="119" spans="2:14" ht="18.75" customHeight="1">
      <c r="F119" s="304"/>
      <c r="G119" s="304"/>
      <c r="H119" s="304"/>
      <c r="I119" s="304"/>
      <c r="J119" s="305"/>
      <c r="K119" s="305"/>
    </row>
    <row r="120" spans="2:14" ht="15.75" customHeight="1">
      <c r="F120" s="304"/>
      <c r="G120" s="304"/>
      <c r="H120" s="304"/>
      <c r="I120" s="304"/>
      <c r="J120" s="305"/>
      <c r="K120" s="305"/>
    </row>
    <row r="121" spans="2:14">
      <c r="F121" s="304"/>
      <c r="G121" s="304"/>
      <c r="H121" s="304"/>
      <c r="I121" s="304"/>
      <c r="J121" s="305"/>
      <c r="K121" s="305"/>
    </row>
    <row r="122" spans="2:14">
      <c r="F122" s="304"/>
      <c r="G122" s="304"/>
      <c r="H122" s="304"/>
      <c r="I122" s="304"/>
      <c r="J122" s="305"/>
      <c r="K122" s="305"/>
    </row>
    <row r="123" spans="2:14">
      <c r="F123" s="41"/>
      <c r="G123" s="41"/>
      <c r="H123" s="41"/>
      <c r="I123" s="41"/>
      <c r="J123" s="41"/>
    </row>
    <row r="124" spans="2:14" ht="15.75" customHeight="1"/>
    <row r="126" spans="2:14" s="12" customFormat="1" ht="17.25" hidden="1" customHeight="1">
      <c r="B126" s="387" t="s">
        <v>2163</v>
      </c>
      <c r="C126" s="387"/>
      <c r="D126" s="387"/>
      <c r="E126" s="387"/>
      <c r="F126" s="387"/>
      <c r="G126" s="387"/>
      <c r="H126" s="387"/>
      <c r="I126" s="387"/>
      <c r="J126" s="387"/>
      <c r="K126" s="387"/>
      <c r="L126" s="387"/>
      <c r="M126" s="387"/>
      <c r="N126" s="387"/>
    </row>
    <row r="127" spans="2:14" s="12" customFormat="1" ht="24" hidden="1" customHeight="1">
      <c r="B127" s="388" t="s">
        <v>2164</v>
      </c>
      <c r="C127" s="388"/>
      <c r="D127" s="388"/>
      <c r="E127" s="388"/>
      <c r="F127" s="388"/>
      <c r="G127" s="388"/>
      <c r="H127" s="388"/>
      <c r="I127" s="388"/>
      <c r="J127" s="388"/>
      <c r="K127" s="388"/>
      <c r="L127" s="388"/>
      <c r="M127" s="388"/>
      <c r="N127" s="388"/>
    </row>
    <row r="128" spans="2:14" s="12" customFormat="1" ht="19.5" hidden="1" customHeight="1" thickBot="1">
      <c r="B128" s="389" t="s">
        <v>2165</v>
      </c>
      <c r="C128" s="389"/>
      <c r="D128" s="389"/>
      <c r="E128" s="389"/>
      <c r="F128" s="389"/>
      <c r="G128" s="389"/>
      <c r="H128" s="389"/>
      <c r="I128" s="389"/>
      <c r="J128" s="389"/>
      <c r="K128" s="389"/>
      <c r="L128" s="389"/>
      <c r="M128" s="389"/>
      <c r="N128" s="389"/>
    </row>
    <row r="129" spans="2:14" s="12" customFormat="1" ht="18.75" hidden="1" customHeight="1" thickBot="1">
      <c r="B129" s="390" t="s">
        <v>2166</v>
      </c>
      <c r="C129" s="390"/>
      <c r="D129" s="390"/>
      <c r="E129" s="390"/>
      <c r="F129" s="390"/>
      <c r="G129" s="390"/>
      <c r="H129" s="390"/>
      <c r="I129" s="390"/>
      <c r="J129" s="390"/>
      <c r="K129" s="390"/>
      <c r="L129" s="390"/>
      <c r="M129" s="390"/>
      <c r="N129" s="390"/>
    </row>
    <row r="130" spans="2:14" s="56" customFormat="1" ht="17.25" thickBot="1">
      <c r="B130" s="54"/>
      <c r="C130" s="54"/>
      <c r="D130" s="54"/>
      <c r="E130" s="54"/>
      <c r="F130" s="54"/>
      <c r="G130" s="54"/>
    </row>
    <row r="131" spans="2:14">
      <c r="F131" s="314" t="s">
        <v>2669</v>
      </c>
      <c r="G131" s="12"/>
      <c r="H131" s="315"/>
      <c r="I131" s="12"/>
      <c r="J131" s="315"/>
      <c r="K131" s="315"/>
    </row>
    <row r="132" spans="2:14">
      <c r="F132" s="386" t="s">
        <v>2670</v>
      </c>
      <c r="G132" s="386"/>
      <c r="H132" s="386"/>
      <c r="I132" s="12"/>
    </row>
  </sheetData>
  <sheetProtection insertRows="0"/>
  <protectedRanges>
    <protectedRange algorithmName="SHA-512" hashValue="19r0bVvPR7yZA0UiYij7Tv1CBk3noIABvFePbLhCJ4nk3L6A+Fy+RdPPS3STf+a52x4pG2PQK4FAkXK9epnlIA==" saltValue="gQC4yrLvnbJqxYZ0KSEoZA==" spinCount="100000" sqref="F22:G96 I22:K96" name="Government revenues"/>
  </protectedRanges>
  <mergeCells count="22">
    <mergeCell ref="F15:J15"/>
    <mergeCell ref="M22:N26"/>
    <mergeCell ref="F20:J20"/>
    <mergeCell ref="M10:N14"/>
    <mergeCell ref="P31:U31"/>
    <mergeCell ref="M19:N19"/>
    <mergeCell ref="M27:N27"/>
    <mergeCell ref="M28:N28"/>
    <mergeCell ref="M21:N21"/>
    <mergeCell ref="F16:N16"/>
    <mergeCell ref="F13:J13"/>
    <mergeCell ref="F14:J14"/>
    <mergeCell ref="F9:J9"/>
    <mergeCell ref="M9:N9"/>
    <mergeCell ref="F10:J10"/>
    <mergeCell ref="F11:J11"/>
    <mergeCell ref="F12:J12"/>
    <mergeCell ref="F132:H132"/>
    <mergeCell ref="B126:N126"/>
    <mergeCell ref="B127:N127"/>
    <mergeCell ref="B128:N128"/>
    <mergeCell ref="B129:N129"/>
  </mergeCells>
  <dataValidations count="12">
    <dataValidation type="whole" allowBlank="1" showInputMessage="1" showErrorMessage="1" errorTitle="Veuillez ne pas modifier" error="Veuillez ne pas modifier ces cellules" sqref="F131:H131 L123:N124 F123:J124 F125:N125 I131:N132" xr:uid="{FCA6884C-D84E-46B1-BC99-F2A599AD31FD}">
      <formula1>10000</formula1>
      <formula2>50000</formula2>
    </dataValidation>
    <dataValidation type="textLength" allowBlank="1" showInputMessage="1" showErrorMessage="1" errorTitle="Veuillez ne pas modifier" error="Veuillez ne pas modifier ces cellules" sqref="G21:H21 J20:J21 G18:K18 F104:K105" xr:uid="{858403C6-6CF3-4330-8FAE-A0880B43D812}">
      <formula1>10000</formula1>
      <formula2>50000</formula2>
    </dataValidation>
    <dataValidation type="list" showDropDown="1" showInputMessage="1" showErrorMessage="1" errorTitle="Veuillez ne pas modifier" error="Veuillez ne pas modifier ces cellules" sqref="M29:N29" xr:uid="{CC20AE7C-DA66-44D4-AA91-08155DBFF97A}">
      <formula1>"#ERROR!"</formula1>
    </dataValidation>
    <dataValidation allowBlank="1" showInputMessage="1" showErrorMessage="1" errorTitle="Veuillez ne pas modifier" error="Veuillez ne pas modifier ces cellules" sqref="I21 F132:H132" xr:uid="{21CBFACE-2704-4133-972F-EF1DBA32DD01}"/>
    <dataValidation type="whole" errorStyle="warning" allowBlank="1" showInputMessage="1" showErrorMessage="1" errorTitle="Veuillez ne pas remplir" error="Ces cellules seront complétées automatiquement" sqref="J98 J100" xr:uid="{5FDA2C22-6698-4092-A24B-A634F149817D}">
      <formula1>44444</formula1>
      <formula2>44445</formula2>
    </dataValidation>
    <dataValidation type="whole" allowBlank="1" showInputMessage="1" showErrorMessage="1" errorTitle="Veuillez ne pas modifier" error="Veuillez ne pas modifier ces cellules" sqref="F18 F21 M22:N28 B126:B129 F20:K20" xr:uid="{2B33D4D6-72DD-4030-8D04-46CC2022EF8B}">
      <formula1>444</formula1>
      <formula2>445</formula2>
    </dataValidation>
    <dataValidation type="decimal" allowBlank="1" showInputMessage="1" showErrorMessage="1" errorTitle="Veuillez ne pas modifier" error="Veuillez ne pas modifier ces cellules" sqref="B130:G130" xr:uid="{E200F538-697C-4C9A-90D1-69BEF7C8E1CF}">
      <formula1>10000</formula1>
      <formula2>500000</formula2>
    </dataValidation>
    <dataValidation type="whole" allowBlank="1" showInputMessage="1" showErrorMessage="1" errorTitle="Veuillez ne pas modifier" error="Veuillez ne pas modifier ces cellules" sqref="K21" xr:uid="{F978E49C-9896-4E07-A232-2C3A1095E723}">
      <formula1>4</formula1>
      <formula2>5</formula2>
    </dataValidation>
    <dataValidation type="whole" allowBlank="1" showInputMessage="1" showErrorMessage="1" sqref="M18:N21" xr:uid="{E0BB9871-6B4B-4F41-8FBD-DEADD417B77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95" xr:uid="{8DE4F693-69E2-42F7-86CA-588D29D470C2}">
      <formula1>0</formula1>
    </dataValidation>
    <dataValidation type="list" allowBlank="1" showInputMessage="1" showErrorMessage="1" sqref="F22:F95" xr:uid="{75492094-BBC0-4CDF-A07F-F90B90205450}">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95" xr:uid="{412A52AC-399A-488E-8D1B-3A21DC78B086}"/>
  </dataValidations>
  <hyperlinks>
    <hyperlink ref="M19" r:id="rId1" location="r5-1" display="EITI Requirement 5.1" xr:uid="{00000000-0004-0000-0400-000006000000}"/>
    <hyperlink ref="F16:N16" r:id="rId2" display="If you have any questions, please contact data@eiti.org" xr:uid="{00000000-0004-0000-0400-000007000000}"/>
    <hyperlink ref="F20" r:id="rId3" location="r4-1" display="EITI Requirement 4.1" xr:uid="{00000000-0004-0000-0400-000008000000}"/>
    <hyperlink ref="F20:J20" r:id="rId4" location="r4-1" display=" Exigence ITIE 4.1.d.: Divulgation exhaustive de la part du gouvernement " xr:uid="{71821841-DBF5-4B9E-A7D5-569E645DB078}"/>
    <hyperlink ref="B128:G128" r:id="rId5" display="Pour la version la plus récente des modèles de données résumées, consultez https://eiti.org/fr/document/modele-donnees-resumees-itie" xr:uid="{59A1968A-B6B9-4C95-AB4B-10DEE6914D53}"/>
    <hyperlink ref="B127:G127" r:id="rId6" display="Vous voulez en savoir plus sur votre pays ? Vérifiez si votre pays met en œuvre la Norme ITIE en visitant https://eiti.org/countries" xr:uid="{274401AA-35F5-454A-A6FF-6CA674E2F027}"/>
    <hyperlink ref="B129:G129" r:id="rId7" display="Give us your feedback or report a conflict in the data! Write to us at  data@eiti.org" xr:uid="{5BDFDDE6-5505-4327-9496-85D947F7C00D}"/>
    <hyperlink ref="M28:N28" r:id="rId8" display="or, https://www.imf.org/external/np/sta/gfsm/" xr:uid="{00000000-0004-0000-0400-000004000000}"/>
    <hyperlink ref="M27:N27" r:id="rId9" display="Pour plus d’orientations, visitez la page https://eiti.org/fr/document/modele-donnees-resumees-itie" xr:uid="{00000000-0004-0000-0400-000005000000}"/>
    <hyperlink ref="M19:N19" r:id="rId10" location="r5-1" display="Exigence ITIE 5.1.b: Classification des revenus" xr:uid="{F4C2D2C7-20B3-46BF-80DB-5C45A80E9F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0DA05D4C-2892-4A24-B9AE-E100653ED7C7}">
          <x14:formula1>
            <xm:f>Listes!$I$11:$I$168</xm:f>
          </x14:formula1>
          <xm:sqref>K111:K113</xm:sqref>
        </x14:dataValidation>
        <x14:dataValidation type="list" allowBlank="1" showInputMessage="1" showErrorMessage="1" xr:uid="{FBFDEC11-9487-46A2-B4C5-3404468A80F5}">
          <x14:formula1>
            <xm:f>'C:\Users\kr65\Downloads\SD\2.0\[Summary Data 2.0 data validation french translation.xlsm]Lists'!#REF!</xm:f>
          </x14:formula1>
          <xm:sqref>B22:E95</xm:sqref>
        </x14:dataValidation>
        <x14:dataValidation type="list" allowBlank="1" showInputMessage="1" showErrorMessage="1" promptTitle="Veuillez sélectionner le secteur" prompt="Veuillez sélectionner le secteur parmi la liste" xr:uid="{67A07785-E727-4FD4-AE16-5628BF5937F8}">
          <x14:formula1>
            <xm:f>Listes!$AA$3:$AA$9</xm:f>
          </x14:formula1>
          <xm:sqref>G22:G95</xm:sqref>
        </x14:dataValidation>
        <x14:dataValidation type="list" operator="greaterThanOrEqual" allowBlank="1" showInputMessage="1" showErrorMessage="1" errorTitle="Nombre" error="Veuillez saisir uniquement des chiffres dans cette cellule. " xr:uid="{D3E9BDB2-5224-4742-9537-7FBD6964F103}">
          <x14:formula1>
            <xm:f>Listes!$I$11:$I$168</xm:f>
          </x14:formula1>
          <xm:sqref>K22:K95</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3B69BF49-A24C-4BDD-917D-3FB9920AB452}">
          <x14:formula1>
            <xm:f>'Partie 3 - Entités déclarantes'!$B$21:$B$29</xm:f>
          </x14:formula1>
          <xm:sqref>I22:I95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B2:N423"/>
  <sheetViews>
    <sheetView showGridLines="0" topLeftCell="C224" zoomScaleNormal="100" workbookViewId="0">
      <selection activeCell="H397" sqref="C396:H397"/>
    </sheetView>
  </sheetViews>
  <sheetFormatPr baseColWidth="10" defaultColWidth="9.28515625" defaultRowHeight="14.25"/>
  <cols>
    <col min="1" max="1" width="3.7109375" style="198" customWidth="1"/>
    <col min="2" max="2" width="4.7109375" style="198" hidden="1" customWidth="1"/>
    <col min="3" max="3" width="54.7109375" style="198" customWidth="1"/>
    <col min="4" max="4" width="107.5703125" style="198" bestFit="1" customWidth="1"/>
    <col min="5" max="5" width="67.5703125" style="198" bestFit="1" customWidth="1"/>
    <col min="6" max="6" width="26" style="198" bestFit="1" customWidth="1"/>
    <col min="7" max="7" width="27.7109375" style="198" bestFit="1" customWidth="1"/>
    <col min="8" max="8" width="25.42578125" style="198" customWidth="1"/>
    <col min="9" max="9" width="20" style="198" customWidth="1"/>
    <col min="10" max="10" width="23" style="198" customWidth="1"/>
    <col min="11" max="11" width="27.5703125" style="198" customWidth="1"/>
    <col min="12" max="12" width="20" style="198" customWidth="1"/>
    <col min="13" max="13" width="9.28515625" style="198"/>
    <col min="14" max="14" width="15.28515625" style="198" customWidth="1"/>
    <col min="15" max="16" width="9.28515625" style="198"/>
    <col min="17" max="33" width="15.7109375" style="198" customWidth="1"/>
    <col min="34" max="16384" width="9.28515625" style="198"/>
  </cols>
  <sheetData>
    <row r="2" spans="2:14" ht="36.75" customHeight="1">
      <c r="C2" s="15" t="s">
        <v>2358</v>
      </c>
      <c r="D2" s="221"/>
      <c r="E2" s="221"/>
      <c r="F2" s="222"/>
      <c r="G2" s="221"/>
      <c r="H2" s="221"/>
      <c r="I2" s="221"/>
      <c r="J2" s="221"/>
      <c r="K2" s="221"/>
      <c r="L2" s="221"/>
    </row>
    <row r="3" spans="2:14" ht="21" customHeight="1">
      <c r="C3" s="405" t="s">
        <v>2174</v>
      </c>
      <c r="D3" s="405"/>
      <c r="E3" s="405"/>
      <c r="F3" s="405"/>
      <c r="G3" s="209"/>
      <c r="H3" s="209"/>
      <c r="I3" s="223"/>
      <c r="J3" s="209"/>
      <c r="K3" s="209"/>
      <c r="L3" s="209"/>
    </row>
    <row r="4" spans="2:14" ht="15.6" customHeight="1">
      <c r="C4" s="406" t="s">
        <v>2359</v>
      </c>
      <c r="D4" s="406"/>
      <c r="E4" s="406"/>
      <c r="F4" s="406"/>
      <c r="G4" s="406"/>
      <c r="H4" s="224"/>
      <c r="I4" s="392"/>
      <c r="J4" s="392"/>
      <c r="K4" s="392"/>
      <c r="L4" s="221"/>
    </row>
    <row r="5" spans="2:14" ht="15.6" customHeight="1">
      <c r="C5" s="406" t="s">
        <v>2360</v>
      </c>
      <c r="D5" s="406"/>
      <c r="E5" s="406"/>
      <c r="F5" s="406"/>
      <c r="G5" s="406"/>
      <c r="H5" s="224"/>
      <c r="I5" s="392"/>
      <c r="J5" s="392"/>
      <c r="K5" s="392"/>
      <c r="L5" s="221"/>
    </row>
    <row r="6" spans="2:14" ht="15.6" customHeight="1">
      <c r="C6" s="406" t="s">
        <v>2361</v>
      </c>
      <c r="D6" s="406"/>
      <c r="E6" s="406"/>
      <c r="F6" s="406"/>
      <c r="G6" s="406"/>
      <c r="H6" s="224"/>
      <c r="I6" s="392"/>
      <c r="J6" s="392"/>
      <c r="K6" s="392"/>
      <c r="L6" s="221"/>
    </row>
    <row r="7" spans="2:14" ht="15.6" customHeight="1">
      <c r="C7" s="406" t="s">
        <v>2362</v>
      </c>
      <c r="D7" s="406"/>
      <c r="E7" s="406"/>
      <c r="F7" s="406"/>
      <c r="G7" s="406"/>
      <c r="H7" s="224"/>
      <c r="I7" s="392"/>
      <c r="J7" s="392"/>
      <c r="K7" s="392"/>
      <c r="L7" s="221"/>
    </row>
    <row r="8" spans="2:14" ht="30" customHeight="1">
      <c r="C8" s="406" t="s">
        <v>2363</v>
      </c>
      <c r="D8" s="406"/>
      <c r="E8" s="406"/>
      <c r="F8" s="406"/>
      <c r="G8" s="406"/>
      <c r="H8" s="224"/>
      <c r="I8" s="392"/>
      <c r="J8" s="392"/>
      <c r="K8" s="392"/>
      <c r="L8" s="221"/>
    </row>
    <row r="9" spans="2:14" ht="16.5">
      <c r="C9" s="378" t="s">
        <v>2327</v>
      </c>
      <c r="D9" s="378"/>
      <c r="E9" s="378"/>
      <c r="F9" s="378"/>
      <c r="G9" s="378"/>
      <c r="H9" s="378"/>
      <c r="I9" s="378"/>
      <c r="J9" s="378"/>
      <c r="K9" s="378"/>
      <c r="L9" s="221"/>
    </row>
    <row r="11" spans="2:14" ht="24">
      <c r="C11" s="407" t="s">
        <v>2364</v>
      </c>
      <c r="D11" s="407"/>
      <c r="E11" s="407"/>
      <c r="F11" s="407"/>
      <c r="G11" s="407"/>
      <c r="H11" s="407"/>
      <c r="I11" s="407"/>
      <c r="J11" s="407"/>
      <c r="K11" s="407"/>
    </row>
    <row r="12" spans="2:14" ht="14.25" customHeight="1"/>
    <row r="13" spans="2:14">
      <c r="C13" s="408" t="s">
        <v>2522</v>
      </c>
      <c r="D13" s="408"/>
      <c r="E13" s="408"/>
      <c r="F13" s="408"/>
      <c r="G13" s="408"/>
      <c r="H13" s="408"/>
      <c r="I13" s="408"/>
      <c r="J13" s="408"/>
      <c r="K13" s="409"/>
      <c r="L13" s="261"/>
      <c r="M13" s="261"/>
      <c r="N13" s="261"/>
    </row>
    <row r="14" spans="2:14">
      <c r="B14" s="198" t="s">
        <v>1466</v>
      </c>
      <c r="C14" s="198" t="s">
        <v>1454</v>
      </c>
      <c r="D14" s="198" t="s">
        <v>1467</v>
      </c>
      <c r="E14" s="198" t="s">
        <v>1409</v>
      </c>
      <c r="F14" s="198" t="s">
        <v>1410</v>
      </c>
      <c r="G14" s="198" t="s">
        <v>1411</v>
      </c>
      <c r="H14" s="198" t="s">
        <v>1407</v>
      </c>
      <c r="I14" s="198" t="s">
        <v>1455</v>
      </c>
      <c r="J14" s="198" t="s">
        <v>1468</v>
      </c>
      <c r="K14" s="198" t="s">
        <v>2115</v>
      </c>
      <c r="L14" s="198" t="s">
        <v>2116</v>
      </c>
      <c r="M14" s="198" t="s">
        <v>2117</v>
      </c>
      <c r="N14" s="198" t="s">
        <v>1412</v>
      </c>
    </row>
    <row r="15" spans="2:14">
      <c r="B15" s="198" t="str">
        <f>VLOOKUP(C15,Companies[],3,FALSE)</f>
        <v>4507995 2G3</v>
      </c>
      <c r="C15" s="198" t="s">
        <v>2568</v>
      </c>
      <c r="D15" s="198" t="s">
        <v>2695</v>
      </c>
      <c r="E15" s="212" t="s">
        <v>2624</v>
      </c>
      <c r="F15" s="198" t="s">
        <v>1469</v>
      </c>
      <c r="G15" s="198" t="s">
        <v>1469</v>
      </c>
      <c r="H15" s="198" t="s">
        <v>445</v>
      </c>
      <c r="I15" s="198" t="s">
        <v>1172</v>
      </c>
      <c r="J15" s="225">
        <v>64914144</v>
      </c>
    </row>
    <row r="16" spans="2:14">
      <c r="B16" s="198" t="str">
        <f>VLOOKUP(C16,Companies[],3,FALSE)</f>
        <v>4507995 2G3</v>
      </c>
      <c r="C16" s="198" t="s">
        <v>2568</v>
      </c>
      <c r="D16" s="198" t="s">
        <v>2695</v>
      </c>
      <c r="E16" s="198" t="s">
        <v>2627</v>
      </c>
      <c r="F16" s="198" t="s">
        <v>1469</v>
      </c>
      <c r="G16" s="198" t="s">
        <v>1469</v>
      </c>
      <c r="H16" s="198" t="s">
        <v>445</v>
      </c>
      <c r="I16" s="198" t="s">
        <v>1172</v>
      </c>
      <c r="J16" s="225">
        <v>5654400</v>
      </c>
    </row>
    <row r="17" spans="2:10">
      <c r="B17" s="198" t="str">
        <f>VLOOKUP(C17,Companies[],3,FALSE)</f>
        <v>4507995 2G3</v>
      </c>
      <c r="C17" s="198" t="s">
        <v>2568</v>
      </c>
      <c r="D17" s="198" t="s">
        <v>2554</v>
      </c>
      <c r="E17" s="198" t="s">
        <v>2655</v>
      </c>
      <c r="F17" s="198" t="s">
        <v>2525</v>
      </c>
      <c r="G17" s="198" t="s">
        <v>2525</v>
      </c>
      <c r="H17" s="198" t="s">
        <v>445</v>
      </c>
      <c r="I17" s="198" t="s">
        <v>1172</v>
      </c>
      <c r="J17" s="225">
        <v>500000</v>
      </c>
    </row>
    <row r="18" spans="2:10">
      <c r="B18" s="198" t="str">
        <f>VLOOKUP(C18,Companies[],3,FALSE)</f>
        <v>4151750 2Y2</v>
      </c>
      <c r="C18" s="198" t="s">
        <v>2565</v>
      </c>
      <c r="D18" s="198" t="s">
        <v>2550</v>
      </c>
      <c r="E18" s="198" t="s">
        <v>2635</v>
      </c>
      <c r="F18" s="198" t="s">
        <v>2525</v>
      </c>
      <c r="G18" s="198" t="s">
        <v>2525</v>
      </c>
      <c r="H18" s="198" t="s">
        <v>2785</v>
      </c>
      <c r="I18" s="198" t="s">
        <v>1172</v>
      </c>
      <c r="J18" s="225">
        <v>379247187</v>
      </c>
    </row>
    <row r="19" spans="2:10">
      <c r="B19" s="198" t="str">
        <f>VLOOKUP(C19,Companies[],3,FALSE)</f>
        <v>4151750 2Y2</v>
      </c>
      <c r="C19" s="198" t="s">
        <v>2565</v>
      </c>
      <c r="D19" s="198" t="s">
        <v>2554</v>
      </c>
      <c r="E19" s="198" t="s">
        <v>2655</v>
      </c>
      <c r="F19" s="198" t="s">
        <v>2525</v>
      </c>
      <c r="G19" s="198" t="s">
        <v>2525</v>
      </c>
      <c r="H19" s="198" t="s">
        <v>2785</v>
      </c>
      <c r="I19" s="198" t="s">
        <v>1172</v>
      </c>
      <c r="J19" s="225">
        <v>35032337</v>
      </c>
    </row>
    <row r="20" spans="2:10">
      <c r="B20" s="198" t="str">
        <f>VLOOKUP(C20,Companies[],3,FALSE)</f>
        <v>4151750 2Y2</v>
      </c>
      <c r="C20" s="198" t="s">
        <v>2565</v>
      </c>
      <c r="D20" s="198" t="s">
        <v>2695</v>
      </c>
      <c r="E20" s="198" t="s">
        <v>2625</v>
      </c>
      <c r="F20" s="198" t="s">
        <v>1469</v>
      </c>
      <c r="G20" s="198" t="s">
        <v>1469</v>
      </c>
      <c r="H20" s="198" t="s">
        <v>2700</v>
      </c>
      <c r="I20" s="198" t="s">
        <v>1172</v>
      </c>
      <c r="J20" s="225">
        <v>17500157</v>
      </c>
    </row>
    <row r="21" spans="2:10">
      <c r="B21" s="198" t="str">
        <f>VLOOKUP(C21,Companies[],3,FALSE)</f>
        <v>4151750 2Y2</v>
      </c>
      <c r="C21" s="198" t="s">
        <v>2565</v>
      </c>
      <c r="D21" s="198" t="s">
        <v>2695</v>
      </c>
      <c r="E21" s="198" t="s">
        <v>2625</v>
      </c>
      <c r="F21" s="198" t="s">
        <v>1469</v>
      </c>
      <c r="G21" s="198" t="s">
        <v>1469</v>
      </c>
      <c r="H21" s="198" t="s">
        <v>2785</v>
      </c>
      <c r="I21" s="198" t="s">
        <v>1172</v>
      </c>
      <c r="J21" s="225">
        <v>17500157</v>
      </c>
    </row>
    <row r="22" spans="2:10">
      <c r="B22" s="198" t="str">
        <f>VLOOKUP(C22,Companies[],3,FALSE)</f>
        <v>4151750 2Y2</v>
      </c>
      <c r="C22" s="198" t="s">
        <v>2565</v>
      </c>
      <c r="D22" s="198" t="s">
        <v>2695</v>
      </c>
      <c r="E22" s="198" t="s">
        <v>2625</v>
      </c>
      <c r="F22" s="198" t="s">
        <v>1469</v>
      </c>
      <c r="G22" s="198" t="s">
        <v>1469</v>
      </c>
      <c r="H22" s="198" t="s">
        <v>2699</v>
      </c>
      <c r="I22" s="198" t="s">
        <v>1172</v>
      </c>
      <c r="J22" s="225">
        <v>17500157</v>
      </c>
    </row>
    <row r="23" spans="2:10">
      <c r="B23" s="198" t="str">
        <f>VLOOKUP(C23,Companies[],3,FALSE)</f>
        <v>4151750 2Y2</v>
      </c>
      <c r="C23" s="198" t="s">
        <v>2565</v>
      </c>
      <c r="D23" s="198" t="s">
        <v>2555</v>
      </c>
      <c r="E23" s="198" t="s">
        <v>2688</v>
      </c>
      <c r="F23" s="198" t="s">
        <v>2525</v>
      </c>
      <c r="G23" s="198" t="s">
        <v>2525</v>
      </c>
      <c r="H23" s="198" t="s">
        <v>2785</v>
      </c>
      <c r="I23" s="198" t="s">
        <v>1172</v>
      </c>
      <c r="J23" s="225">
        <v>7499995</v>
      </c>
    </row>
    <row r="24" spans="2:10">
      <c r="B24" s="198" t="str">
        <f>VLOOKUP(C24,Companies[],3,FALSE)</f>
        <v>4151750 2Y2</v>
      </c>
      <c r="C24" s="198" t="s">
        <v>2565</v>
      </c>
      <c r="D24" s="198" t="s">
        <v>2695</v>
      </c>
      <c r="E24" s="198" t="s">
        <v>2627</v>
      </c>
      <c r="F24" s="198" t="s">
        <v>1469</v>
      </c>
      <c r="G24" s="198" t="s">
        <v>1469</v>
      </c>
      <c r="H24" s="198" t="s">
        <v>2785</v>
      </c>
      <c r="I24" s="198" t="s">
        <v>1172</v>
      </c>
      <c r="J24" s="225">
        <v>3675000</v>
      </c>
    </row>
    <row r="25" spans="2:10">
      <c r="B25" s="198" t="str">
        <f>VLOOKUP(C25,Companies[],3,FALSE)</f>
        <v>4151750 2Y2</v>
      </c>
      <c r="C25" s="198" t="s">
        <v>2565</v>
      </c>
      <c r="D25" s="198" t="s">
        <v>2695</v>
      </c>
      <c r="E25" s="198" t="s">
        <v>2626</v>
      </c>
      <c r="F25" s="198" t="s">
        <v>1469</v>
      </c>
      <c r="G25" s="198" t="s">
        <v>1469</v>
      </c>
      <c r="H25" s="198" t="s">
        <v>2785</v>
      </c>
      <c r="I25" s="198" t="s">
        <v>1172</v>
      </c>
      <c r="J25" s="225">
        <v>2500000</v>
      </c>
    </row>
    <row r="26" spans="2:10">
      <c r="C26" s="198" t="s">
        <v>2565</v>
      </c>
      <c r="D26" s="198" t="s">
        <v>2695</v>
      </c>
      <c r="E26" s="198" t="s">
        <v>2627</v>
      </c>
      <c r="F26" s="198" t="s">
        <v>1469</v>
      </c>
      <c r="G26" s="198" t="s">
        <v>1469</v>
      </c>
      <c r="H26" s="198" t="s">
        <v>2699</v>
      </c>
      <c r="I26" s="198" t="s">
        <v>1172</v>
      </c>
      <c r="J26" s="225">
        <v>2362500</v>
      </c>
    </row>
    <row r="27" spans="2:10">
      <c r="C27" s="198" t="s">
        <v>2565</v>
      </c>
      <c r="D27" s="198" t="s">
        <v>2550</v>
      </c>
      <c r="E27" s="198" t="s">
        <v>2634</v>
      </c>
      <c r="F27" s="198" t="s">
        <v>1469</v>
      </c>
      <c r="G27" s="198" t="s">
        <v>1469</v>
      </c>
      <c r="H27" s="198" t="s">
        <v>2785</v>
      </c>
      <c r="I27" s="198" t="s">
        <v>1172</v>
      </c>
      <c r="J27" s="225">
        <v>1775459</v>
      </c>
    </row>
    <row r="28" spans="2:10">
      <c r="C28" s="198" t="s">
        <v>2565</v>
      </c>
      <c r="D28" s="198" t="s">
        <v>2550</v>
      </c>
      <c r="E28" s="198" t="s">
        <v>2633</v>
      </c>
      <c r="F28" s="198" t="s">
        <v>2525</v>
      </c>
      <c r="G28" s="198" t="s">
        <v>2525</v>
      </c>
      <c r="H28" s="198" t="s">
        <v>2785</v>
      </c>
      <c r="I28" s="198" t="s">
        <v>1172</v>
      </c>
      <c r="J28" s="225">
        <v>1744422</v>
      </c>
    </row>
    <row r="29" spans="2:10">
      <c r="C29" s="198" t="s">
        <v>2565</v>
      </c>
      <c r="D29" s="198" t="s">
        <v>2550</v>
      </c>
      <c r="E29" s="198" t="s">
        <v>2630</v>
      </c>
      <c r="F29" s="198" t="s">
        <v>2525</v>
      </c>
      <c r="G29" s="198" t="s">
        <v>2525</v>
      </c>
      <c r="H29" s="198" t="s">
        <v>2785</v>
      </c>
      <c r="I29" s="198" t="s">
        <v>1172</v>
      </c>
      <c r="J29" s="225">
        <v>1061897</v>
      </c>
    </row>
    <row r="30" spans="2:10">
      <c r="C30" s="198" t="s">
        <v>2565</v>
      </c>
      <c r="D30" s="198" t="s">
        <v>2695</v>
      </c>
      <c r="E30" s="198" t="s">
        <v>2627</v>
      </c>
      <c r="F30" s="198" t="s">
        <v>1469</v>
      </c>
      <c r="G30" s="198" t="s">
        <v>1469</v>
      </c>
      <c r="H30" s="198" t="s">
        <v>2700</v>
      </c>
      <c r="I30" s="198" t="s">
        <v>1172</v>
      </c>
      <c r="J30" s="225">
        <v>415000</v>
      </c>
    </row>
    <row r="31" spans="2:10">
      <c r="C31" s="198" t="s">
        <v>2786</v>
      </c>
      <c r="D31" s="198" t="s">
        <v>2550</v>
      </c>
      <c r="E31" s="198" t="s">
        <v>2631</v>
      </c>
      <c r="F31" s="198" t="s">
        <v>1469</v>
      </c>
      <c r="G31" s="198" t="s">
        <v>1469</v>
      </c>
      <c r="H31" s="198" t="s">
        <v>445</v>
      </c>
      <c r="I31" s="198" t="s">
        <v>1172</v>
      </c>
      <c r="J31" s="225">
        <v>550233854</v>
      </c>
    </row>
    <row r="32" spans="2:10">
      <c r="C32" s="198" t="s">
        <v>2786</v>
      </c>
      <c r="D32" s="198" t="s">
        <v>2695</v>
      </c>
      <c r="E32" s="198" t="s">
        <v>2624</v>
      </c>
      <c r="F32" s="198" t="s">
        <v>1469</v>
      </c>
      <c r="G32" s="198" t="s">
        <v>1469</v>
      </c>
      <c r="H32" s="198" t="s">
        <v>445</v>
      </c>
      <c r="I32" s="198" t="s">
        <v>1172</v>
      </c>
      <c r="J32" s="225">
        <v>80168375</v>
      </c>
    </row>
    <row r="33" spans="3:10">
      <c r="C33" s="198" t="s">
        <v>2786</v>
      </c>
      <c r="D33" s="198" t="s">
        <v>2550</v>
      </c>
      <c r="E33" s="198" t="s">
        <v>2635</v>
      </c>
      <c r="F33" s="198" t="s">
        <v>2525</v>
      </c>
      <c r="G33" s="198" t="s">
        <v>2525</v>
      </c>
      <c r="H33" s="198" t="s">
        <v>445</v>
      </c>
      <c r="I33" s="198" t="s">
        <v>1172</v>
      </c>
      <c r="J33" s="225">
        <v>70301928</v>
      </c>
    </row>
    <row r="34" spans="3:10">
      <c r="C34" s="198" t="s">
        <v>2786</v>
      </c>
      <c r="D34" s="198" t="s">
        <v>2695</v>
      </c>
      <c r="E34" s="198" t="s">
        <v>2627</v>
      </c>
      <c r="F34" s="198" t="s">
        <v>1469</v>
      </c>
      <c r="G34" s="198" t="s">
        <v>1469</v>
      </c>
      <c r="H34" s="198" t="s">
        <v>445</v>
      </c>
      <c r="I34" s="198" t="s">
        <v>1172</v>
      </c>
      <c r="J34" s="225">
        <v>18632000</v>
      </c>
    </row>
    <row r="35" spans="3:10">
      <c r="C35" s="198" t="s">
        <v>2786</v>
      </c>
      <c r="D35" s="198" t="s">
        <v>2554</v>
      </c>
      <c r="E35" s="198" t="s">
        <v>2655</v>
      </c>
      <c r="F35" s="198" t="s">
        <v>2525</v>
      </c>
      <c r="G35" s="198" t="s">
        <v>2525</v>
      </c>
      <c r="H35" s="198" t="s">
        <v>445</v>
      </c>
      <c r="I35" s="198" t="s">
        <v>1172</v>
      </c>
      <c r="J35" s="225">
        <v>10200637</v>
      </c>
    </row>
    <row r="36" spans="3:10">
      <c r="C36" s="198" t="s">
        <v>2786</v>
      </c>
      <c r="D36" s="198" t="s">
        <v>2549</v>
      </c>
      <c r="E36" s="198" t="s">
        <v>2644</v>
      </c>
      <c r="F36" s="198" t="s">
        <v>1469</v>
      </c>
      <c r="G36" s="198" t="s">
        <v>1469</v>
      </c>
      <c r="H36" s="198" t="s">
        <v>445</v>
      </c>
      <c r="I36" s="198" t="s">
        <v>1172</v>
      </c>
      <c r="J36" s="329">
        <v>5792675</v>
      </c>
    </row>
    <row r="37" spans="3:10">
      <c r="C37" s="198" t="s">
        <v>2786</v>
      </c>
      <c r="D37" s="198" t="s">
        <v>2550</v>
      </c>
      <c r="E37" s="198" t="s">
        <v>2630</v>
      </c>
      <c r="F37" s="198" t="s">
        <v>2525</v>
      </c>
      <c r="G37" s="198" t="s">
        <v>2525</v>
      </c>
      <c r="H37" s="198" t="s">
        <v>445</v>
      </c>
      <c r="I37" s="198" t="s">
        <v>1172</v>
      </c>
      <c r="J37" s="225">
        <v>4952376</v>
      </c>
    </row>
    <row r="38" spans="3:10">
      <c r="C38" s="198" t="s">
        <v>2786</v>
      </c>
      <c r="D38" s="198" t="s">
        <v>2549</v>
      </c>
      <c r="E38" s="198" t="s">
        <v>2642</v>
      </c>
      <c r="F38" s="198" t="s">
        <v>1469</v>
      </c>
      <c r="G38" s="198" t="s">
        <v>1469</v>
      </c>
      <c r="H38" s="198" t="s">
        <v>445</v>
      </c>
      <c r="I38" s="198" t="s">
        <v>1172</v>
      </c>
      <c r="J38" s="225">
        <v>4634139</v>
      </c>
    </row>
    <row r="39" spans="3:10">
      <c r="C39" s="198" t="s">
        <v>2786</v>
      </c>
      <c r="D39" s="198" t="s">
        <v>2550</v>
      </c>
      <c r="E39" s="198" t="s">
        <v>2633</v>
      </c>
      <c r="F39" s="198" t="s">
        <v>2525</v>
      </c>
      <c r="G39" s="198" t="s">
        <v>2525</v>
      </c>
      <c r="H39" s="198" t="s">
        <v>445</v>
      </c>
      <c r="I39" s="198" t="s">
        <v>1172</v>
      </c>
      <c r="J39" s="225">
        <v>2975019</v>
      </c>
    </row>
    <row r="40" spans="3:10">
      <c r="C40" s="198" t="s">
        <v>2786</v>
      </c>
      <c r="D40" s="198" t="s">
        <v>2549</v>
      </c>
      <c r="E40" s="198" t="s">
        <v>2641</v>
      </c>
      <c r="F40" s="198" t="s">
        <v>1469</v>
      </c>
      <c r="G40" s="198" t="s">
        <v>1469</v>
      </c>
      <c r="H40" s="198" t="s">
        <v>445</v>
      </c>
      <c r="I40" s="198" t="s">
        <v>1172</v>
      </c>
      <c r="J40" s="225">
        <v>2896336</v>
      </c>
    </row>
    <row r="41" spans="3:10">
      <c r="C41" s="198" t="s">
        <v>2786</v>
      </c>
      <c r="D41" s="198" t="s">
        <v>2549</v>
      </c>
      <c r="E41" s="198" t="s">
        <v>2646</v>
      </c>
      <c r="F41" s="198" t="s">
        <v>1469</v>
      </c>
      <c r="G41" s="198" t="s">
        <v>1469</v>
      </c>
      <c r="H41" s="198" t="s">
        <v>445</v>
      </c>
      <c r="I41" s="198" t="s">
        <v>1172</v>
      </c>
      <c r="J41" s="225">
        <v>2589815</v>
      </c>
    </row>
    <row r="42" spans="3:10">
      <c r="C42" s="198" t="s">
        <v>2786</v>
      </c>
      <c r="D42" s="198" t="s">
        <v>2549</v>
      </c>
      <c r="E42" s="198" t="s">
        <v>2640</v>
      </c>
      <c r="F42" s="198" t="s">
        <v>2525</v>
      </c>
      <c r="G42" s="198" t="s">
        <v>2525</v>
      </c>
      <c r="H42" s="198" t="s">
        <v>445</v>
      </c>
      <c r="I42" s="198" t="s">
        <v>1172</v>
      </c>
      <c r="J42" s="225">
        <v>1036851</v>
      </c>
    </row>
    <row r="43" spans="3:10">
      <c r="C43" s="198" t="s">
        <v>2786</v>
      </c>
      <c r="D43" s="198" t="s">
        <v>2555</v>
      </c>
      <c r="E43" s="198" t="s">
        <v>2688</v>
      </c>
      <c r="F43" s="198" t="s">
        <v>2525</v>
      </c>
      <c r="G43" s="198" t="s">
        <v>2525</v>
      </c>
      <c r="H43" s="198" t="s">
        <v>445</v>
      </c>
      <c r="I43" s="198" t="s">
        <v>1172</v>
      </c>
      <c r="J43" s="225">
        <v>861840</v>
      </c>
    </row>
    <row r="44" spans="3:10">
      <c r="C44" s="198" t="s">
        <v>2786</v>
      </c>
      <c r="D44" s="198" t="s">
        <v>2549</v>
      </c>
      <c r="E44" s="198" t="s">
        <v>2689</v>
      </c>
      <c r="F44" s="198" t="s">
        <v>1469</v>
      </c>
      <c r="G44" s="198" t="s">
        <v>1469</v>
      </c>
      <c r="H44" s="198" t="s">
        <v>445</v>
      </c>
      <c r="I44" s="198" t="s">
        <v>1172</v>
      </c>
      <c r="J44" s="225">
        <v>264376</v>
      </c>
    </row>
    <row r="45" spans="3:10">
      <c r="C45" s="198" t="s">
        <v>2786</v>
      </c>
      <c r="D45" s="198" t="s">
        <v>2549</v>
      </c>
      <c r="E45" s="198" t="s">
        <v>2628</v>
      </c>
      <c r="F45" s="198" t="s">
        <v>2525</v>
      </c>
      <c r="G45" s="198" t="s">
        <v>2525</v>
      </c>
      <c r="H45" s="198" t="s">
        <v>445</v>
      </c>
      <c r="I45" s="198" t="s">
        <v>1172</v>
      </c>
      <c r="J45" s="225">
        <v>102021</v>
      </c>
    </row>
    <row r="46" spans="3:10">
      <c r="C46" s="198" t="s">
        <v>2786</v>
      </c>
      <c r="D46" s="198" t="s">
        <v>2549</v>
      </c>
      <c r="E46" s="198" t="s">
        <v>2643</v>
      </c>
      <c r="F46" s="198" t="s">
        <v>1469</v>
      </c>
      <c r="G46" s="198" t="s">
        <v>1469</v>
      </c>
      <c r="H46" s="198" t="s">
        <v>445</v>
      </c>
      <c r="I46" s="198" t="s">
        <v>1172</v>
      </c>
      <c r="J46" s="225">
        <v>98398</v>
      </c>
    </row>
    <row r="47" spans="3:10">
      <c r="C47" s="198" t="s">
        <v>2671</v>
      </c>
      <c r="D47" s="198" t="s">
        <v>2550</v>
      </c>
      <c r="E47" s="198" t="s">
        <v>2635</v>
      </c>
      <c r="F47" s="198" t="s">
        <v>2525</v>
      </c>
      <c r="G47" s="198" t="s">
        <v>2525</v>
      </c>
      <c r="H47" s="198" t="s">
        <v>445</v>
      </c>
      <c r="I47" s="198" t="s">
        <v>1172</v>
      </c>
      <c r="J47" s="225">
        <v>193517595</v>
      </c>
    </row>
    <row r="48" spans="3:10">
      <c r="C48" s="198" t="s">
        <v>2671</v>
      </c>
      <c r="D48" s="198" t="s">
        <v>2554</v>
      </c>
      <c r="E48" s="198" t="s">
        <v>2655</v>
      </c>
      <c r="F48" s="198" t="s">
        <v>2525</v>
      </c>
      <c r="G48" s="198" t="s">
        <v>2525</v>
      </c>
      <c r="H48" s="198" t="s">
        <v>445</v>
      </c>
      <c r="I48" s="198" t="s">
        <v>1172</v>
      </c>
      <c r="J48" s="225">
        <v>52045742</v>
      </c>
    </row>
    <row r="49" spans="3:10">
      <c r="C49" s="198" t="s">
        <v>2671</v>
      </c>
      <c r="D49" s="198" t="s">
        <v>2695</v>
      </c>
      <c r="E49" s="198" t="s">
        <v>2625</v>
      </c>
      <c r="F49" s="198" t="s">
        <v>1469</v>
      </c>
      <c r="G49" s="198" t="s">
        <v>1469</v>
      </c>
      <c r="H49" s="198" t="s">
        <v>445</v>
      </c>
      <c r="I49" s="198" t="s">
        <v>1172</v>
      </c>
      <c r="J49" s="225">
        <v>50000000</v>
      </c>
    </row>
    <row r="50" spans="3:10">
      <c r="C50" s="198" t="s">
        <v>2671</v>
      </c>
      <c r="D50" s="198" t="s">
        <v>2555</v>
      </c>
      <c r="E50" s="198" t="s">
        <v>2688</v>
      </c>
      <c r="F50" s="198" t="s">
        <v>2525</v>
      </c>
      <c r="G50" s="198" t="s">
        <v>2525</v>
      </c>
      <c r="H50" s="198" t="s">
        <v>445</v>
      </c>
      <c r="I50" s="198" t="s">
        <v>1172</v>
      </c>
      <c r="J50" s="225">
        <v>8845200</v>
      </c>
    </row>
    <row r="51" spans="3:10">
      <c r="C51" s="198" t="s">
        <v>2671</v>
      </c>
      <c r="D51" s="198" t="s">
        <v>2695</v>
      </c>
      <c r="E51" s="198" t="s">
        <v>2627</v>
      </c>
      <c r="F51" s="198" t="s">
        <v>1469</v>
      </c>
      <c r="G51" s="198" t="s">
        <v>1469</v>
      </c>
      <c r="H51" s="198" t="s">
        <v>445</v>
      </c>
      <c r="I51" s="198" t="s">
        <v>1172</v>
      </c>
      <c r="J51" s="225">
        <v>3353750</v>
      </c>
    </row>
    <row r="52" spans="3:10">
      <c r="C52" s="198" t="s">
        <v>2671</v>
      </c>
      <c r="D52" s="198" t="s">
        <v>2695</v>
      </c>
      <c r="E52" s="198" t="s">
        <v>2626</v>
      </c>
      <c r="F52" s="198" t="s">
        <v>1469</v>
      </c>
      <c r="G52" s="198" t="s">
        <v>1469</v>
      </c>
      <c r="H52" s="198" t="s">
        <v>445</v>
      </c>
      <c r="I52" s="198" t="s">
        <v>1172</v>
      </c>
      <c r="J52" s="225">
        <v>2500000</v>
      </c>
    </row>
    <row r="53" spans="3:10">
      <c r="C53" s="198" t="s">
        <v>2671</v>
      </c>
      <c r="D53" s="198" t="s">
        <v>2550</v>
      </c>
      <c r="E53" s="198" t="s">
        <v>2638</v>
      </c>
      <c r="F53" s="198" t="s">
        <v>2525</v>
      </c>
      <c r="G53" s="198" t="s">
        <v>2525</v>
      </c>
      <c r="H53" s="198" t="s">
        <v>445</v>
      </c>
      <c r="I53" s="198" t="s">
        <v>1172</v>
      </c>
      <c r="J53" s="225">
        <v>400000</v>
      </c>
    </row>
    <row r="54" spans="3:10">
      <c r="C54" s="198" t="s">
        <v>2787</v>
      </c>
      <c r="D54" s="198" t="s">
        <v>2550</v>
      </c>
      <c r="E54" s="198" t="s">
        <v>2633</v>
      </c>
      <c r="F54" s="198" t="s">
        <v>2525</v>
      </c>
      <c r="G54" s="198" t="s">
        <v>2525</v>
      </c>
      <c r="H54" s="198" t="s">
        <v>2660</v>
      </c>
      <c r="I54" s="198" t="s">
        <v>1172</v>
      </c>
      <c r="J54" s="225">
        <v>5026896703</v>
      </c>
    </row>
    <row r="55" spans="3:10">
      <c r="C55" s="198" t="s">
        <v>2787</v>
      </c>
      <c r="D55" s="198" t="s">
        <v>2550</v>
      </c>
      <c r="E55" s="198" t="s">
        <v>2635</v>
      </c>
      <c r="F55" s="198" t="s">
        <v>2525</v>
      </c>
      <c r="G55" s="198" t="s">
        <v>2525</v>
      </c>
      <c r="H55" s="198" t="s">
        <v>2660</v>
      </c>
      <c r="I55" s="198" t="s">
        <v>1172</v>
      </c>
      <c r="J55" s="225">
        <v>2309659146</v>
      </c>
    </row>
    <row r="56" spans="3:10">
      <c r="C56" s="198" t="s">
        <v>2787</v>
      </c>
      <c r="D56" s="198" t="s">
        <v>2550</v>
      </c>
      <c r="E56" s="198" t="s">
        <v>2634</v>
      </c>
      <c r="F56" s="198" t="s">
        <v>1469</v>
      </c>
      <c r="G56" s="198" t="s">
        <v>1469</v>
      </c>
      <c r="H56" s="198" t="s">
        <v>445</v>
      </c>
      <c r="I56" s="198" t="s">
        <v>1172</v>
      </c>
      <c r="J56" s="225">
        <v>843457173</v>
      </c>
    </row>
    <row r="57" spans="3:10">
      <c r="C57" s="198" t="s">
        <v>2787</v>
      </c>
      <c r="D57" s="198" t="s">
        <v>2550</v>
      </c>
      <c r="E57" s="198" t="s">
        <v>2635</v>
      </c>
      <c r="F57" s="198" t="s">
        <v>2525</v>
      </c>
      <c r="G57" s="198" t="s">
        <v>2525</v>
      </c>
      <c r="H57" s="198" t="s">
        <v>445</v>
      </c>
      <c r="I57" s="198" t="s">
        <v>1172</v>
      </c>
      <c r="J57" s="225">
        <v>564543666</v>
      </c>
    </row>
    <row r="58" spans="3:10">
      <c r="C58" s="198" t="s">
        <v>2787</v>
      </c>
      <c r="D58" s="198" t="s">
        <v>2554</v>
      </c>
      <c r="E58" s="198" t="s">
        <v>2655</v>
      </c>
      <c r="F58" s="198" t="s">
        <v>2525</v>
      </c>
      <c r="G58" s="198" t="s">
        <v>2525</v>
      </c>
      <c r="H58" s="198" t="s">
        <v>445</v>
      </c>
      <c r="I58" s="198" t="s">
        <v>1172</v>
      </c>
      <c r="J58" s="225">
        <v>91833878</v>
      </c>
    </row>
    <row r="59" spans="3:10">
      <c r="C59" s="198" t="s">
        <v>2787</v>
      </c>
      <c r="D59" s="198" t="s">
        <v>2549</v>
      </c>
      <c r="E59" s="198" t="s">
        <v>2646</v>
      </c>
      <c r="F59" s="198" t="s">
        <v>1469</v>
      </c>
      <c r="G59" s="198" t="s">
        <v>1469</v>
      </c>
      <c r="H59" s="198" t="s">
        <v>445</v>
      </c>
      <c r="I59" s="198" t="s">
        <v>1172</v>
      </c>
      <c r="J59" s="225">
        <v>24997667</v>
      </c>
    </row>
    <row r="60" spans="3:10">
      <c r="C60" s="198" t="s">
        <v>2787</v>
      </c>
      <c r="D60" s="198" t="s">
        <v>2549</v>
      </c>
      <c r="E60" s="198" t="s">
        <v>2640</v>
      </c>
      <c r="F60" s="198" t="s">
        <v>2525</v>
      </c>
      <c r="G60" s="198" t="s">
        <v>2525</v>
      </c>
      <c r="H60" s="198" t="s">
        <v>445</v>
      </c>
      <c r="I60" s="198" t="s">
        <v>1172</v>
      </c>
      <c r="J60" s="225">
        <v>10438714</v>
      </c>
    </row>
    <row r="61" spans="3:10">
      <c r="C61" s="198" t="s">
        <v>2787</v>
      </c>
      <c r="D61" s="198" t="s">
        <v>2555</v>
      </c>
      <c r="E61" s="198" t="s">
        <v>2688</v>
      </c>
      <c r="F61" s="198" t="s">
        <v>2525</v>
      </c>
      <c r="G61" s="198" t="s">
        <v>2525</v>
      </c>
      <c r="H61" s="198" t="s">
        <v>445</v>
      </c>
      <c r="I61" s="198" t="s">
        <v>1172</v>
      </c>
      <c r="J61" s="225">
        <v>4814133</v>
      </c>
    </row>
    <row r="62" spans="3:10">
      <c r="C62" s="198" t="s">
        <v>2787</v>
      </c>
      <c r="D62" s="198" t="s">
        <v>2549</v>
      </c>
      <c r="E62" s="198" t="s">
        <v>2689</v>
      </c>
      <c r="F62" s="198" t="s">
        <v>1469</v>
      </c>
      <c r="G62" s="198" t="s">
        <v>1469</v>
      </c>
      <c r="H62" s="198" t="s">
        <v>445</v>
      </c>
      <c r="I62" s="198" t="s">
        <v>1172</v>
      </c>
      <c r="J62" s="225">
        <v>2543514</v>
      </c>
    </row>
    <row r="63" spans="3:10">
      <c r="C63" s="198" t="s">
        <v>2787</v>
      </c>
      <c r="D63" s="198" t="s">
        <v>2549</v>
      </c>
      <c r="E63" s="198" t="s">
        <v>2644</v>
      </c>
      <c r="F63" s="198" t="s">
        <v>1469</v>
      </c>
      <c r="G63" s="198" t="s">
        <v>1469</v>
      </c>
      <c r="H63" s="198" t="s">
        <v>445</v>
      </c>
      <c r="I63" s="198" t="s">
        <v>1172</v>
      </c>
      <c r="J63" s="225">
        <v>1271190</v>
      </c>
    </row>
    <row r="64" spans="3:10">
      <c r="C64" s="198" t="s">
        <v>2787</v>
      </c>
      <c r="D64" s="198" t="s">
        <v>2549</v>
      </c>
      <c r="E64" s="198" t="s">
        <v>2642</v>
      </c>
      <c r="F64" s="198" t="s">
        <v>1469</v>
      </c>
      <c r="G64" s="198" t="s">
        <v>1469</v>
      </c>
      <c r="H64" s="198" t="s">
        <v>445</v>
      </c>
      <c r="I64" s="198" t="s">
        <v>1172</v>
      </c>
      <c r="J64" s="225">
        <v>1016950</v>
      </c>
    </row>
    <row r="65" spans="3:10">
      <c r="C65" s="198" t="s">
        <v>2787</v>
      </c>
      <c r="D65" s="198" t="s">
        <v>2549</v>
      </c>
      <c r="E65" s="198" t="s">
        <v>2641</v>
      </c>
      <c r="F65" s="198" t="s">
        <v>1469</v>
      </c>
      <c r="G65" s="198" t="s">
        <v>1469</v>
      </c>
      <c r="H65" s="198" t="s">
        <v>445</v>
      </c>
      <c r="I65" s="198" t="s">
        <v>1172</v>
      </c>
      <c r="J65" s="225">
        <v>635592</v>
      </c>
    </row>
    <row r="66" spans="3:10">
      <c r="C66" s="198" t="s">
        <v>2787</v>
      </c>
      <c r="D66" s="198" t="s">
        <v>2549</v>
      </c>
      <c r="E66" s="198" t="s">
        <v>2628</v>
      </c>
      <c r="F66" s="198" t="s">
        <v>2525</v>
      </c>
      <c r="G66" s="198" t="s">
        <v>2525</v>
      </c>
      <c r="H66" s="198" t="s">
        <v>445</v>
      </c>
      <c r="I66" s="198" t="s">
        <v>1172</v>
      </c>
      <c r="J66" s="225">
        <v>488885</v>
      </c>
    </row>
    <row r="67" spans="3:10">
      <c r="C67" s="198" t="s">
        <v>2787</v>
      </c>
      <c r="D67" s="198" t="s">
        <v>2549</v>
      </c>
      <c r="E67" s="198" t="s">
        <v>2694</v>
      </c>
      <c r="F67" s="198" t="s">
        <v>1469</v>
      </c>
      <c r="G67" s="198" t="s">
        <v>1469</v>
      </c>
      <c r="H67" s="198" t="s">
        <v>445</v>
      </c>
      <c r="I67" s="198" t="s">
        <v>1172</v>
      </c>
      <c r="J67" s="225">
        <v>104228</v>
      </c>
    </row>
    <row r="68" spans="3:10">
      <c r="C68" s="198" t="s">
        <v>2787</v>
      </c>
      <c r="D68" s="198" t="s">
        <v>2549</v>
      </c>
      <c r="E68" s="198" t="s">
        <v>2643</v>
      </c>
      <c r="F68" s="198" t="s">
        <v>1469</v>
      </c>
      <c r="G68" s="198" t="s">
        <v>1469</v>
      </c>
      <c r="H68" s="198" t="s">
        <v>445</v>
      </c>
      <c r="I68" s="198" t="s">
        <v>1172</v>
      </c>
      <c r="J68" s="225">
        <v>38980</v>
      </c>
    </row>
    <row r="69" spans="3:10">
      <c r="C69" s="198" t="s">
        <v>2559</v>
      </c>
      <c r="D69" s="198" t="s">
        <v>2549</v>
      </c>
      <c r="E69" s="198" t="s">
        <v>2646</v>
      </c>
      <c r="F69" s="198" t="s">
        <v>1469</v>
      </c>
      <c r="G69" s="198" t="s">
        <v>1469</v>
      </c>
      <c r="H69" s="198" t="s">
        <v>445</v>
      </c>
      <c r="I69" s="198" t="s">
        <v>1172</v>
      </c>
      <c r="J69" s="225">
        <v>9784092024</v>
      </c>
    </row>
    <row r="70" spans="3:10">
      <c r="C70" s="198" t="s">
        <v>2559</v>
      </c>
      <c r="D70" s="198" t="s">
        <v>2549</v>
      </c>
      <c r="E70" s="198" t="s">
        <v>2640</v>
      </c>
      <c r="F70" s="198" t="s">
        <v>2525</v>
      </c>
      <c r="G70" s="198" t="s">
        <v>2525</v>
      </c>
      <c r="H70" s="198" t="s">
        <v>445</v>
      </c>
      <c r="I70" s="198" t="s">
        <v>1172</v>
      </c>
      <c r="J70" s="225">
        <v>5627312765</v>
      </c>
    </row>
    <row r="71" spans="3:10">
      <c r="C71" s="198" t="s">
        <v>2559</v>
      </c>
      <c r="D71" s="198" t="s">
        <v>2550</v>
      </c>
      <c r="E71" s="198" t="s">
        <v>2638</v>
      </c>
      <c r="F71" s="198" t="s">
        <v>2525</v>
      </c>
      <c r="G71" s="198" t="s">
        <v>2525</v>
      </c>
      <c r="H71" s="198" t="s">
        <v>445</v>
      </c>
      <c r="I71" s="198" t="s">
        <v>1172</v>
      </c>
      <c r="J71" s="225">
        <v>5611778500</v>
      </c>
    </row>
    <row r="72" spans="3:10">
      <c r="C72" s="198" t="s">
        <v>2559</v>
      </c>
      <c r="D72" s="198" t="s">
        <v>2550</v>
      </c>
      <c r="E72" s="198" t="s">
        <v>2636</v>
      </c>
      <c r="F72" s="198" t="s">
        <v>2525</v>
      </c>
      <c r="G72" s="198" t="s">
        <v>2525</v>
      </c>
      <c r="H72" s="198" t="s">
        <v>445</v>
      </c>
      <c r="I72" s="198" t="s">
        <v>1172</v>
      </c>
      <c r="J72" s="225">
        <v>3507654210</v>
      </c>
    </row>
    <row r="73" spans="3:10">
      <c r="C73" s="198" t="s">
        <v>2559</v>
      </c>
      <c r="D73" s="198" t="s">
        <v>2550</v>
      </c>
      <c r="E73" s="198" t="s">
        <v>2639</v>
      </c>
      <c r="F73" s="198" t="s">
        <v>2525</v>
      </c>
      <c r="G73" s="198" t="s">
        <v>2525</v>
      </c>
      <c r="H73" s="198" t="s">
        <v>445</v>
      </c>
      <c r="I73" s="198" t="s">
        <v>1172</v>
      </c>
      <c r="J73" s="225">
        <v>2338436140</v>
      </c>
    </row>
    <row r="74" spans="3:10">
      <c r="C74" s="198" t="s">
        <v>2559</v>
      </c>
      <c r="D74" s="198" t="s">
        <v>2550</v>
      </c>
      <c r="E74" s="198" t="s">
        <v>2635</v>
      </c>
      <c r="F74" s="198" t="s">
        <v>2525</v>
      </c>
      <c r="G74" s="198" t="s">
        <v>2525</v>
      </c>
      <c r="H74" s="198" t="s">
        <v>445</v>
      </c>
      <c r="I74" s="198" t="s">
        <v>1172</v>
      </c>
      <c r="J74" s="225">
        <v>1732573096</v>
      </c>
    </row>
    <row r="75" spans="3:10">
      <c r="C75" s="198" t="s">
        <v>2559</v>
      </c>
      <c r="D75" s="198" t="s">
        <v>2549</v>
      </c>
      <c r="E75" s="198" t="s">
        <v>2689</v>
      </c>
      <c r="F75" s="198" t="s">
        <v>1469</v>
      </c>
      <c r="G75" s="198" t="s">
        <v>1469</v>
      </c>
      <c r="H75" s="198" t="s">
        <v>445</v>
      </c>
      <c r="I75" s="198" t="s">
        <v>1172</v>
      </c>
      <c r="J75" s="225">
        <v>936663886</v>
      </c>
    </row>
    <row r="76" spans="3:10">
      <c r="C76" s="198" t="s">
        <v>2559</v>
      </c>
      <c r="D76" s="198" t="s">
        <v>2554</v>
      </c>
      <c r="E76" s="198" t="s">
        <v>2655</v>
      </c>
      <c r="F76" s="198" t="s">
        <v>2525</v>
      </c>
      <c r="G76" s="198" t="s">
        <v>2525</v>
      </c>
      <c r="H76" s="198" t="s">
        <v>445</v>
      </c>
      <c r="I76" s="198" t="s">
        <v>1172</v>
      </c>
      <c r="J76" s="225">
        <v>552449999</v>
      </c>
    </row>
    <row r="77" spans="3:10">
      <c r="C77" s="198" t="s">
        <v>2559</v>
      </c>
      <c r="D77" s="198" t="s">
        <v>2549</v>
      </c>
      <c r="E77" s="198" t="s">
        <v>2644</v>
      </c>
      <c r="F77" s="198" t="s">
        <v>1469</v>
      </c>
      <c r="G77" s="198" t="s">
        <v>1469</v>
      </c>
      <c r="H77" s="198" t="s">
        <v>445</v>
      </c>
      <c r="I77" s="198" t="s">
        <v>1172</v>
      </c>
      <c r="J77" s="225">
        <v>457071760</v>
      </c>
    </row>
    <row r="78" spans="3:10">
      <c r="C78" s="198" t="s">
        <v>2559</v>
      </c>
      <c r="D78" s="198" t="s">
        <v>2549</v>
      </c>
      <c r="E78" s="198" t="s">
        <v>2642</v>
      </c>
      <c r="F78" s="198" t="s">
        <v>1469</v>
      </c>
      <c r="G78" s="198" t="s">
        <v>1469</v>
      </c>
      <c r="H78" s="198" t="s">
        <v>445</v>
      </c>
      <c r="I78" s="198" t="s">
        <v>1172</v>
      </c>
      <c r="J78" s="225">
        <v>365657604</v>
      </c>
    </row>
    <row r="79" spans="3:10">
      <c r="C79" s="198" t="s">
        <v>2559</v>
      </c>
      <c r="D79" s="198" t="s">
        <v>2549</v>
      </c>
      <c r="E79" s="198" t="s">
        <v>2641</v>
      </c>
      <c r="F79" s="198" t="s">
        <v>1469</v>
      </c>
      <c r="G79" s="198" t="s">
        <v>1469</v>
      </c>
      <c r="H79" s="198" t="s">
        <v>445</v>
      </c>
      <c r="I79" s="198" t="s">
        <v>1172</v>
      </c>
      <c r="J79" s="225">
        <v>228535893</v>
      </c>
    </row>
    <row r="80" spans="3:10">
      <c r="C80" s="198" t="s">
        <v>2559</v>
      </c>
      <c r="D80" s="198" t="s">
        <v>2695</v>
      </c>
      <c r="E80" s="198" t="s">
        <v>2624</v>
      </c>
      <c r="F80" s="198" t="s">
        <v>1469</v>
      </c>
      <c r="G80" s="198" t="s">
        <v>1469</v>
      </c>
      <c r="H80" s="198" t="s">
        <v>445</v>
      </c>
      <c r="I80" s="198" t="s">
        <v>1172</v>
      </c>
      <c r="J80" s="225">
        <v>202845744</v>
      </c>
    </row>
    <row r="81" spans="3:10">
      <c r="C81" s="198" t="s">
        <v>2559</v>
      </c>
      <c r="D81" s="198" t="s">
        <v>2549</v>
      </c>
      <c r="E81" s="198" t="s">
        <v>2643</v>
      </c>
      <c r="F81" s="198" t="s">
        <v>1469</v>
      </c>
      <c r="G81" s="198" t="s">
        <v>1469</v>
      </c>
      <c r="H81" s="198" t="s">
        <v>445</v>
      </c>
      <c r="I81" s="198" t="s">
        <v>1172</v>
      </c>
      <c r="J81" s="225">
        <v>193103807</v>
      </c>
    </row>
    <row r="82" spans="3:10">
      <c r="C82" s="198" t="s">
        <v>2559</v>
      </c>
      <c r="D82" s="198" t="s">
        <v>2555</v>
      </c>
      <c r="E82" s="198" t="s">
        <v>2688</v>
      </c>
      <c r="F82" s="198" t="s">
        <v>2525</v>
      </c>
      <c r="G82" s="198" t="s">
        <v>2525</v>
      </c>
      <c r="H82" s="198" t="s">
        <v>445</v>
      </c>
      <c r="I82" s="198" t="s">
        <v>1172</v>
      </c>
      <c r="J82" s="225">
        <v>118940884</v>
      </c>
    </row>
    <row r="83" spans="3:10">
      <c r="C83" s="198" t="s">
        <v>2559</v>
      </c>
      <c r="D83" s="198" t="s">
        <v>2550</v>
      </c>
      <c r="E83" s="198" t="s">
        <v>2630</v>
      </c>
      <c r="F83" s="198" t="s">
        <v>2525</v>
      </c>
      <c r="G83" s="198" t="s">
        <v>2525</v>
      </c>
      <c r="H83" s="198" t="s">
        <v>445</v>
      </c>
      <c r="I83" s="198" t="s">
        <v>1172</v>
      </c>
      <c r="J83" s="225">
        <v>17831330</v>
      </c>
    </row>
    <row r="84" spans="3:10">
      <c r="C84" s="198" t="s">
        <v>2559</v>
      </c>
      <c r="D84" s="198" t="s">
        <v>2550</v>
      </c>
      <c r="E84" s="198" t="s">
        <v>2633</v>
      </c>
      <c r="F84" s="198" t="s">
        <v>2525</v>
      </c>
      <c r="G84" s="198" t="s">
        <v>2525</v>
      </c>
      <c r="H84" s="198" t="s">
        <v>445</v>
      </c>
      <c r="I84" s="198" t="s">
        <v>1172</v>
      </c>
      <c r="J84" s="225">
        <v>5994581</v>
      </c>
    </row>
    <row r="85" spans="3:10">
      <c r="C85" s="198" t="s">
        <v>2569</v>
      </c>
      <c r="D85" s="198" t="s">
        <v>2550</v>
      </c>
      <c r="E85" s="198" t="s">
        <v>2631</v>
      </c>
      <c r="F85" s="198" t="s">
        <v>1469</v>
      </c>
      <c r="G85" s="198" t="s">
        <v>1469</v>
      </c>
      <c r="H85" s="198" t="s">
        <v>445</v>
      </c>
      <c r="I85" s="198" t="s">
        <v>1172</v>
      </c>
      <c r="J85" s="225">
        <v>1320018084</v>
      </c>
    </row>
    <row r="86" spans="3:10">
      <c r="C86" s="198" t="s">
        <v>2569</v>
      </c>
      <c r="D86" s="198" t="s">
        <v>2695</v>
      </c>
      <c r="E86" s="198" t="s">
        <v>2624</v>
      </c>
      <c r="F86" s="198" t="s">
        <v>1469</v>
      </c>
      <c r="G86" s="198" t="s">
        <v>1469</v>
      </c>
      <c r="H86" s="198" t="s">
        <v>445</v>
      </c>
      <c r="I86" s="198" t="s">
        <v>1172</v>
      </c>
      <c r="J86" s="225">
        <v>644763285</v>
      </c>
    </row>
    <row r="87" spans="3:10">
      <c r="C87" s="198" t="s">
        <v>2569</v>
      </c>
      <c r="D87" s="198" t="s">
        <v>2550</v>
      </c>
      <c r="E87" s="198" t="s">
        <v>2629</v>
      </c>
      <c r="F87" s="198" t="s">
        <v>2525</v>
      </c>
      <c r="G87" s="198" t="s">
        <v>2525</v>
      </c>
      <c r="H87" s="198" t="s">
        <v>445</v>
      </c>
      <c r="I87" s="198" t="s">
        <v>1172</v>
      </c>
      <c r="J87" s="225">
        <v>465851016</v>
      </c>
    </row>
    <row r="88" spans="3:10">
      <c r="C88" s="198" t="s">
        <v>2569</v>
      </c>
      <c r="D88" s="198" t="s">
        <v>2550</v>
      </c>
      <c r="E88" s="198" t="s">
        <v>2638</v>
      </c>
      <c r="F88" s="198" t="s">
        <v>2525</v>
      </c>
      <c r="G88" s="198" t="s">
        <v>2525</v>
      </c>
      <c r="H88" s="198" t="s">
        <v>445</v>
      </c>
      <c r="I88" s="198" t="s">
        <v>1172</v>
      </c>
      <c r="J88" s="225">
        <v>395146885</v>
      </c>
    </row>
    <row r="89" spans="3:10">
      <c r="C89" s="198" t="s">
        <v>2569</v>
      </c>
      <c r="D89" s="198" t="s">
        <v>2550</v>
      </c>
      <c r="E89" s="198" t="s">
        <v>2635</v>
      </c>
      <c r="F89" s="198" t="s">
        <v>2525</v>
      </c>
      <c r="G89" s="198" t="s">
        <v>2525</v>
      </c>
      <c r="H89" s="198" t="s">
        <v>445</v>
      </c>
      <c r="I89" s="198" t="s">
        <v>1172</v>
      </c>
      <c r="J89" s="225">
        <v>287072311</v>
      </c>
    </row>
    <row r="90" spans="3:10">
      <c r="C90" s="198" t="s">
        <v>2569</v>
      </c>
      <c r="D90" s="198" t="s">
        <v>2549</v>
      </c>
      <c r="E90" s="198" t="s">
        <v>2646</v>
      </c>
      <c r="F90" s="198" t="s">
        <v>1469</v>
      </c>
      <c r="G90" s="198" t="s">
        <v>1469</v>
      </c>
      <c r="H90" s="198" t="s">
        <v>445</v>
      </c>
      <c r="I90" s="198" t="s">
        <v>1172</v>
      </c>
      <c r="J90" s="225">
        <v>174228835</v>
      </c>
    </row>
    <row r="91" spans="3:10">
      <c r="C91" s="198" t="s">
        <v>2569</v>
      </c>
      <c r="D91" s="198" t="s">
        <v>2554</v>
      </c>
      <c r="E91" s="198" t="s">
        <v>2655</v>
      </c>
      <c r="F91" s="198" t="s">
        <v>2525</v>
      </c>
      <c r="G91" s="198" t="s">
        <v>2525</v>
      </c>
      <c r="H91" s="198" t="s">
        <v>445</v>
      </c>
      <c r="I91" s="198" t="s">
        <v>1172</v>
      </c>
      <c r="J91" s="225">
        <v>163486789</v>
      </c>
    </row>
    <row r="92" spans="3:10">
      <c r="C92" s="198" t="s">
        <v>2569</v>
      </c>
      <c r="D92" s="198" t="s">
        <v>2551</v>
      </c>
      <c r="E92" s="198" t="s">
        <v>2648</v>
      </c>
      <c r="F92" s="198" t="s">
        <v>2525</v>
      </c>
      <c r="G92" s="198" t="s">
        <v>2525</v>
      </c>
      <c r="H92" s="198" t="s">
        <v>445</v>
      </c>
      <c r="I92" s="198" t="s">
        <v>1172</v>
      </c>
      <c r="J92" s="225">
        <v>116120061</v>
      </c>
    </row>
    <row r="93" spans="3:10">
      <c r="C93" s="198" t="s">
        <v>2569</v>
      </c>
      <c r="D93" s="198" t="s">
        <v>2549</v>
      </c>
      <c r="E93" s="198" t="s">
        <v>2640</v>
      </c>
      <c r="F93" s="198" t="s">
        <v>2525</v>
      </c>
      <c r="G93" s="198" t="s">
        <v>2525</v>
      </c>
      <c r="H93" s="198" t="s">
        <v>445</v>
      </c>
      <c r="I93" s="198" t="s">
        <v>1172</v>
      </c>
      <c r="J93" s="225">
        <v>81115638</v>
      </c>
    </row>
    <row r="94" spans="3:10">
      <c r="C94" s="198" t="s">
        <v>2569</v>
      </c>
      <c r="D94" s="198" t="s">
        <v>2555</v>
      </c>
      <c r="E94" s="198" t="s">
        <v>2688</v>
      </c>
      <c r="F94" s="198" t="s">
        <v>2525</v>
      </c>
      <c r="G94" s="198" t="s">
        <v>2525</v>
      </c>
      <c r="H94" s="198" t="s">
        <v>445</v>
      </c>
      <c r="I94" s="198" t="s">
        <v>1172</v>
      </c>
      <c r="J94" s="225">
        <v>51412116</v>
      </c>
    </row>
    <row r="95" spans="3:10">
      <c r="C95" s="198" t="s">
        <v>2569</v>
      </c>
      <c r="D95" s="198" t="s">
        <v>2550</v>
      </c>
      <c r="E95" s="198" t="s">
        <v>2637</v>
      </c>
      <c r="F95" s="198" t="s">
        <v>2525</v>
      </c>
      <c r="G95" s="198" t="s">
        <v>2525</v>
      </c>
      <c r="H95" s="198" t="s">
        <v>445</v>
      </c>
      <c r="I95" s="198" t="s">
        <v>1172</v>
      </c>
      <c r="J95" s="225">
        <v>24703263</v>
      </c>
    </row>
    <row r="96" spans="3:10">
      <c r="C96" s="198" t="s">
        <v>2569</v>
      </c>
      <c r="D96" s="198" t="s">
        <v>2549</v>
      </c>
      <c r="E96" s="198" t="s">
        <v>2689</v>
      </c>
      <c r="F96" s="198" t="s">
        <v>1469</v>
      </c>
      <c r="G96" s="198" t="s">
        <v>1469</v>
      </c>
      <c r="H96" s="198" t="s">
        <v>445</v>
      </c>
      <c r="I96" s="198" t="s">
        <v>1172</v>
      </c>
      <c r="J96" s="225">
        <v>18120605</v>
      </c>
    </row>
    <row r="97" spans="3:10">
      <c r="C97" s="198" t="s">
        <v>2569</v>
      </c>
      <c r="D97" s="198" t="s">
        <v>2695</v>
      </c>
      <c r="E97" s="198" t="s">
        <v>2626</v>
      </c>
      <c r="F97" s="198" t="s">
        <v>1469</v>
      </c>
      <c r="G97" s="198" t="s">
        <v>1469</v>
      </c>
      <c r="H97" s="198" t="s">
        <v>445</v>
      </c>
      <c r="I97" s="198" t="s">
        <v>1172</v>
      </c>
      <c r="J97" s="225">
        <v>17500000</v>
      </c>
    </row>
    <row r="98" spans="3:10">
      <c r="C98" s="198" t="s">
        <v>2569</v>
      </c>
      <c r="D98" s="198" t="s">
        <v>2550</v>
      </c>
      <c r="E98" s="198" t="s">
        <v>2633</v>
      </c>
      <c r="F98" s="198" t="s">
        <v>2525</v>
      </c>
      <c r="G98" s="198" t="s">
        <v>2525</v>
      </c>
      <c r="H98" s="198" t="s">
        <v>445</v>
      </c>
      <c r="I98" s="198" t="s">
        <v>1172</v>
      </c>
      <c r="J98" s="225">
        <v>13015733</v>
      </c>
    </row>
    <row r="99" spans="3:10">
      <c r="C99" s="198" t="s">
        <v>2569</v>
      </c>
      <c r="D99" s="198" t="s">
        <v>2550</v>
      </c>
      <c r="E99" s="198" t="s">
        <v>2634</v>
      </c>
      <c r="F99" s="198" t="s">
        <v>1469</v>
      </c>
      <c r="G99" s="198" t="s">
        <v>1469</v>
      </c>
      <c r="H99" s="198" t="s">
        <v>445</v>
      </c>
      <c r="I99" s="198" t="s">
        <v>1172</v>
      </c>
      <c r="J99" s="225">
        <v>12594374</v>
      </c>
    </row>
    <row r="100" spans="3:10">
      <c r="C100" s="198" t="s">
        <v>2569</v>
      </c>
      <c r="D100" s="198" t="s">
        <v>2553</v>
      </c>
      <c r="E100" s="198" t="s">
        <v>2652</v>
      </c>
      <c r="F100" s="198" t="s">
        <v>1469</v>
      </c>
      <c r="G100" s="198" t="s">
        <v>1469</v>
      </c>
      <c r="H100" s="198" t="s">
        <v>445</v>
      </c>
      <c r="I100" s="198" t="s">
        <v>1172</v>
      </c>
      <c r="J100" s="225">
        <v>12310000</v>
      </c>
    </row>
    <row r="101" spans="3:10">
      <c r="C101" s="198" t="s">
        <v>2569</v>
      </c>
      <c r="D101" s="198" t="s">
        <v>2695</v>
      </c>
      <c r="E101" s="198" t="s">
        <v>2627</v>
      </c>
      <c r="F101" s="198" t="s">
        <v>1469</v>
      </c>
      <c r="G101" s="198" t="s">
        <v>1469</v>
      </c>
      <c r="H101" s="198" t="s">
        <v>445</v>
      </c>
      <c r="I101" s="198" t="s">
        <v>1172</v>
      </c>
      <c r="J101" s="225">
        <v>12235020</v>
      </c>
    </row>
    <row r="102" spans="3:10">
      <c r="C102" s="198" t="s">
        <v>2569</v>
      </c>
      <c r="D102" s="198" t="s">
        <v>2550</v>
      </c>
      <c r="E102" s="198" t="s">
        <v>2630</v>
      </c>
      <c r="F102" s="198" t="s">
        <v>2525</v>
      </c>
      <c r="G102" s="198" t="s">
        <v>2525</v>
      </c>
      <c r="H102" s="198" t="s">
        <v>445</v>
      </c>
      <c r="I102" s="198" t="s">
        <v>1172</v>
      </c>
      <c r="J102" s="225">
        <v>10460766</v>
      </c>
    </row>
    <row r="103" spans="3:10">
      <c r="C103" s="198" t="s">
        <v>2569</v>
      </c>
      <c r="D103" s="198" t="s">
        <v>2549</v>
      </c>
      <c r="E103" s="198" t="s">
        <v>2644</v>
      </c>
      <c r="F103" s="198" t="s">
        <v>1469</v>
      </c>
      <c r="G103" s="198" t="s">
        <v>1469</v>
      </c>
      <c r="H103" s="198" t="s">
        <v>445</v>
      </c>
      <c r="I103" s="198" t="s">
        <v>1172</v>
      </c>
      <c r="J103" s="225">
        <v>8780422</v>
      </c>
    </row>
    <row r="104" spans="3:10">
      <c r="C104" s="198" t="s">
        <v>2569</v>
      </c>
      <c r="D104" s="198" t="s">
        <v>2549</v>
      </c>
      <c r="E104" s="198" t="s">
        <v>2642</v>
      </c>
      <c r="F104" s="198" t="s">
        <v>1469</v>
      </c>
      <c r="G104" s="198" t="s">
        <v>1469</v>
      </c>
      <c r="H104" s="198" t="s">
        <v>445</v>
      </c>
      <c r="I104" s="198" t="s">
        <v>1172</v>
      </c>
      <c r="J104" s="225">
        <v>7024334</v>
      </c>
    </row>
    <row r="105" spans="3:10">
      <c r="C105" s="198" t="s">
        <v>2569</v>
      </c>
      <c r="D105" s="198" t="s">
        <v>2549</v>
      </c>
      <c r="E105" s="198" t="s">
        <v>2641</v>
      </c>
      <c r="F105" s="198" t="s">
        <v>1469</v>
      </c>
      <c r="G105" s="198" t="s">
        <v>1469</v>
      </c>
      <c r="H105" s="198" t="s">
        <v>445</v>
      </c>
      <c r="I105" s="198" t="s">
        <v>1172</v>
      </c>
      <c r="J105" s="225">
        <v>4390205</v>
      </c>
    </row>
    <row r="106" spans="3:10">
      <c r="C106" s="198" t="s">
        <v>2569</v>
      </c>
      <c r="D106" s="198" t="s">
        <v>2549</v>
      </c>
      <c r="E106" s="198" t="s">
        <v>2643</v>
      </c>
      <c r="F106" s="198" t="s">
        <v>1469</v>
      </c>
      <c r="G106" s="198" t="s">
        <v>1469</v>
      </c>
      <c r="H106" s="198" t="s">
        <v>445</v>
      </c>
      <c r="I106" s="198" t="s">
        <v>1172</v>
      </c>
      <c r="J106" s="225">
        <v>3334191</v>
      </c>
    </row>
    <row r="107" spans="3:10">
      <c r="C107" s="198" t="s">
        <v>2569</v>
      </c>
      <c r="D107" s="198" t="s">
        <v>2549</v>
      </c>
      <c r="E107" s="198" t="s">
        <v>2645</v>
      </c>
      <c r="F107" s="198" t="s">
        <v>1469</v>
      </c>
      <c r="G107" s="198" t="s">
        <v>1469</v>
      </c>
      <c r="H107" s="198" t="s">
        <v>445</v>
      </c>
      <c r="I107" s="198" t="s">
        <v>1172</v>
      </c>
      <c r="J107" s="225">
        <v>1249087</v>
      </c>
    </row>
    <row r="108" spans="3:10">
      <c r="C108" s="198" t="s">
        <v>2569</v>
      </c>
      <c r="D108" s="198" t="s">
        <v>2549</v>
      </c>
      <c r="E108" s="198" t="s">
        <v>2784</v>
      </c>
      <c r="F108" s="198" t="s">
        <v>1469</v>
      </c>
      <c r="G108" s="198" t="s">
        <v>1469</v>
      </c>
      <c r="H108" s="198" t="s">
        <v>445</v>
      </c>
      <c r="I108" s="198" t="s">
        <v>1172</v>
      </c>
      <c r="J108" s="225">
        <v>700000</v>
      </c>
    </row>
    <row r="109" spans="3:10">
      <c r="C109" s="198" t="s">
        <v>2563</v>
      </c>
      <c r="D109" s="198" t="s">
        <v>2549</v>
      </c>
      <c r="E109" s="198" t="s">
        <v>2646</v>
      </c>
      <c r="F109" s="198" t="s">
        <v>1469</v>
      </c>
      <c r="G109" s="198" t="s">
        <v>1469</v>
      </c>
      <c r="H109" s="198" t="s">
        <v>2693</v>
      </c>
      <c r="I109" s="198" t="s">
        <v>1172</v>
      </c>
      <c r="J109" s="225">
        <v>4872064669</v>
      </c>
    </row>
    <row r="110" spans="3:10">
      <c r="C110" s="198" t="s">
        <v>2563</v>
      </c>
      <c r="D110" s="198" t="s">
        <v>2550</v>
      </c>
      <c r="E110" s="198" t="s">
        <v>2636</v>
      </c>
      <c r="F110" s="198" t="s">
        <v>2525</v>
      </c>
      <c r="G110" s="198" t="s">
        <v>2525</v>
      </c>
      <c r="H110" s="198" t="s">
        <v>2693</v>
      </c>
      <c r="I110" s="198" t="s">
        <v>1172</v>
      </c>
      <c r="J110" s="225">
        <v>2433180931</v>
      </c>
    </row>
    <row r="111" spans="3:10">
      <c r="C111" s="198" t="s">
        <v>2563</v>
      </c>
      <c r="D111" s="198" t="s">
        <v>2550</v>
      </c>
      <c r="E111" s="198" t="s">
        <v>2638</v>
      </c>
      <c r="F111" s="198" t="s">
        <v>2525</v>
      </c>
      <c r="G111" s="198" t="s">
        <v>2525</v>
      </c>
      <c r="H111" s="198" t="s">
        <v>2693</v>
      </c>
      <c r="I111" s="198" t="s">
        <v>1172</v>
      </c>
      <c r="J111" s="225">
        <v>2415217484</v>
      </c>
    </row>
    <row r="112" spans="3:10">
      <c r="C112" s="198" t="s">
        <v>2563</v>
      </c>
      <c r="D112" s="198" t="s">
        <v>2549</v>
      </c>
      <c r="E112" s="198" t="s">
        <v>2640</v>
      </c>
      <c r="F112" s="198" t="s">
        <v>2525</v>
      </c>
      <c r="G112" s="198" t="s">
        <v>2525</v>
      </c>
      <c r="H112" s="198" t="s">
        <v>2693</v>
      </c>
      <c r="I112" s="198" t="s">
        <v>1172</v>
      </c>
      <c r="J112" s="225">
        <v>1793074198</v>
      </c>
    </row>
    <row r="113" spans="3:10">
      <c r="C113" s="198" t="s">
        <v>2563</v>
      </c>
      <c r="D113" s="198" t="s">
        <v>2550</v>
      </c>
      <c r="E113" s="198" t="s">
        <v>2639</v>
      </c>
      <c r="F113" s="198" t="s">
        <v>2525</v>
      </c>
      <c r="G113" s="198" t="s">
        <v>2525</v>
      </c>
      <c r="H113" s="198" t="s">
        <v>2693</v>
      </c>
      <c r="I113" s="198" t="s">
        <v>1172</v>
      </c>
      <c r="J113" s="225">
        <v>1622405840</v>
      </c>
    </row>
    <row r="114" spans="3:10">
      <c r="C114" s="198" t="s">
        <v>2563</v>
      </c>
      <c r="D114" s="198" t="s">
        <v>2550</v>
      </c>
      <c r="E114" s="198" t="s">
        <v>2635</v>
      </c>
      <c r="F114" s="198" t="s">
        <v>2525</v>
      </c>
      <c r="G114" s="198" t="s">
        <v>2525</v>
      </c>
      <c r="H114" s="198" t="s">
        <v>2693</v>
      </c>
      <c r="I114" s="198" t="s">
        <v>1172</v>
      </c>
      <c r="J114" s="225">
        <v>996673693</v>
      </c>
    </row>
    <row r="115" spans="3:10">
      <c r="C115" s="198" t="s">
        <v>2563</v>
      </c>
      <c r="D115" s="198" t="s">
        <v>2549</v>
      </c>
      <c r="E115" s="198" t="s">
        <v>2644</v>
      </c>
      <c r="F115" s="198" t="s">
        <v>1469</v>
      </c>
      <c r="G115" s="198" t="s">
        <v>1469</v>
      </c>
      <c r="H115" s="198" t="s">
        <v>2693</v>
      </c>
      <c r="I115" s="198" t="s">
        <v>1172</v>
      </c>
      <c r="J115" s="225">
        <v>250181908</v>
      </c>
    </row>
    <row r="116" spans="3:10">
      <c r="C116" s="198" t="s">
        <v>2563</v>
      </c>
      <c r="D116" s="198" t="s">
        <v>2550</v>
      </c>
      <c r="E116" s="198" t="s">
        <v>2783</v>
      </c>
      <c r="F116" s="198" t="s">
        <v>1469</v>
      </c>
      <c r="G116" s="198" t="s">
        <v>1469</v>
      </c>
      <c r="H116" s="198" t="s">
        <v>2693</v>
      </c>
      <c r="I116" s="198" t="s">
        <v>1172</v>
      </c>
      <c r="J116" s="225">
        <v>231638203</v>
      </c>
    </row>
    <row r="117" spans="3:10">
      <c r="C117" s="198" t="s">
        <v>2563</v>
      </c>
      <c r="D117" s="198" t="s">
        <v>2554</v>
      </c>
      <c r="E117" s="198" t="s">
        <v>2655</v>
      </c>
      <c r="F117" s="198" t="s">
        <v>2525</v>
      </c>
      <c r="G117" s="198" t="s">
        <v>2525</v>
      </c>
      <c r="H117" s="198" t="s">
        <v>2693</v>
      </c>
      <c r="I117" s="198" t="s">
        <v>1172</v>
      </c>
      <c r="J117" s="225">
        <v>225889140</v>
      </c>
    </row>
    <row r="118" spans="3:10">
      <c r="C118" s="198" t="s">
        <v>2563</v>
      </c>
      <c r="D118" s="198" t="s">
        <v>2549</v>
      </c>
      <c r="E118" s="198" t="s">
        <v>2642</v>
      </c>
      <c r="F118" s="198" t="s">
        <v>1469</v>
      </c>
      <c r="G118" s="198" t="s">
        <v>1469</v>
      </c>
      <c r="H118" s="198" t="s">
        <v>2693</v>
      </c>
      <c r="I118" s="198" t="s">
        <v>1172</v>
      </c>
      <c r="J118" s="225">
        <v>200145519</v>
      </c>
    </row>
    <row r="119" spans="3:10">
      <c r="C119" s="198" t="s">
        <v>2563</v>
      </c>
      <c r="D119" s="198" t="s">
        <v>2549</v>
      </c>
      <c r="E119" s="198" t="s">
        <v>2689</v>
      </c>
      <c r="F119" s="198" t="s">
        <v>1469</v>
      </c>
      <c r="G119" s="198" t="s">
        <v>1469</v>
      </c>
      <c r="H119" s="198" t="s">
        <v>2693</v>
      </c>
      <c r="I119" s="198" t="s">
        <v>1172</v>
      </c>
      <c r="J119" s="225">
        <v>189135132</v>
      </c>
    </row>
    <row r="120" spans="3:10">
      <c r="C120" s="198" t="s">
        <v>2563</v>
      </c>
      <c r="D120" s="198" t="s">
        <v>2549</v>
      </c>
      <c r="E120" s="198" t="s">
        <v>2641</v>
      </c>
      <c r="F120" s="198" t="s">
        <v>1469</v>
      </c>
      <c r="G120" s="198" t="s">
        <v>1469</v>
      </c>
      <c r="H120" s="198" t="s">
        <v>2693</v>
      </c>
      <c r="I120" s="198" t="s">
        <v>1172</v>
      </c>
      <c r="J120" s="225">
        <v>125068039</v>
      </c>
    </row>
    <row r="121" spans="3:10">
      <c r="C121" s="198" t="s">
        <v>2563</v>
      </c>
      <c r="D121" s="198" t="s">
        <v>2695</v>
      </c>
      <c r="E121" s="198" t="s">
        <v>2627</v>
      </c>
      <c r="F121" s="198" t="s">
        <v>1469</v>
      </c>
      <c r="G121" s="198" t="s">
        <v>1469</v>
      </c>
      <c r="H121" s="198" t="s">
        <v>2693</v>
      </c>
      <c r="I121" s="198" t="s">
        <v>1172</v>
      </c>
      <c r="J121" s="225">
        <v>99915337</v>
      </c>
    </row>
    <row r="122" spans="3:10">
      <c r="C122" s="198" t="s">
        <v>2563</v>
      </c>
      <c r="D122" s="198" t="s">
        <v>2549</v>
      </c>
      <c r="E122" s="198" t="s">
        <v>2643</v>
      </c>
      <c r="F122" s="198" t="s">
        <v>1469</v>
      </c>
      <c r="G122" s="198" t="s">
        <v>1469</v>
      </c>
      <c r="H122" s="198" t="s">
        <v>2693</v>
      </c>
      <c r="I122" s="198" t="s">
        <v>1172</v>
      </c>
      <c r="J122" s="225">
        <v>96536111</v>
      </c>
    </row>
    <row r="123" spans="3:10">
      <c r="C123" s="198" t="s">
        <v>2563</v>
      </c>
      <c r="D123" s="198" t="s">
        <v>2550</v>
      </c>
      <c r="E123" s="198" t="s">
        <v>2630</v>
      </c>
      <c r="F123" s="198" t="s">
        <v>2525</v>
      </c>
      <c r="G123" s="198" t="s">
        <v>2525</v>
      </c>
      <c r="H123" s="198" t="s">
        <v>2693</v>
      </c>
      <c r="I123" s="198" t="s">
        <v>1172</v>
      </c>
      <c r="J123" s="225">
        <v>36060100</v>
      </c>
    </row>
    <row r="124" spans="3:10">
      <c r="C124" s="198" t="s">
        <v>2563</v>
      </c>
      <c r="D124" s="198" t="s">
        <v>2555</v>
      </c>
      <c r="E124" s="198" t="s">
        <v>2688</v>
      </c>
      <c r="F124" s="198" t="s">
        <v>2525</v>
      </c>
      <c r="G124" s="198" t="s">
        <v>2525</v>
      </c>
      <c r="H124" s="198" t="s">
        <v>2693</v>
      </c>
      <c r="I124" s="198" t="s">
        <v>1172</v>
      </c>
      <c r="J124" s="225">
        <v>28216391</v>
      </c>
    </row>
    <row r="125" spans="3:10">
      <c r="C125" s="198" t="s">
        <v>2563</v>
      </c>
      <c r="D125" s="198" t="s">
        <v>2549</v>
      </c>
      <c r="E125" s="198" t="s">
        <v>2628</v>
      </c>
      <c r="F125" s="198" t="s">
        <v>2525</v>
      </c>
      <c r="G125" s="198" t="s">
        <v>2525</v>
      </c>
      <c r="H125" s="198" t="s">
        <v>2693</v>
      </c>
      <c r="I125" s="198" t="s">
        <v>1172</v>
      </c>
      <c r="J125" s="225">
        <v>7347471</v>
      </c>
    </row>
    <row r="126" spans="3:10">
      <c r="C126" s="198" t="s">
        <v>2563</v>
      </c>
      <c r="D126" s="198" t="s">
        <v>2549</v>
      </c>
      <c r="E126" s="198" t="s">
        <v>2645</v>
      </c>
      <c r="F126" s="198" t="s">
        <v>1469</v>
      </c>
      <c r="G126" s="198" t="s">
        <v>1469</v>
      </c>
      <c r="H126" s="198" t="s">
        <v>2693</v>
      </c>
      <c r="I126" s="198" t="s">
        <v>1172</v>
      </c>
      <c r="J126" s="225">
        <v>7281952</v>
      </c>
    </row>
    <row r="127" spans="3:10">
      <c r="C127" s="198" t="s">
        <v>2563</v>
      </c>
      <c r="D127" s="198" t="s">
        <v>2550</v>
      </c>
      <c r="E127" s="198" t="s">
        <v>2633</v>
      </c>
      <c r="F127" s="198" t="s">
        <v>2525</v>
      </c>
      <c r="G127" s="198" t="s">
        <v>2525</v>
      </c>
      <c r="H127" s="198" t="s">
        <v>2693</v>
      </c>
      <c r="I127" s="198" t="s">
        <v>1172</v>
      </c>
      <c r="J127" s="225">
        <v>6023254</v>
      </c>
    </row>
    <row r="128" spans="3:10">
      <c r="C128" s="198" t="s">
        <v>2563</v>
      </c>
      <c r="D128" s="198" t="s">
        <v>2549</v>
      </c>
      <c r="E128" s="198" t="s">
        <v>2694</v>
      </c>
      <c r="F128" s="198" t="s">
        <v>1469</v>
      </c>
      <c r="G128" s="198" t="s">
        <v>1469</v>
      </c>
      <c r="H128" s="198" t="s">
        <v>2693</v>
      </c>
      <c r="I128" s="198" t="s">
        <v>1172</v>
      </c>
      <c r="J128" s="225">
        <v>296856</v>
      </c>
    </row>
    <row r="129" spans="3:10">
      <c r="C129" s="198" t="s">
        <v>2788</v>
      </c>
      <c r="D129" s="198" t="s">
        <v>2556</v>
      </c>
      <c r="E129" s="198" t="s">
        <v>2628</v>
      </c>
      <c r="F129" s="198" t="s">
        <v>1469</v>
      </c>
      <c r="G129" s="198" t="s">
        <v>1469</v>
      </c>
      <c r="H129" s="198" t="s">
        <v>2789</v>
      </c>
      <c r="I129" s="198" t="s">
        <v>1172</v>
      </c>
      <c r="J129" s="225">
        <v>149806504</v>
      </c>
    </row>
    <row r="130" spans="3:10">
      <c r="C130" s="198" t="s">
        <v>2788</v>
      </c>
      <c r="D130" s="198" t="s">
        <v>2550</v>
      </c>
      <c r="E130" s="198" t="s">
        <v>2634</v>
      </c>
      <c r="F130" s="198" t="s">
        <v>1469</v>
      </c>
      <c r="G130" s="198" t="s">
        <v>1469</v>
      </c>
      <c r="H130" s="198" t="s">
        <v>2789</v>
      </c>
      <c r="I130" s="198" t="s">
        <v>1172</v>
      </c>
      <c r="J130" s="225">
        <v>15000000</v>
      </c>
    </row>
    <row r="131" spans="3:10">
      <c r="C131" s="198" t="s">
        <v>2788</v>
      </c>
      <c r="D131" s="198" t="s">
        <v>2550</v>
      </c>
      <c r="E131" s="198" t="s">
        <v>2630</v>
      </c>
      <c r="F131" s="198" t="s">
        <v>2525</v>
      </c>
      <c r="G131" s="198" t="s">
        <v>2525</v>
      </c>
      <c r="H131" s="198" t="s">
        <v>2789</v>
      </c>
      <c r="I131" s="198" t="s">
        <v>1172</v>
      </c>
      <c r="J131" s="225">
        <v>5000000</v>
      </c>
    </row>
    <row r="132" spans="3:10">
      <c r="C132" s="198" t="s">
        <v>2788</v>
      </c>
      <c r="D132" s="198" t="s">
        <v>2550</v>
      </c>
      <c r="E132" s="198" t="s">
        <v>2635</v>
      </c>
      <c r="F132" s="198" t="s">
        <v>2525</v>
      </c>
      <c r="G132" s="198" t="s">
        <v>2525</v>
      </c>
      <c r="H132" s="198" t="s">
        <v>2789</v>
      </c>
      <c r="I132" s="198" t="s">
        <v>1172</v>
      </c>
      <c r="J132" s="225">
        <v>3039376</v>
      </c>
    </row>
    <row r="133" spans="3:10">
      <c r="C133" s="198" t="s">
        <v>2788</v>
      </c>
      <c r="D133" s="198" t="s">
        <v>2550</v>
      </c>
      <c r="E133" s="198" t="s">
        <v>2631</v>
      </c>
      <c r="F133" s="198" t="s">
        <v>1469</v>
      </c>
      <c r="G133" s="198" t="s">
        <v>1469</v>
      </c>
      <c r="H133" s="198" t="s">
        <v>2789</v>
      </c>
      <c r="I133" s="198" t="s">
        <v>1172</v>
      </c>
      <c r="J133" s="225">
        <v>2500000</v>
      </c>
    </row>
    <row r="134" spans="3:10">
      <c r="C134" s="198" t="s">
        <v>2788</v>
      </c>
      <c r="D134" s="198" t="s">
        <v>2549</v>
      </c>
      <c r="E134" s="198" t="s">
        <v>2644</v>
      </c>
      <c r="F134" s="198" t="s">
        <v>1469</v>
      </c>
      <c r="G134" s="198" t="s">
        <v>1469</v>
      </c>
      <c r="H134" s="198" t="s">
        <v>2789</v>
      </c>
      <c r="I134" s="198" t="s">
        <v>1172</v>
      </c>
      <c r="J134" s="225">
        <v>2382935</v>
      </c>
    </row>
    <row r="135" spans="3:10">
      <c r="C135" s="198" t="s">
        <v>2788</v>
      </c>
      <c r="D135" s="198" t="s">
        <v>2549</v>
      </c>
      <c r="E135" s="198" t="s">
        <v>2642</v>
      </c>
      <c r="F135" s="198" t="s">
        <v>1469</v>
      </c>
      <c r="G135" s="198" t="s">
        <v>1469</v>
      </c>
      <c r="H135" s="198" t="s">
        <v>2789</v>
      </c>
      <c r="I135" s="198" t="s">
        <v>1172</v>
      </c>
      <c r="J135" s="225">
        <v>1906348</v>
      </c>
    </row>
    <row r="136" spans="3:10">
      <c r="C136" s="198" t="s">
        <v>2788</v>
      </c>
      <c r="D136" s="198" t="s">
        <v>2549</v>
      </c>
      <c r="E136" s="198" t="s">
        <v>2641</v>
      </c>
      <c r="F136" s="198" t="s">
        <v>1469</v>
      </c>
      <c r="G136" s="198" t="s">
        <v>1469</v>
      </c>
      <c r="H136" s="198" t="s">
        <v>2789</v>
      </c>
      <c r="I136" s="198" t="s">
        <v>1172</v>
      </c>
      <c r="J136" s="225">
        <v>1191467</v>
      </c>
    </row>
    <row r="137" spans="3:10">
      <c r="C137" s="198" t="s">
        <v>2790</v>
      </c>
      <c r="D137" s="198" t="s">
        <v>2695</v>
      </c>
      <c r="E137" s="198" t="s">
        <v>2624</v>
      </c>
      <c r="F137" s="198" t="s">
        <v>1469</v>
      </c>
      <c r="G137" s="198" t="s">
        <v>1469</v>
      </c>
      <c r="H137" s="198" t="s">
        <v>2692</v>
      </c>
      <c r="I137" s="198" t="s">
        <v>1172</v>
      </c>
      <c r="J137" s="225">
        <v>732230065</v>
      </c>
    </row>
    <row r="138" spans="3:10">
      <c r="C138" s="198" t="s">
        <v>2790</v>
      </c>
      <c r="D138" s="198" t="s">
        <v>2550</v>
      </c>
      <c r="E138" s="198" t="s">
        <v>2638</v>
      </c>
      <c r="F138" s="198" t="s">
        <v>2525</v>
      </c>
      <c r="G138" s="198" t="s">
        <v>2525</v>
      </c>
      <c r="H138" s="198" t="s">
        <v>2692</v>
      </c>
      <c r="I138" s="198" t="s">
        <v>1172</v>
      </c>
      <c r="J138" s="225">
        <v>648000061</v>
      </c>
    </row>
    <row r="139" spans="3:10">
      <c r="C139" s="198" t="s">
        <v>2790</v>
      </c>
      <c r="D139" s="198" t="s">
        <v>2550</v>
      </c>
      <c r="E139" s="198" t="s">
        <v>2631</v>
      </c>
      <c r="F139" s="198" t="s">
        <v>1469</v>
      </c>
      <c r="G139" s="198" t="s">
        <v>1469</v>
      </c>
      <c r="H139" s="198" t="s">
        <v>2692</v>
      </c>
      <c r="I139" s="198" t="s">
        <v>1172</v>
      </c>
      <c r="J139" s="225">
        <v>472494457</v>
      </c>
    </row>
    <row r="140" spans="3:10">
      <c r="C140" s="198" t="s">
        <v>2790</v>
      </c>
      <c r="D140" s="198" t="s">
        <v>2549</v>
      </c>
      <c r="E140" s="198" t="s">
        <v>2646</v>
      </c>
      <c r="F140" s="198" t="s">
        <v>1469</v>
      </c>
      <c r="G140" s="198" t="s">
        <v>1469</v>
      </c>
      <c r="H140" s="198" t="s">
        <v>2692</v>
      </c>
      <c r="I140" s="198" t="s">
        <v>1172</v>
      </c>
      <c r="J140" s="225">
        <v>441129252</v>
      </c>
    </row>
    <row r="141" spans="3:10">
      <c r="C141" s="198" t="s">
        <v>2790</v>
      </c>
      <c r="D141" s="198" t="s">
        <v>2550</v>
      </c>
      <c r="E141" s="198" t="s">
        <v>2635</v>
      </c>
      <c r="F141" s="198" t="s">
        <v>2525</v>
      </c>
      <c r="G141" s="198" t="s">
        <v>2525</v>
      </c>
      <c r="H141" s="198" t="s">
        <v>2692</v>
      </c>
      <c r="I141" s="198" t="s">
        <v>1172</v>
      </c>
      <c r="J141" s="225">
        <v>217238749</v>
      </c>
    </row>
    <row r="142" spans="3:10">
      <c r="C142" s="198" t="s">
        <v>2790</v>
      </c>
      <c r="D142" s="198" t="s">
        <v>2554</v>
      </c>
      <c r="E142" s="198" t="s">
        <v>2655</v>
      </c>
      <c r="F142" s="198" t="s">
        <v>2525</v>
      </c>
      <c r="G142" s="198" t="s">
        <v>2525</v>
      </c>
      <c r="H142" s="198" t="s">
        <v>2692</v>
      </c>
      <c r="I142" s="198" t="s">
        <v>1172</v>
      </c>
      <c r="J142" s="225">
        <v>191770977</v>
      </c>
    </row>
    <row r="143" spans="3:10">
      <c r="C143" s="198" t="s">
        <v>2790</v>
      </c>
      <c r="D143" s="198" t="s">
        <v>2549</v>
      </c>
      <c r="E143" s="198" t="s">
        <v>2640</v>
      </c>
      <c r="F143" s="198" t="s">
        <v>2525</v>
      </c>
      <c r="G143" s="198" t="s">
        <v>2525</v>
      </c>
      <c r="H143" s="198" t="s">
        <v>2692</v>
      </c>
      <c r="I143" s="198" t="s">
        <v>1172</v>
      </c>
      <c r="J143" s="225">
        <v>177650219</v>
      </c>
    </row>
    <row r="144" spans="3:10">
      <c r="C144" s="198" t="s">
        <v>2790</v>
      </c>
      <c r="D144" s="198" t="s">
        <v>2550</v>
      </c>
      <c r="E144" s="198" t="s">
        <v>2637</v>
      </c>
      <c r="F144" s="198" t="s">
        <v>2525</v>
      </c>
      <c r="G144" s="198" t="s">
        <v>2525</v>
      </c>
      <c r="H144" s="198" t="s">
        <v>2692</v>
      </c>
      <c r="I144" s="198" t="s">
        <v>1172</v>
      </c>
      <c r="J144" s="225">
        <v>165537037</v>
      </c>
    </row>
    <row r="145" spans="3:10">
      <c r="C145" s="198" t="s">
        <v>2790</v>
      </c>
      <c r="D145" s="198" t="s">
        <v>2550</v>
      </c>
      <c r="E145" s="198" t="s">
        <v>2634</v>
      </c>
      <c r="F145" s="198" t="s">
        <v>1469</v>
      </c>
      <c r="G145" s="198" t="s">
        <v>1469</v>
      </c>
      <c r="H145" s="198" t="s">
        <v>2692</v>
      </c>
      <c r="I145" s="198" t="s">
        <v>1172</v>
      </c>
      <c r="J145" s="225">
        <v>137947630</v>
      </c>
    </row>
    <row r="146" spans="3:10">
      <c r="C146" s="198" t="s">
        <v>2790</v>
      </c>
      <c r="D146" s="198" t="s">
        <v>2551</v>
      </c>
      <c r="E146" s="198" t="s">
        <v>2648</v>
      </c>
      <c r="F146" s="198" t="s">
        <v>2525</v>
      </c>
      <c r="G146" s="198" t="s">
        <v>2525</v>
      </c>
      <c r="H146" s="198" t="s">
        <v>2692</v>
      </c>
      <c r="I146" s="198" t="s">
        <v>1172</v>
      </c>
      <c r="J146" s="225">
        <v>104457141</v>
      </c>
    </row>
    <row r="147" spans="3:10">
      <c r="C147" s="198" t="s">
        <v>2790</v>
      </c>
      <c r="D147" s="198" t="s">
        <v>2549</v>
      </c>
      <c r="E147" s="198" t="s">
        <v>2689</v>
      </c>
      <c r="F147" s="198" t="s">
        <v>1469</v>
      </c>
      <c r="G147" s="198" t="s">
        <v>1469</v>
      </c>
      <c r="H147" s="198" t="s">
        <v>2692</v>
      </c>
      <c r="I147" s="198" t="s">
        <v>1172</v>
      </c>
      <c r="J147" s="225">
        <v>55272601</v>
      </c>
    </row>
    <row r="148" spans="3:10">
      <c r="C148" s="198" t="s">
        <v>2790</v>
      </c>
      <c r="D148" s="198" t="s">
        <v>2555</v>
      </c>
      <c r="E148" s="198" t="s">
        <v>2688</v>
      </c>
      <c r="F148" s="198" t="s">
        <v>2525</v>
      </c>
      <c r="G148" s="198" t="s">
        <v>2525</v>
      </c>
      <c r="H148" s="198" t="s">
        <v>2692</v>
      </c>
      <c r="I148" s="198" t="s">
        <v>1172</v>
      </c>
      <c r="J148" s="225">
        <v>42990296</v>
      </c>
    </row>
    <row r="149" spans="3:10">
      <c r="C149" s="198" t="s">
        <v>2790</v>
      </c>
      <c r="D149" s="198" t="s">
        <v>2550</v>
      </c>
      <c r="E149" s="198" t="s">
        <v>2630</v>
      </c>
      <c r="F149" s="198" t="s">
        <v>2525</v>
      </c>
      <c r="G149" s="198" t="s">
        <v>2525</v>
      </c>
      <c r="H149" s="198" t="s">
        <v>2692</v>
      </c>
      <c r="I149" s="198" t="s">
        <v>1172</v>
      </c>
      <c r="J149" s="225">
        <v>39751630</v>
      </c>
    </row>
    <row r="150" spans="3:10">
      <c r="C150" s="198" t="s">
        <v>2790</v>
      </c>
      <c r="D150" s="198" t="s">
        <v>2549</v>
      </c>
      <c r="E150" s="198" t="s">
        <v>2644</v>
      </c>
      <c r="F150" s="198" t="s">
        <v>1469</v>
      </c>
      <c r="G150" s="198" t="s">
        <v>1469</v>
      </c>
      <c r="H150" s="198" t="s">
        <v>2692</v>
      </c>
      <c r="I150" s="198" t="s">
        <v>1172</v>
      </c>
      <c r="J150" s="225">
        <v>26548448</v>
      </c>
    </row>
    <row r="151" spans="3:10">
      <c r="C151" s="198" t="s">
        <v>2790</v>
      </c>
      <c r="D151" s="198" t="s">
        <v>2549</v>
      </c>
      <c r="E151" s="198" t="s">
        <v>2642</v>
      </c>
      <c r="F151" s="198" t="s">
        <v>1469</v>
      </c>
      <c r="G151" s="198" t="s">
        <v>1469</v>
      </c>
      <c r="H151" s="198" t="s">
        <v>2692</v>
      </c>
      <c r="I151" s="198" t="s">
        <v>1172</v>
      </c>
      <c r="J151" s="225">
        <v>21238751</v>
      </c>
    </row>
    <row r="152" spans="3:10">
      <c r="C152" s="198" t="s">
        <v>2790</v>
      </c>
      <c r="D152" s="198" t="s">
        <v>2552</v>
      </c>
      <c r="E152" s="198" t="s">
        <v>2653</v>
      </c>
      <c r="F152" s="198" t="s">
        <v>1469</v>
      </c>
      <c r="G152" s="198" t="s">
        <v>1469</v>
      </c>
      <c r="H152" s="198" t="s">
        <v>2692</v>
      </c>
      <c r="I152" s="198" t="s">
        <v>1172</v>
      </c>
      <c r="J152" s="225">
        <v>16110000</v>
      </c>
    </row>
    <row r="153" spans="3:10">
      <c r="C153" s="198" t="s">
        <v>2790</v>
      </c>
      <c r="D153" s="198" t="s">
        <v>2695</v>
      </c>
      <c r="E153" s="198" t="s">
        <v>2626</v>
      </c>
      <c r="F153" s="198" t="s">
        <v>1469</v>
      </c>
      <c r="G153" s="198" t="s">
        <v>1469</v>
      </c>
      <c r="H153" s="198" t="s">
        <v>2692</v>
      </c>
      <c r="I153" s="198" t="s">
        <v>1172</v>
      </c>
      <c r="J153" s="225">
        <v>13296510</v>
      </c>
    </row>
    <row r="154" spans="3:10">
      <c r="C154" s="198" t="s">
        <v>2790</v>
      </c>
      <c r="D154" s="198" t="s">
        <v>2549</v>
      </c>
      <c r="E154" s="198" t="s">
        <v>2641</v>
      </c>
      <c r="F154" s="198" t="s">
        <v>1469</v>
      </c>
      <c r="G154" s="198" t="s">
        <v>1469</v>
      </c>
      <c r="H154" s="198" t="s">
        <v>2692</v>
      </c>
      <c r="I154" s="198" t="s">
        <v>1172</v>
      </c>
      <c r="J154" s="225">
        <v>13274218</v>
      </c>
    </row>
    <row r="155" spans="3:10">
      <c r="C155" s="198" t="s">
        <v>2790</v>
      </c>
      <c r="D155" s="198" t="s">
        <v>2549</v>
      </c>
      <c r="E155" s="198" t="s">
        <v>2643</v>
      </c>
      <c r="F155" s="198" t="s">
        <v>1469</v>
      </c>
      <c r="G155" s="198" t="s">
        <v>1469</v>
      </c>
      <c r="H155" s="198" t="s">
        <v>2692</v>
      </c>
      <c r="I155" s="198" t="s">
        <v>1172</v>
      </c>
      <c r="J155" s="225">
        <v>9399562</v>
      </c>
    </row>
    <row r="156" spans="3:10">
      <c r="C156" s="198" t="s">
        <v>2790</v>
      </c>
      <c r="D156" s="198" t="s">
        <v>2553</v>
      </c>
      <c r="E156" s="198" t="s">
        <v>2652</v>
      </c>
      <c r="F156" s="198" t="s">
        <v>1469</v>
      </c>
      <c r="G156" s="198" t="s">
        <v>1469</v>
      </c>
      <c r="H156" s="198" t="s">
        <v>2692</v>
      </c>
      <c r="I156" s="198" t="s">
        <v>1172</v>
      </c>
      <c r="J156" s="225">
        <v>8127350</v>
      </c>
    </row>
    <row r="157" spans="3:10">
      <c r="C157" s="198" t="s">
        <v>2790</v>
      </c>
      <c r="D157" s="198" t="s">
        <v>2695</v>
      </c>
      <c r="E157" s="198" t="s">
        <v>2627</v>
      </c>
      <c r="F157" s="198" t="s">
        <v>1469</v>
      </c>
      <c r="G157" s="198" t="s">
        <v>1469</v>
      </c>
      <c r="H157" s="198" t="s">
        <v>2692</v>
      </c>
      <c r="I157" s="198" t="s">
        <v>1172</v>
      </c>
      <c r="J157" s="225">
        <v>5210900</v>
      </c>
    </row>
    <row r="158" spans="3:10">
      <c r="C158" s="198" t="s">
        <v>2790</v>
      </c>
      <c r="D158" s="198" t="s">
        <v>2550</v>
      </c>
      <c r="E158" s="198" t="s">
        <v>2633</v>
      </c>
      <c r="F158" s="198" t="s">
        <v>2525</v>
      </c>
      <c r="G158" s="198" t="s">
        <v>2525</v>
      </c>
      <c r="H158" s="198" t="s">
        <v>2692</v>
      </c>
      <c r="I158" s="198" t="s">
        <v>1172</v>
      </c>
      <c r="J158" s="225">
        <v>3668136</v>
      </c>
    </row>
    <row r="159" spans="3:10">
      <c r="C159" s="198" t="s">
        <v>2790</v>
      </c>
      <c r="D159" s="198" t="s">
        <v>2549</v>
      </c>
      <c r="E159" s="198" t="s">
        <v>2784</v>
      </c>
      <c r="F159" s="198" t="s">
        <v>1469</v>
      </c>
      <c r="G159" s="198" t="s">
        <v>1469</v>
      </c>
      <c r="H159" s="198" t="s">
        <v>2692</v>
      </c>
      <c r="I159" s="198" t="s">
        <v>1172</v>
      </c>
      <c r="J159" s="225">
        <v>1517339</v>
      </c>
    </row>
    <row r="160" spans="3:10">
      <c r="C160" s="198" t="s">
        <v>2791</v>
      </c>
      <c r="D160" s="198" t="s">
        <v>2549</v>
      </c>
      <c r="E160" s="198" t="s">
        <v>2644</v>
      </c>
      <c r="F160" s="198" t="s">
        <v>1469</v>
      </c>
      <c r="G160" s="198" t="s">
        <v>1469</v>
      </c>
      <c r="H160" s="198" t="s">
        <v>445</v>
      </c>
      <c r="I160" s="198" t="s">
        <v>1172</v>
      </c>
      <c r="J160" s="225">
        <v>4805812</v>
      </c>
    </row>
    <row r="161" spans="3:10">
      <c r="C161" s="198" t="s">
        <v>2791</v>
      </c>
      <c r="D161" s="198" t="s">
        <v>2549</v>
      </c>
      <c r="E161" s="198" t="s">
        <v>2642</v>
      </c>
      <c r="F161" s="198" t="s">
        <v>1469</v>
      </c>
      <c r="G161" s="198" t="s">
        <v>1469</v>
      </c>
      <c r="H161" s="198" t="s">
        <v>445</v>
      </c>
      <c r="I161" s="198" t="s">
        <v>1172</v>
      </c>
      <c r="J161" s="225">
        <v>3879478</v>
      </c>
    </row>
    <row r="162" spans="3:10">
      <c r="C162" s="198" t="s">
        <v>2791</v>
      </c>
      <c r="D162" s="198" t="s">
        <v>2550</v>
      </c>
      <c r="E162" s="198" t="s">
        <v>2633</v>
      </c>
      <c r="F162" s="198" t="s">
        <v>2525</v>
      </c>
      <c r="G162" s="198" t="s">
        <v>2525</v>
      </c>
      <c r="H162" s="198" t="s">
        <v>445</v>
      </c>
      <c r="I162" s="198" t="s">
        <v>1172</v>
      </c>
      <c r="J162" s="225">
        <v>3868082</v>
      </c>
    </row>
    <row r="163" spans="3:10">
      <c r="C163" s="198" t="s">
        <v>2791</v>
      </c>
      <c r="D163" s="198" t="s">
        <v>2549</v>
      </c>
      <c r="E163" s="198" t="s">
        <v>2641</v>
      </c>
      <c r="F163" s="198" t="s">
        <v>1469</v>
      </c>
      <c r="G163" s="198" t="s">
        <v>1469</v>
      </c>
      <c r="H163" s="198" t="s">
        <v>445</v>
      </c>
      <c r="I163" s="198" t="s">
        <v>1172</v>
      </c>
      <c r="J163" s="225">
        <v>2424672</v>
      </c>
    </row>
    <row r="164" spans="3:10">
      <c r="C164" s="198" t="s">
        <v>2791</v>
      </c>
      <c r="D164" s="198" t="s">
        <v>2549</v>
      </c>
      <c r="E164" s="198" t="s">
        <v>2646</v>
      </c>
      <c r="F164" s="198" t="s">
        <v>1469</v>
      </c>
      <c r="G164" s="198" t="s">
        <v>1469</v>
      </c>
      <c r="H164" s="198" t="s">
        <v>445</v>
      </c>
      <c r="I164" s="198" t="s">
        <v>1172</v>
      </c>
      <c r="J164" s="225">
        <v>239824</v>
      </c>
    </row>
    <row r="165" spans="3:10">
      <c r="C165" s="198" t="s">
        <v>2791</v>
      </c>
      <c r="D165" s="198" t="s">
        <v>2549</v>
      </c>
      <c r="E165" s="198" t="s">
        <v>2640</v>
      </c>
      <c r="F165" s="198" t="s">
        <v>2525</v>
      </c>
      <c r="G165" s="198" t="s">
        <v>2525</v>
      </c>
      <c r="H165" s="198" t="s">
        <v>445</v>
      </c>
      <c r="I165" s="198" t="s">
        <v>1172</v>
      </c>
      <c r="J165" s="225">
        <v>62847</v>
      </c>
    </row>
    <row r="166" spans="3:10">
      <c r="C166" s="198" t="s">
        <v>2791</v>
      </c>
      <c r="D166" s="198" t="s">
        <v>2549</v>
      </c>
      <c r="E166" s="198" t="s">
        <v>2689</v>
      </c>
      <c r="F166" s="198" t="s">
        <v>1469</v>
      </c>
      <c r="G166" s="198" t="s">
        <v>1469</v>
      </c>
      <c r="H166" s="198" t="s">
        <v>445</v>
      </c>
      <c r="I166" s="198" t="s">
        <v>1172</v>
      </c>
      <c r="J166" s="225">
        <v>25139</v>
      </c>
    </row>
    <row r="167" spans="3:10">
      <c r="C167" s="198" t="s">
        <v>2560</v>
      </c>
      <c r="D167" s="198" t="s">
        <v>2695</v>
      </c>
      <c r="E167" s="198" t="s">
        <v>2624</v>
      </c>
      <c r="F167" s="198" t="s">
        <v>1469</v>
      </c>
      <c r="G167" s="198" t="s">
        <v>1469</v>
      </c>
      <c r="H167" s="198" t="s">
        <v>2792</v>
      </c>
      <c r="I167" s="198" t="s">
        <v>1172</v>
      </c>
      <c r="J167" s="225">
        <v>9672175293</v>
      </c>
    </row>
    <row r="168" spans="3:10">
      <c r="C168" s="198" t="s">
        <v>2560</v>
      </c>
      <c r="D168" s="198" t="s">
        <v>2550</v>
      </c>
      <c r="E168" s="198" t="s">
        <v>2635</v>
      </c>
      <c r="F168" s="198" t="s">
        <v>2525</v>
      </c>
      <c r="G168" s="198" t="s">
        <v>2525</v>
      </c>
      <c r="H168" s="198" t="s">
        <v>2792</v>
      </c>
      <c r="I168" s="198" t="s">
        <v>1172</v>
      </c>
      <c r="J168" s="225">
        <v>6419401784</v>
      </c>
    </row>
    <row r="169" spans="3:10">
      <c r="C169" s="198" t="s">
        <v>2560</v>
      </c>
      <c r="D169" s="198" t="s">
        <v>2550</v>
      </c>
      <c r="E169" s="198" t="s">
        <v>2634</v>
      </c>
      <c r="F169" s="198" t="s">
        <v>1469</v>
      </c>
      <c r="G169" s="198" t="s">
        <v>1469</v>
      </c>
      <c r="H169" s="198" t="s">
        <v>2792</v>
      </c>
      <c r="I169" s="198" t="s">
        <v>1172</v>
      </c>
      <c r="J169" s="225">
        <v>1498152145</v>
      </c>
    </row>
    <row r="170" spans="3:10">
      <c r="C170" s="198" t="s">
        <v>2560</v>
      </c>
      <c r="D170" s="198" t="s">
        <v>2554</v>
      </c>
      <c r="E170" s="198" t="s">
        <v>2655</v>
      </c>
      <c r="F170" s="198" t="s">
        <v>2525</v>
      </c>
      <c r="G170" s="198" t="s">
        <v>2525</v>
      </c>
      <c r="H170" s="198" t="s">
        <v>2792</v>
      </c>
      <c r="I170" s="198" t="s">
        <v>1172</v>
      </c>
      <c r="J170" s="225">
        <v>670937340</v>
      </c>
    </row>
    <row r="171" spans="3:10">
      <c r="C171" s="198" t="s">
        <v>2560</v>
      </c>
      <c r="D171" s="198" t="s">
        <v>2550</v>
      </c>
      <c r="E171" s="198" t="s">
        <v>2628</v>
      </c>
      <c r="F171" s="198" t="s">
        <v>2525</v>
      </c>
      <c r="G171" s="198" t="s">
        <v>2525</v>
      </c>
      <c r="H171" s="198" t="s">
        <v>2792</v>
      </c>
      <c r="I171" s="198" t="s">
        <v>1172</v>
      </c>
      <c r="J171" s="225">
        <v>197138444</v>
      </c>
    </row>
    <row r="172" spans="3:10">
      <c r="C172" s="198" t="s">
        <v>2560</v>
      </c>
      <c r="D172" s="198" t="s">
        <v>2549</v>
      </c>
      <c r="E172" s="198" t="s">
        <v>2644</v>
      </c>
      <c r="F172" s="198" t="s">
        <v>1469</v>
      </c>
      <c r="G172" s="198" t="s">
        <v>1469</v>
      </c>
      <c r="H172" s="198" t="s">
        <v>2792</v>
      </c>
      <c r="I172" s="198" t="s">
        <v>1172</v>
      </c>
      <c r="J172" s="225">
        <v>166203515</v>
      </c>
    </row>
    <row r="173" spans="3:10">
      <c r="C173" s="198" t="s">
        <v>2560</v>
      </c>
      <c r="D173" s="198" t="s">
        <v>2550</v>
      </c>
      <c r="E173" s="198" t="s">
        <v>2630</v>
      </c>
      <c r="F173" s="198" t="s">
        <v>2525</v>
      </c>
      <c r="G173" s="198" t="s">
        <v>2525</v>
      </c>
      <c r="H173" s="198" t="s">
        <v>2792</v>
      </c>
      <c r="I173" s="198" t="s">
        <v>1172</v>
      </c>
      <c r="J173" s="225">
        <v>135183220</v>
      </c>
    </row>
    <row r="174" spans="3:10">
      <c r="C174" s="198" t="s">
        <v>2560</v>
      </c>
      <c r="D174" s="198" t="s">
        <v>2549</v>
      </c>
      <c r="E174" s="198" t="s">
        <v>2642</v>
      </c>
      <c r="F174" s="198" t="s">
        <v>1469</v>
      </c>
      <c r="G174" s="198" t="s">
        <v>1469</v>
      </c>
      <c r="H174" s="198" t="s">
        <v>2792</v>
      </c>
      <c r="I174" s="198" t="s">
        <v>1172</v>
      </c>
      <c r="J174" s="225">
        <v>133263331</v>
      </c>
    </row>
    <row r="175" spans="3:10">
      <c r="C175" s="198" t="s">
        <v>2560</v>
      </c>
      <c r="D175" s="198" t="s">
        <v>2549</v>
      </c>
      <c r="E175" s="198" t="s">
        <v>2641</v>
      </c>
      <c r="F175" s="198" t="s">
        <v>1469</v>
      </c>
      <c r="G175" s="198" t="s">
        <v>1469</v>
      </c>
      <c r="H175" s="198" t="s">
        <v>2792</v>
      </c>
      <c r="I175" s="198" t="s">
        <v>1172</v>
      </c>
      <c r="J175" s="225">
        <v>83003469</v>
      </c>
    </row>
    <row r="176" spans="3:10">
      <c r="C176" s="198" t="s">
        <v>2560</v>
      </c>
      <c r="D176" s="198" t="s">
        <v>2555</v>
      </c>
      <c r="E176" s="198" t="s">
        <v>2688</v>
      </c>
      <c r="F176" s="198" t="s">
        <v>2525</v>
      </c>
      <c r="G176" s="198" t="s">
        <v>2525</v>
      </c>
      <c r="H176" s="198" t="s">
        <v>2792</v>
      </c>
      <c r="I176" s="198" t="s">
        <v>1172</v>
      </c>
      <c r="J176" s="225">
        <v>60792687</v>
      </c>
    </row>
    <row r="177" spans="2:10">
      <c r="C177" s="198" t="s">
        <v>2560</v>
      </c>
      <c r="D177" s="198" t="s">
        <v>2552</v>
      </c>
      <c r="E177" s="198" t="s">
        <v>2653</v>
      </c>
      <c r="F177" s="198" t="s">
        <v>1469</v>
      </c>
      <c r="G177" s="198" t="s">
        <v>1469</v>
      </c>
      <c r="H177" s="198" t="s">
        <v>2792</v>
      </c>
      <c r="I177" s="198" t="s">
        <v>1172</v>
      </c>
      <c r="J177" s="225">
        <v>40800000</v>
      </c>
    </row>
    <row r="178" spans="2:10">
      <c r="C178" s="198" t="s">
        <v>2560</v>
      </c>
      <c r="D178" s="198" t="s">
        <v>2549</v>
      </c>
      <c r="E178" s="198" t="s">
        <v>2646</v>
      </c>
      <c r="F178" s="198" t="s">
        <v>1469</v>
      </c>
      <c r="G178" s="198" t="s">
        <v>1469</v>
      </c>
      <c r="H178" s="198" t="s">
        <v>2792</v>
      </c>
      <c r="I178" s="198" t="s">
        <v>1172</v>
      </c>
      <c r="J178" s="225">
        <v>36206961</v>
      </c>
    </row>
    <row r="179" spans="2:10">
      <c r="C179" s="198" t="s">
        <v>2560</v>
      </c>
      <c r="D179" s="198" t="s">
        <v>2549</v>
      </c>
      <c r="E179" s="198" t="s">
        <v>2643</v>
      </c>
      <c r="F179" s="198" t="s">
        <v>1469</v>
      </c>
      <c r="G179" s="198" t="s">
        <v>1469</v>
      </c>
      <c r="H179" s="198" t="s">
        <v>2792</v>
      </c>
      <c r="I179" s="198" t="s">
        <v>1172</v>
      </c>
      <c r="J179" s="225">
        <v>22367156</v>
      </c>
    </row>
    <row r="180" spans="2:10">
      <c r="C180" s="198" t="s">
        <v>2560</v>
      </c>
      <c r="D180" s="198" t="s">
        <v>2549</v>
      </c>
      <c r="E180" s="198" t="s">
        <v>2640</v>
      </c>
      <c r="F180" s="198" t="s">
        <v>2525</v>
      </c>
      <c r="G180" s="198" t="s">
        <v>2525</v>
      </c>
      <c r="H180" s="198" t="s">
        <v>2792</v>
      </c>
      <c r="I180" s="198" t="s">
        <v>1172</v>
      </c>
      <c r="J180" s="225">
        <v>19123135</v>
      </c>
    </row>
    <row r="181" spans="2:10">
      <c r="C181" s="198" t="s">
        <v>2560</v>
      </c>
      <c r="D181" s="198" t="s">
        <v>2549</v>
      </c>
      <c r="E181" s="198" t="s">
        <v>2689</v>
      </c>
      <c r="F181" s="198" t="s">
        <v>1469</v>
      </c>
      <c r="G181" s="198" t="s">
        <v>1469</v>
      </c>
      <c r="H181" s="198" t="s">
        <v>2792</v>
      </c>
      <c r="I181" s="198" t="s">
        <v>1172</v>
      </c>
      <c r="J181" s="225">
        <v>18235111</v>
      </c>
    </row>
    <row r="182" spans="2:10">
      <c r="C182" s="198" t="s">
        <v>2560</v>
      </c>
      <c r="D182" s="198" t="s">
        <v>2550</v>
      </c>
      <c r="E182" s="198" t="s">
        <v>2638</v>
      </c>
      <c r="F182" s="198" t="s">
        <v>2525</v>
      </c>
      <c r="G182" s="198" t="s">
        <v>2525</v>
      </c>
      <c r="H182" s="198" t="s">
        <v>2792</v>
      </c>
      <c r="I182" s="198" t="s">
        <v>1172</v>
      </c>
      <c r="J182" s="225">
        <v>8874240</v>
      </c>
    </row>
    <row r="183" spans="2:10">
      <c r="B183" s="198" t="str">
        <f>VLOOKUP(C183,Companies[],3,FALSE)</f>
        <v>2849258 2G3</v>
      </c>
      <c r="C183" s="198" t="s">
        <v>2560</v>
      </c>
      <c r="D183" s="198" t="s">
        <v>2550</v>
      </c>
      <c r="E183" s="198" t="s">
        <v>2633</v>
      </c>
      <c r="F183" s="198" t="s">
        <v>2525</v>
      </c>
      <c r="G183" s="198" t="s">
        <v>2525</v>
      </c>
      <c r="H183" s="198" t="s">
        <v>2792</v>
      </c>
      <c r="I183" s="198" t="s">
        <v>1172</v>
      </c>
      <c r="J183" s="225">
        <v>8195632</v>
      </c>
    </row>
    <row r="184" spans="2:10">
      <c r="B184" s="198" t="str">
        <f>VLOOKUP(C184,Companies[],3,FALSE)</f>
        <v>2849258 2G3</v>
      </c>
      <c r="C184" s="198" t="s">
        <v>2560</v>
      </c>
      <c r="D184" s="198" t="s">
        <v>2549</v>
      </c>
      <c r="E184" s="198" t="s">
        <v>2645</v>
      </c>
      <c r="F184" s="198" t="s">
        <v>1469</v>
      </c>
      <c r="G184" s="198" t="s">
        <v>1469</v>
      </c>
      <c r="H184" s="198" t="s">
        <v>2792</v>
      </c>
      <c r="I184" s="198" t="s">
        <v>1172</v>
      </c>
      <c r="J184" s="225">
        <v>1156317</v>
      </c>
    </row>
    <row r="185" spans="2:10">
      <c r="B185" s="198" t="str">
        <f>VLOOKUP(C185,Companies[],3,FALSE)</f>
        <v>2849258 2G3</v>
      </c>
      <c r="C185" s="198" t="s">
        <v>2560</v>
      </c>
      <c r="D185" s="198" t="s">
        <v>2549</v>
      </c>
      <c r="E185" s="198" t="s">
        <v>2628</v>
      </c>
      <c r="F185" s="198" t="s">
        <v>2525</v>
      </c>
      <c r="G185" s="198" t="s">
        <v>2525</v>
      </c>
      <c r="H185" s="198" t="s">
        <v>2792</v>
      </c>
      <c r="I185" s="198" t="s">
        <v>1172</v>
      </c>
      <c r="J185" s="225">
        <v>1103470</v>
      </c>
    </row>
    <row r="186" spans="2:10">
      <c r="C186" s="198" t="s">
        <v>2793</v>
      </c>
      <c r="D186" s="198" t="s">
        <v>2550</v>
      </c>
      <c r="E186" s="198" t="s">
        <v>2635</v>
      </c>
      <c r="F186" s="198" t="s">
        <v>2525</v>
      </c>
      <c r="G186" s="198" t="s">
        <v>2525</v>
      </c>
      <c r="H186" s="198" t="s">
        <v>2794</v>
      </c>
      <c r="I186" s="198" t="s">
        <v>1172</v>
      </c>
      <c r="J186" s="225">
        <v>312064500</v>
      </c>
    </row>
    <row r="187" spans="2:10">
      <c r="C187" s="198" t="s">
        <v>2793</v>
      </c>
      <c r="D187" s="198" t="s">
        <v>2550</v>
      </c>
      <c r="E187" s="198" t="s">
        <v>2634</v>
      </c>
      <c r="F187" s="198" t="s">
        <v>1469</v>
      </c>
      <c r="G187" s="198" t="s">
        <v>1469</v>
      </c>
      <c r="H187" s="198" t="s">
        <v>2794</v>
      </c>
      <c r="I187" s="198" t="s">
        <v>1172</v>
      </c>
      <c r="J187" s="225">
        <v>99024067</v>
      </c>
    </row>
    <row r="188" spans="2:10">
      <c r="C188" s="198" t="s">
        <v>2793</v>
      </c>
      <c r="D188" s="198" t="s">
        <v>2553</v>
      </c>
      <c r="E188" s="198" t="s">
        <v>2651</v>
      </c>
      <c r="F188" s="198" t="s">
        <v>1469</v>
      </c>
      <c r="G188" s="198" t="s">
        <v>1469</v>
      </c>
      <c r="H188" s="198" t="s">
        <v>2794</v>
      </c>
      <c r="I188" s="198" t="s">
        <v>1172</v>
      </c>
      <c r="J188" s="225">
        <v>76953800</v>
      </c>
    </row>
    <row r="189" spans="2:10">
      <c r="C189" s="198" t="s">
        <v>2793</v>
      </c>
      <c r="D189" s="198" t="s">
        <v>2552</v>
      </c>
      <c r="E189" s="198" t="s">
        <v>2653</v>
      </c>
      <c r="F189" s="198" t="s">
        <v>1469</v>
      </c>
      <c r="G189" s="198" t="s">
        <v>1469</v>
      </c>
      <c r="H189" s="198" t="s">
        <v>2794</v>
      </c>
      <c r="I189" s="198" t="s">
        <v>1172</v>
      </c>
      <c r="J189" s="225">
        <v>51220000</v>
      </c>
    </row>
    <row r="190" spans="2:10">
      <c r="C190" s="198" t="s">
        <v>2793</v>
      </c>
      <c r="D190" s="198" t="s">
        <v>2695</v>
      </c>
      <c r="E190" s="198" t="s">
        <v>2627</v>
      </c>
      <c r="F190" s="198" t="s">
        <v>1469</v>
      </c>
      <c r="G190" s="198" t="s">
        <v>1469</v>
      </c>
      <c r="H190" s="198" t="s">
        <v>2794</v>
      </c>
      <c r="I190" s="198" t="s">
        <v>1172</v>
      </c>
      <c r="J190" s="225">
        <v>37000000</v>
      </c>
    </row>
    <row r="191" spans="2:10">
      <c r="C191" s="198" t="s">
        <v>2793</v>
      </c>
      <c r="D191" s="198" t="s">
        <v>2554</v>
      </c>
      <c r="E191" s="198" t="s">
        <v>2655</v>
      </c>
      <c r="F191" s="198" t="s">
        <v>2525</v>
      </c>
      <c r="G191" s="198" t="s">
        <v>2525</v>
      </c>
      <c r="H191" s="198" t="s">
        <v>2794</v>
      </c>
      <c r="I191" s="198" t="s">
        <v>1172</v>
      </c>
      <c r="J191" s="225">
        <v>33077700</v>
      </c>
    </row>
    <row r="192" spans="2:10">
      <c r="C192" s="198" t="s">
        <v>2793</v>
      </c>
      <c r="D192" s="198" t="s">
        <v>2695</v>
      </c>
      <c r="E192" s="198" t="s">
        <v>2625</v>
      </c>
      <c r="F192" s="198" t="s">
        <v>1469</v>
      </c>
      <c r="G192" s="198" t="s">
        <v>1469</v>
      </c>
      <c r="H192" s="198" t="s">
        <v>2794</v>
      </c>
      <c r="I192" s="198" t="s">
        <v>1172</v>
      </c>
      <c r="J192" s="225">
        <v>29172544</v>
      </c>
    </row>
    <row r="193" spans="3:10">
      <c r="C193" s="198" t="s">
        <v>2793</v>
      </c>
      <c r="D193" s="198" t="s">
        <v>2552</v>
      </c>
      <c r="E193" s="198" t="s">
        <v>2654</v>
      </c>
      <c r="F193" s="198" t="s">
        <v>2525</v>
      </c>
      <c r="G193" s="198" t="s">
        <v>2525</v>
      </c>
      <c r="H193" s="198" t="s">
        <v>2794</v>
      </c>
      <c r="I193" s="198" t="s">
        <v>1172</v>
      </c>
      <c r="J193" s="225">
        <v>15006000</v>
      </c>
    </row>
    <row r="194" spans="3:10">
      <c r="C194" s="198" t="s">
        <v>2793</v>
      </c>
      <c r="D194" s="198" t="s">
        <v>2550</v>
      </c>
      <c r="E194" s="198" t="s">
        <v>2633</v>
      </c>
      <c r="F194" s="198" t="s">
        <v>2525</v>
      </c>
      <c r="G194" s="198" t="s">
        <v>2525</v>
      </c>
      <c r="H194" s="198" t="s">
        <v>2794</v>
      </c>
      <c r="I194" s="198" t="s">
        <v>1172</v>
      </c>
      <c r="J194" s="225">
        <v>4205204</v>
      </c>
    </row>
    <row r="195" spans="3:10">
      <c r="C195" s="198" t="s">
        <v>2793</v>
      </c>
      <c r="D195" s="198" t="s">
        <v>2550</v>
      </c>
      <c r="E195" s="198" t="s">
        <v>2630</v>
      </c>
      <c r="F195" s="198" t="s">
        <v>2525</v>
      </c>
      <c r="G195" s="198" t="s">
        <v>2525</v>
      </c>
      <c r="H195" s="198" t="s">
        <v>2794</v>
      </c>
      <c r="I195" s="198" t="s">
        <v>1172</v>
      </c>
      <c r="J195" s="225">
        <v>3549516</v>
      </c>
    </row>
    <row r="196" spans="3:10">
      <c r="C196" s="198" t="s">
        <v>2793</v>
      </c>
      <c r="D196" s="198" t="s">
        <v>2555</v>
      </c>
      <c r="E196" s="198" t="s">
        <v>2688</v>
      </c>
      <c r="F196" s="198" t="s">
        <v>2525</v>
      </c>
      <c r="G196" s="198" t="s">
        <v>2525</v>
      </c>
      <c r="H196" s="198" t="s">
        <v>2794</v>
      </c>
      <c r="I196" s="198" t="s">
        <v>1172</v>
      </c>
      <c r="J196" s="225">
        <v>3548505</v>
      </c>
    </row>
    <row r="197" spans="3:10">
      <c r="C197" s="198" t="s">
        <v>2562</v>
      </c>
      <c r="D197" s="198" t="s">
        <v>2550</v>
      </c>
      <c r="E197" s="198" t="s">
        <v>2635</v>
      </c>
      <c r="F197" s="198" t="s">
        <v>2525</v>
      </c>
      <c r="G197" s="198" t="s">
        <v>2525</v>
      </c>
      <c r="H197" s="198" t="s">
        <v>2698</v>
      </c>
      <c r="I197" s="198" t="s">
        <v>1172</v>
      </c>
      <c r="J197" s="225">
        <v>3366746634</v>
      </c>
    </row>
    <row r="198" spans="3:10">
      <c r="C198" s="198" t="s">
        <v>2562</v>
      </c>
      <c r="D198" s="198" t="s">
        <v>2695</v>
      </c>
      <c r="E198" s="198" t="s">
        <v>2624</v>
      </c>
      <c r="F198" s="198" t="s">
        <v>1469</v>
      </c>
      <c r="G198" s="198" t="s">
        <v>1469</v>
      </c>
      <c r="H198" s="198" t="s">
        <v>2698</v>
      </c>
      <c r="I198" s="198" t="s">
        <v>1172</v>
      </c>
      <c r="J198" s="225">
        <v>1300000000</v>
      </c>
    </row>
    <row r="199" spans="3:10">
      <c r="C199" s="198" t="s">
        <v>2562</v>
      </c>
      <c r="D199" s="198" t="s">
        <v>2554</v>
      </c>
      <c r="E199" s="198" t="s">
        <v>2655</v>
      </c>
      <c r="F199" s="198" t="s">
        <v>2525</v>
      </c>
      <c r="G199" s="198" t="s">
        <v>2525</v>
      </c>
      <c r="H199" s="198" t="s">
        <v>2698</v>
      </c>
      <c r="I199" s="198" t="s">
        <v>1172</v>
      </c>
      <c r="J199" s="225">
        <v>711422026</v>
      </c>
    </row>
    <row r="200" spans="3:10">
      <c r="C200" s="198" t="s">
        <v>2562</v>
      </c>
      <c r="D200" s="198" t="s">
        <v>2550</v>
      </c>
      <c r="E200" s="198" t="s">
        <v>2638</v>
      </c>
      <c r="F200" s="198" t="s">
        <v>2525</v>
      </c>
      <c r="G200" s="198" t="s">
        <v>2525</v>
      </c>
      <c r="H200" s="198" t="s">
        <v>2698</v>
      </c>
      <c r="I200" s="198" t="s">
        <v>1172</v>
      </c>
      <c r="J200" s="225">
        <v>683702414</v>
      </c>
    </row>
    <row r="201" spans="3:10">
      <c r="C201" s="198" t="s">
        <v>2562</v>
      </c>
      <c r="D201" s="198" t="s">
        <v>2555</v>
      </c>
      <c r="E201" s="198" t="s">
        <v>2688</v>
      </c>
      <c r="F201" s="198" t="s">
        <v>2525</v>
      </c>
      <c r="G201" s="198" t="s">
        <v>2525</v>
      </c>
      <c r="H201" s="198" t="s">
        <v>2698</v>
      </c>
      <c r="I201" s="198" t="s">
        <v>1172</v>
      </c>
      <c r="J201" s="225">
        <v>255660133</v>
      </c>
    </row>
    <row r="202" spans="3:10">
      <c r="C202" s="198" t="s">
        <v>2562</v>
      </c>
      <c r="D202" s="198" t="s">
        <v>2550</v>
      </c>
      <c r="E202" s="198" t="s">
        <v>2633</v>
      </c>
      <c r="F202" s="198" t="s">
        <v>2525</v>
      </c>
      <c r="G202" s="198" t="s">
        <v>2525</v>
      </c>
      <c r="H202" s="198" t="s">
        <v>2698</v>
      </c>
      <c r="I202" s="198" t="s">
        <v>1172</v>
      </c>
      <c r="J202" s="225">
        <v>65192154</v>
      </c>
    </row>
    <row r="203" spans="3:10">
      <c r="C203" s="198" t="s">
        <v>2795</v>
      </c>
      <c r="D203" s="198" t="s">
        <v>2550</v>
      </c>
      <c r="E203" s="198" t="s">
        <v>2635</v>
      </c>
      <c r="F203" s="198" t="s">
        <v>2525</v>
      </c>
      <c r="G203" s="198" t="s">
        <v>2525</v>
      </c>
      <c r="H203" s="198" t="s">
        <v>2796</v>
      </c>
      <c r="I203" s="198" t="s">
        <v>1172</v>
      </c>
      <c r="J203" s="225">
        <v>365215402</v>
      </c>
    </row>
    <row r="204" spans="3:10">
      <c r="C204" s="198" t="s">
        <v>2795</v>
      </c>
      <c r="D204" s="198" t="s">
        <v>2554</v>
      </c>
      <c r="E204" s="198" t="s">
        <v>2655</v>
      </c>
      <c r="F204" s="198" t="s">
        <v>2525</v>
      </c>
      <c r="G204" s="198" t="s">
        <v>2525</v>
      </c>
      <c r="H204" s="198" t="s">
        <v>2796</v>
      </c>
      <c r="I204" s="198" t="s">
        <v>1172</v>
      </c>
      <c r="J204" s="225">
        <v>7714800</v>
      </c>
    </row>
    <row r="205" spans="3:10">
      <c r="C205" s="198" t="s">
        <v>2795</v>
      </c>
      <c r="D205" s="198" t="s">
        <v>2555</v>
      </c>
      <c r="E205" s="198" t="s">
        <v>2688</v>
      </c>
      <c r="F205" s="198" t="s">
        <v>2525</v>
      </c>
      <c r="G205" s="198" t="s">
        <v>2525</v>
      </c>
      <c r="H205" s="198" t="s">
        <v>2796</v>
      </c>
      <c r="I205" s="198" t="s">
        <v>1172</v>
      </c>
      <c r="J205" s="225">
        <v>461160</v>
      </c>
    </row>
    <row r="206" spans="3:10">
      <c r="C206" s="198" t="s">
        <v>2797</v>
      </c>
      <c r="D206" s="198" t="s">
        <v>2554</v>
      </c>
      <c r="E206" s="198" t="s">
        <v>2655</v>
      </c>
      <c r="F206" s="198" t="s">
        <v>2525</v>
      </c>
      <c r="G206" s="198" t="s">
        <v>2525</v>
      </c>
      <c r="H206" s="198" t="s">
        <v>445</v>
      </c>
      <c r="I206" s="198" t="s">
        <v>1172</v>
      </c>
      <c r="J206" s="225">
        <v>7751897</v>
      </c>
    </row>
    <row r="207" spans="3:10">
      <c r="C207" s="198" t="s">
        <v>2797</v>
      </c>
      <c r="D207" s="198" t="s">
        <v>2555</v>
      </c>
      <c r="E207" s="198" t="s">
        <v>2688</v>
      </c>
      <c r="F207" s="198" t="s">
        <v>2525</v>
      </c>
      <c r="G207" s="198" t="s">
        <v>2525</v>
      </c>
      <c r="H207" s="198" t="s">
        <v>445</v>
      </c>
      <c r="I207" s="198" t="s">
        <v>1172</v>
      </c>
      <c r="J207" s="225">
        <v>801360</v>
      </c>
    </row>
    <row r="208" spans="3:10">
      <c r="C208" s="198" t="s">
        <v>2798</v>
      </c>
      <c r="D208" s="198" t="s">
        <v>2556</v>
      </c>
      <c r="E208" s="198" t="s">
        <v>2657</v>
      </c>
      <c r="F208" s="198" t="s">
        <v>1469</v>
      </c>
      <c r="G208" s="198" t="s">
        <v>1469</v>
      </c>
      <c r="H208" s="198" t="s">
        <v>2799</v>
      </c>
      <c r="I208" s="198" t="s">
        <v>1172</v>
      </c>
      <c r="J208" s="225">
        <v>789267080.74534166</v>
      </c>
    </row>
    <row r="209" spans="3:10">
      <c r="C209" s="198" t="s">
        <v>2798</v>
      </c>
      <c r="D209" s="198" t="s">
        <v>2554</v>
      </c>
      <c r="E209" s="198" t="s">
        <v>2655</v>
      </c>
      <c r="F209" s="198" t="s">
        <v>2525</v>
      </c>
      <c r="G209" s="198" t="s">
        <v>2525</v>
      </c>
      <c r="H209" s="198" t="s">
        <v>2799</v>
      </c>
      <c r="I209" s="198" t="s">
        <v>1172</v>
      </c>
      <c r="J209" s="225">
        <v>964800</v>
      </c>
    </row>
    <row r="210" spans="3:10">
      <c r="C210" s="198" t="s">
        <v>2798</v>
      </c>
      <c r="D210" s="198" t="s">
        <v>2550</v>
      </c>
      <c r="E210" s="198" t="s">
        <v>2635</v>
      </c>
      <c r="F210" s="198" t="s">
        <v>2525</v>
      </c>
      <c r="G210" s="198" t="s">
        <v>2525</v>
      </c>
      <c r="H210" s="198" t="s">
        <v>2799</v>
      </c>
      <c r="I210" s="198" t="s">
        <v>1172</v>
      </c>
      <c r="J210" s="225">
        <v>834160</v>
      </c>
    </row>
    <row r="211" spans="3:10">
      <c r="C211" s="198" t="s">
        <v>2798</v>
      </c>
      <c r="D211" s="198" t="s">
        <v>2555</v>
      </c>
      <c r="E211" s="198" t="s">
        <v>2688</v>
      </c>
      <c r="F211" s="198" t="s">
        <v>2525</v>
      </c>
      <c r="G211" s="198" t="s">
        <v>2525</v>
      </c>
      <c r="H211" s="198" t="s">
        <v>2799</v>
      </c>
      <c r="I211" s="198" t="s">
        <v>1172</v>
      </c>
      <c r="J211" s="225">
        <v>90720</v>
      </c>
    </row>
    <row r="212" spans="3:10">
      <c r="C212" s="198" t="s">
        <v>2800</v>
      </c>
      <c r="D212" s="198" t="s">
        <v>2695</v>
      </c>
      <c r="E212" s="198" t="s">
        <v>2624</v>
      </c>
      <c r="F212" s="198" t="s">
        <v>1469</v>
      </c>
      <c r="G212" s="198" t="s">
        <v>1469</v>
      </c>
      <c r="H212" s="198" t="s">
        <v>2801</v>
      </c>
      <c r="I212" s="198" t="s">
        <v>1172</v>
      </c>
      <c r="J212" s="225">
        <v>7519284055</v>
      </c>
    </row>
    <row r="213" spans="3:10">
      <c r="C213" s="198" t="s">
        <v>2800</v>
      </c>
      <c r="D213" s="198" t="s">
        <v>2550</v>
      </c>
      <c r="E213" s="198" t="s">
        <v>2635</v>
      </c>
      <c r="F213" s="198" t="s">
        <v>2525</v>
      </c>
      <c r="G213" s="198" t="s">
        <v>2525</v>
      </c>
      <c r="H213" s="198" t="s">
        <v>2801</v>
      </c>
      <c r="I213" s="198" t="s">
        <v>1172</v>
      </c>
      <c r="J213" s="225">
        <v>4017092953</v>
      </c>
    </row>
    <row r="214" spans="3:10">
      <c r="C214" s="198" t="s">
        <v>2800</v>
      </c>
      <c r="D214" s="198" t="s">
        <v>2551</v>
      </c>
      <c r="E214" s="198" t="s">
        <v>2649</v>
      </c>
      <c r="F214" s="198" t="s">
        <v>1469</v>
      </c>
      <c r="G214" s="198" t="s">
        <v>1469</v>
      </c>
      <c r="H214" s="198" t="s">
        <v>2801</v>
      </c>
      <c r="I214" s="198" t="s">
        <v>1172</v>
      </c>
      <c r="J214" s="225">
        <v>2854000000</v>
      </c>
    </row>
    <row r="215" spans="3:10">
      <c r="C215" s="198" t="s">
        <v>2800</v>
      </c>
      <c r="D215" s="198" t="s">
        <v>2550</v>
      </c>
      <c r="E215" s="198" t="s">
        <v>2630</v>
      </c>
      <c r="F215" s="198" t="s">
        <v>2525</v>
      </c>
      <c r="G215" s="198" t="s">
        <v>2525</v>
      </c>
      <c r="H215" s="198" t="s">
        <v>2801</v>
      </c>
      <c r="I215" s="198" t="s">
        <v>1172</v>
      </c>
      <c r="J215" s="225">
        <v>2700640000</v>
      </c>
    </row>
    <row r="216" spans="3:10">
      <c r="C216" s="198" t="s">
        <v>2800</v>
      </c>
      <c r="D216" s="198" t="s">
        <v>2550</v>
      </c>
      <c r="E216" s="198" t="s">
        <v>2634</v>
      </c>
      <c r="F216" s="198" t="s">
        <v>1469</v>
      </c>
      <c r="G216" s="198" t="s">
        <v>1469</v>
      </c>
      <c r="H216" s="198" t="s">
        <v>2801</v>
      </c>
      <c r="I216" s="198" t="s">
        <v>1172</v>
      </c>
      <c r="J216" s="225">
        <v>366124044</v>
      </c>
    </row>
    <row r="217" spans="3:10">
      <c r="C217" s="198" t="s">
        <v>2800</v>
      </c>
      <c r="D217" s="198" t="s">
        <v>2554</v>
      </c>
      <c r="E217" s="198" t="s">
        <v>2655</v>
      </c>
      <c r="F217" s="198" t="s">
        <v>2525</v>
      </c>
      <c r="G217" s="198" t="s">
        <v>2525</v>
      </c>
      <c r="H217" s="198" t="s">
        <v>2801</v>
      </c>
      <c r="I217" s="198" t="s">
        <v>1172</v>
      </c>
      <c r="J217" s="225">
        <v>208157611</v>
      </c>
    </row>
    <row r="218" spans="3:10">
      <c r="C218" s="198" t="s">
        <v>2800</v>
      </c>
      <c r="D218" s="198" t="s">
        <v>2549</v>
      </c>
      <c r="E218" s="198" t="s">
        <v>2644</v>
      </c>
      <c r="F218" s="198" t="s">
        <v>1469</v>
      </c>
      <c r="G218" s="198" t="s">
        <v>1469</v>
      </c>
      <c r="H218" s="198" t="s">
        <v>2801</v>
      </c>
      <c r="I218" s="198" t="s">
        <v>1172</v>
      </c>
      <c r="J218" s="225">
        <v>115733943</v>
      </c>
    </row>
    <row r="219" spans="3:10">
      <c r="C219" s="198" t="s">
        <v>2800</v>
      </c>
      <c r="D219" s="198" t="s">
        <v>2549</v>
      </c>
      <c r="E219" s="198" t="s">
        <v>2642</v>
      </c>
      <c r="F219" s="198" t="s">
        <v>1469</v>
      </c>
      <c r="G219" s="198" t="s">
        <v>1469</v>
      </c>
      <c r="H219" s="198" t="s">
        <v>2801</v>
      </c>
      <c r="I219" s="198" t="s">
        <v>1172</v>
      </c>
      <c r="J219" s="225">
        <v>92565977</v>
      </c>
    </row>
    <row r="220" spans="3:10">
      <c r="C220" s="198" t="s">
        <v>2800</v>
      </c>
      <c r="D220" s="198" t="s">
        <v>2695</v>
      </c>
      <c r="E220" s="198" t="s">
        <v>2625</v>
      </c>
      <c r="F220" s="198" t="s">
        <v>1469</v>
      </c>
      <c r="G220" s="198" t="s">
        <v>1469</v>
      </c>
      <c r="H220" s="198" t="s">
        <v>2801</v>
      </c>
      <c r="I220" s="198" t="s">
        <v>1172</v>
      </c>
      <c r="J220" s="225">
        <v>67395700</v>
      </c>
    </row>
    <row r="221" spans="3:10">
      <c r="C221" s="198" t="s">
        <v>2800</v>
      </c>
      <c r="D221" s="198" t="s">
        <v>2549</v>
      </c>
      <c r="E221" s="198" t="s">
        <v>2641</v>
      </c>
      <c r="F221" s="198" t="s">
        <v>1469</v>
      </c>
      <c r="G221" s="198" t="s">
        <v>1469</v>
      </c>
      <c r="H221" s="198" t="s">
        <v>2801</v>
      </c>
      <c r="I221" s="198" t="s">
        <v>1172</v>
      </c>
      <c r="J221" s="225">
        <v>57671634</v>
      </c>
    </row>
    <row r="222" spans="3:10">
      <c r="C222" s="198" t="s">
        <v>2800</v>
      </c>
      <c r="D222" s="198" t="s">
        <v>2549</v>
      </c>
      <c r="E222" s="198" t="s">
        <v>2646</v>
      </c>
      <c r="F222" s="198" t="s">
        <v>1469</v>
      </c>
      <c r="G222" s="198" t="s">
        <v>1469</v>
      </c>
      <c r="H222" s="198" t="s">
        <v>2801</v>
      </c>
      <c r="I222" s="198" t="s">
        <v>1172</v>
      </c>
      <c r="J222" s="225">
        <v>46982080</v>
      </c>
    </row>
    <row r="223" spans="3:10">
      <c r="C223" s="198" t="s">
        <v>2800</v>
      </c>
      <c r="D223" s="198" t="s">
        <v>2549</v>
      </c>
      <c r="E223" s="198" t="s">
        <v>2640</v>
      </c>
      <c r="F223" s="198" t="s">
        <v>2525</v>
      </c>
      <c r="G223" s="198" t="s">
        <v>2525</v>
      </c>
      <c r="H223" s="198" t="s">
        <v>2801</v>
      </c>
      <c r="I223" s="198" t="s">
        <v>1172</v>
      </c>
      <c r="J223" s="225">
        <v>29117848</v>
      </c>
    </row>
    <row r="224" spans="3:10">
      <c r="C224" s="198" t="s">
        <v>2800</v>
      </c>
      <c r="D224" s="198" t="s">
        <v>2555</v>
      </c>
      <c r="E224" s="198" t="s">
        <v>2688</v>
      </c>
      <c r="F224" s="198" t="s">
        <v>2525</v>
      </c>
      <c r="G224" s="198" t="s">
        <v>2525</v>
      </c>
      <c r="H224" s="198" t="s">
        <v>2801</v>
      </c>
      <c r="I224" s="198" t="s">
        <v>1172</v>
      </c>
      <c r="J224" s="225">
        <v>23806442</v>
      </c>
    </row>
    <row r="225" spans="3:10">
      <c r="C225" s="198" t="s">
        <v>2800</v>
      </c>
      <c r="D225" s="198" t="s">
        <v>2549</v>
      </c>
      <c r="E225" s="198" t="s">
        <v>2689</v>
      </c>
      <c r="F225" s="198" t="s">
        <v>1469</v>
      </c>
      <c r="G225" s="198" t="s">
        <v>1469</v>
      </c>
      <c r="H225" s="198" t="s">
        <v>2801</v>
      </c>
      <c r="I225" s="198" t="s">
        <v>1172</v>
      </c>
      <c r="J225" s="225">
        <v>5331137</v>
      </c>
    </row>
    <row r="226" spans="3:10">
      <c r="C226" s="198" t="s">
        <v>2800</v>
      </c>
      <c r="D226" s="198" t="s">
        <v>2549</v>
      </c>
      <c r="E226" s="198" t="s">
        <v>2784</v>
      </c>
      <c r="F226" s="198" t="s">
        <v>1469</v>
      </c>
      <c r="G226" s="198" t="s">
        <v>1469</v>
      </c>
      <c r="H226" s="198" t="s">
        <v>2801</v>
      </c>
      <c r="I226" s="198" t="s">
        <v>1172</v>
      </c>
      <c r="J226" s="225">
        <v>3051789</v>
      </c>
    </row>
    <row r="227" spans="3:10">
      <c r="C227" s="198" t="s">
        <v>2800</v>
      </c>
      <c r="D227" s="198" t="s">
        <v>2550</v>
      </c>
      <c r="E227" s="198" t="s">
        <v>2633</v>
      </c>
      <c r="F227" s="198" t="s">
        <v>2525</v>
      </c>
      <c r="G227" s="198" t="s">
        <v>2525</v>
      </c>
      <c r="H227" s="198" t="s">
        <v>2801</v>
      </c>
      <c r="I227" s="198" t="s">
        <v>1172</v>
      </c>
      <c r="J227" s="225">
        <v>2452751</v>
      </c>
    </row>
    <row r="228" spans="3:10">
      <c r="C228" s="198" t="s">
        <v>2800</v>
      </c>
      <c r="D228" s="198" t="s">
        <v>2549</v>
      </c>
      <c r="E228" s="198" t="s">
        <v>2643</v>
      </c>
      <c r="F228" s="198" t="s">
        <v>1469</v>
      </c>
      <c r="G228" s="198" t="s">
        <v>1469</v>
      </c>
      <c r="H228" s="198" t="s">
        <v>2801</v>
      </c>
      <c r="I228" s="198" t="s">
        <v>1172</v>
      </c>
      <c r="J228" s="225">
        <v>1406632</v>
      </c>
    </row>
    <row r="229" spans="3:10">
      <c r="C229" s="198" t="s">
        <v>2800</v>
      </c>
      <c r="D229" s="198" t="s">
        <v>2549</v>
      </c>
      <c r="E229" s="198" t="s">
        <v>2694</v>
      </c>
      <c r="F229" s="198" t="s">
        <v>1469</v>
      </c>
      <c r="G229" s="198" t="s">
        <v>1469</v>
      </c>
      <c r="H229" s="198" t="s">
        <v>2801</v>
      </c>
      <c r="I229" s="198" t="s">
        <v>1172</v>
      </c>
      <c r="J229" s="225">
        <v>329737</v>
      </c>
    </row>
    <row r="230" spans="3:10">
      <c r="C230" s="198" t="s">
        <v>2800</v>
      </c>
      <c r="D230" s="198" t="s">
        <v>2549</v>
      </c>
      <c r="E230" s="198" t="s">
        <v>2645</v>
      </c>
      <c r="F230" s="198" t="s">
        <v>1469</v>
      </c>
      <c r="G230" s="198" t="s">
        <v>1469</v>
      </c>
      <c r="H230" s="198" t="s">
        <v>2801</v>
      </c>
      <c r="I230" s="198" t="s">
        <v>1172</v>
      </c>
      <c r="J230" s="225">
        <v>162957</v>
      </c>
    </row>
    <row r="231" spans="3:10">
      <c r="C231" s="198" t="s">
        <v>2558</v>
      </c>
      <c r="D231" s="198" t="s">
        <v>2695</v>
      </c>
      <c r="E231" s="198" t="s">
        <v>2624</v>
      </c>
      <c r="F231" s="198" t="s">
        <v>1469</v>
      </c>
      <c r="G231" s="198" t="s">
        <v>1469</v>
      </c>
      <c r="H231" s="198" t="s">
        <v>2622</v>
      </c>
      <c r="I231" s="198" t="s">
        <v>1172</v>
      </c>
      <c r="J231" s="225">
        <v>19563971740</v>
      </c>
    </row>
    <row r="232" spans="3:10">
      <c r="C232" s="198" t="s">
        <v>2558</v>
      </c>
      <c r="D232" s="198" t="s">
        <v>2550</v>
      </c>
      <c r="E232" s="198" t="s">
        <v>2630</v>
      </c>
      <c r="F232" s="198" t="s">
        <v>2525</v>
      </c>
      <c r="G232" s="198" t="s">
        <v>2525</v>
      </c>
      <c r="H232" s="198" t="s">
        <v>2697</v>
      </c>
      <c r="I232" s="198" t="s">
        <v>1172</v>
      </c>
      <c r="J232" s="225">
        <v>16801820907</v>
      </c>
    </row>
    <row r="233" spans="3:10">
      <c r="C233" s="198" t="s">
        <v>2558</v>
      </c>
      <c r="D233" s="198" t="s">
        <v>2551</v>
      </c>
      <c r="E233" s="198" t="s">
        <v>2649</v>
      </c>
      <c r="F233" s="198" t="s">
        <v>1469</v>
      </c>
      <c r="G233" s="198" t="s">
        <v>1469</v>
      </c>
      <c r="H233" s="198" t="s">
        <v>2697</v>
      </c>
      <c r="I233" s="198" t="s">
        <v>1172</v>
      </c>
      <c r="J233" s="225">
        <v>11341229112</v>
      </c>
    </row>
    <row r="234" spans="3:10">
      <c r="C234" s="198" t="s">
        <v>2558</v>
      </c>
      <c r="D234" s="198" t="s">
        <v>2550</v>
      </c>
      <c r="E234" s="198" t="s">
        <v>2631</v>
      </c>
      <c r="F234" s="198" t="s">
        <v>1469</v>
      </c>
      <c r="G234" s="198" t="s">
        <v>1469</v>
      </c>
      <c r="H234" s="198" t="s">
        <v>2622</v>
      </c>
      <c r="I234" s="198" t="s">
        <v>1172</v>
      </c>
      <c r="J234" s="225">
        <v>10209148561</v>
      </c>
    </row>
    <row r="235" spans="3:10">
      <c r="C235" s="198" t="s">
        <v>2558</v>
      </c>
      <c r="D235" s="198" t="s">
        <v>2550</v>
      </c>
      <c r="E235" s="198" t="s">
        <v>2635</v>
      </c>
      <c r="F235" s="198" t="s">
        <v>2525</v>
      </c>
      <c r="G235" s="198" t="s">
        <v>2525</v>
      </c>
      <c r="H235" s="198" t="s">
        <v>2622</v>
      </c>
      <c r="I235" s="198" t="s">
        <v>1172</v>
      </c>
      <c r="J235" s="225">
        <v>5214687204</v>
      </c>
    </row>
    <row r="236" spans="3:10">
      <c r="C236" s="198" t="s">
        <v>2558</v>
      </c>
      <c r="D236" s="198" t="s">
        <v>2549</v>
      </c>
      <c r="E236" s="198" t="s">
        <v>2646</v>
      </c>
      <c r="F236" s="198" t="s">
        <v>1469</v>
      </c>
      <c r="G236" s="198" t="s">
        <v>1469</v>
      </c>
      <c r="H236" s="198" t="s">
        <v>2622</v>
      </c>
      <c r="I236" s="198" t="s">
        <v>1172</v>
      </c>
      <c r="J236" s="225">
        <v>5060698358</v>
      </c>
    </row>
    <row r="237" spans="3:10">
      <c r="C237" s="198" t="s">
        <v>2558</v>
      </c>
      <c r="D237" s="198" t="s">
        <v>2550</v>
      </c>
      <c r="E237" s="198" t="s">
        <v>2630</v>
      </c>
      <c r="F237" s="198" t="s">
        <v>2525</v>
      </c>
      <c r="G237" s="198" t="s">
        <v>2525</v>
      </c>
      <c r="H237" s="198" t="s">
        <v>2622</v>
      </c>
      <c r="I237" s="198" t="s">
        <v>1172</v>
      </c>
      <c r="J237" s="225">
        <v>2710902736</v>
      </c>
    </row>
    <row r="238" spans="3:10">
      <c r="C238" s="198" t="s">
        <v>2558</v>
      </c>
      <c r="D238" s="198" t="s">
        <v>2551</v>
      </c>
      <c r="E238" s="198" t="s">
        <v>2649</v>
      </c>
      <c r="F238" s="198" t="s">
        <v>1469</v>
      </c>
      <c r="G238" s="198" t="s">
        <v>1469</v>
      </c>
      <c r="H238" s="198" t="s">
        <v>2622</v>
      </c>
      <c r="I238" s="198" t="s">
        <v>1172</v>
      </c>
      <c r="J238" s="225">
        <v>2404676977</v>
      </c>
    </row>
    <row r="239" spans="3:10">
      <c r="C239" s="198" t="s">
        <v>2558</v>
      </c>
      <c r="D239" s="198" t="s">
        <v>2550</v>
      </c>
      <c r="E239" s="198" t="s">
        <v>2634</v>
      </c>
      <c r="F239" s="198" t="s">
        <v>1469</v>
      </c>
      <c r="G239" s="198" t="s">
        <v>1469</v>
      </c>
      <c r="H239" s="198" t="s">
        <v>2622</v>
      </c>
      <c r="I239" s="198" t="s">
        <v>1172</v>
      </c>
      <c r="J239" s="225">
        <v>1272817806</v>
      </c>
    </row>
    <row r="240" spans="3:10">
      <c r="C240" s="198" t="s">
        <v>2558</v>
      </c>
      <c r="D240" s="198" t="s">
        <v>2550</v>
      </c>
      <c r="E240" s="198" t="s">
        <v>2638</v>
      </c>
      <c r="F240" s="198" t="s">
        <v>2525</v>
      </c>
      <c r="G240" s="198" t="s">
        <v>2525</v>
      </c>
      <c r="H240" s="198" t="s">
        <v>2622</v>
      </c>
      <c r="I240" s="198" t="s">
        <v>1172</v>
      </c>
      <c r="J240" s="225">
        <v>1159716473</v>
      </c>
    </row>
    <row r="241" spans="3:10">
      <c r="C241" s="198" t="s">
        <v>2558</v>
      </c>
      <c r="D241" s="198" t="s">
        <v>2554</v>
      </c>
      <c r="E241" s="198" t="s">
        <v>2655</v>
      </c>
      <c r="F241" s="198" t="s">
        <v>2525</v>
      </c>
      <c r="G241" s="198" t="s">
        <v>2525</v>
      </c>
      <c r="H241" s="198" t="s">
        <v>2622</v>
      </c>
      <c r="I241" s="198" t="s">
        <v>1172</v>
      </c>
      <c r="J241" s="225">
        <v>824145628</v>
      </c>
    </row>
    <row r="242" spans="3:10">
      <c r="C242" s="198" t="s">
        <v>2558</v>
      </c>
      <c r="D242" s="198" t="s">
        <v>2551</v>
      </c>
      <c r="E242" s="198" t="s">
        <v>2650</v>
      </c>
      <c r="F242" s="198" t="s">
        <v>1469</v>
      </c>
      <c r="G242" s="198" t="s">
        <v>1469</v>
      </c>
      <c r="H242" s="198" t="s">
        <v>2622</v>
      </c>
      <c r="I242" s="198" t="s">
        <v>1172</v>
      </c>
      <c r="J242" s="225">
        <v>700210162</v>
      </c>
    </row>
    <row r="243" spans="3:10">
      <c r="C243" s="198" t="s">
        <v>2558</v>
      </c>
      <c r="D243" s="198" t="s">
        <v>2549</v>
      </c>
      <c r="E243" s="198" t="s">
        <v>2640</v>
      </c>
      <c r="F243" s="198" t="s">
        <v>2525</v>
      </c>
      <c r="G243" s="198" t="s">
        <v>2525</v>
      </c>
      <c r="H243" s="198" t="s">
        <v>2622</v>
      </c>
      <c r="I243" s="198" t="s">
        <v>1172</v>
      </c>
      <c r="J243" s="225">
        <v>432572906</v>
      </c>
    </row>
    <row r="244" spans="3:10">
      <c r="C244" s="198" t="s">
        <v>2558</v>
      </c>
      <c r="D244" s="198" t="s">
        <v>2695</v>
      </c>
      <c r="E244" s="198" t="s">
        <v>2625</v>
      </c>
      <c r="F244" s="198" t="s">
        <v>1469</v>
      </c>
      <c r="G244" s="198" t="s">
        <v>1469</v>
      </c>
      <c r="H244" s="198" t="s">
        <v>2622</v>
      </c>
      <c r="I244" s="198" t="s">
        <v>1172</v>
      </c>
      <c r="J244" s="225">
        <v>326548863</v>
      </c>
    </row>
    <row r="245" spans="3:10">
      <c r="C245" s="198" t="s">
        <v>2558</v>
      </c>
      <c r="D245" s="198" t="s">
        <v>2552</v>
      </c>
      <c r="E245" s="198" t="s">
        <v>2653</v>
      </c>
      <c r="F245" s="198" t="s">
        <v>1469</v>
      </c>
      <c r="G245" s="198" t="s">
        <v>1469</v>
      </c>
      <c r="H245" s="198" t="s">
        <v>2622</v>
      </c>
      <c r="I245" s="198" t="s">
        <v>1172</v>
      </c>
      <c r="J245" s="225">
        <v>273526547</v>
      </c>
    </row>
    <row r="246" spans="3:10">
      <c r="C246" s="198" t="s">
        <v>2558</v>
      </c>
      <c r="D246" s="198" t="s">
        <v>2549</v>
      </c>
      <c r="E246" s="198" t="s">
        <v>2689</v>
      </c>
      <c r="F246" s="198" t="s">
        <v>1469</v>
      </c>
      <c r="G246" s="198" t="s">
        <v>1469</v>
      </c>
      <c r="H246" s="198" t="s">
        <v>2622</v>
      </c>
      <c r="I246" s="198" t="s">
        <v>1172</v>
      </c>
      <c r="J246" s="225">
        <v>197604113</v>
      </c>
    </row>
    <row r="247" spans="3:10">
      <c r="C247" s="198" t="s">
        <v>2558</v>
      </c>
      <c r="D247" s="198" t="s">
        <v>2550</v>
      </c>
      <c r="E247" s="198" t="s">
        <v>2628</v>
      </c>
      <c r="F247" s="198" t="s">
        <v>2525</v>
      </c>
      <c r="G247" s="198" t="s">
        <v>2525</v>
      </c>
      <c r="H247" s="198" t="s">
        <v>2622</v>
      </c>
      <c r="I247" s="198" t="s">
        <v>1172</v>
      </c>
      <c r="J247" s="225">
        <v>177051978</v>
      </c>
    </row>
    <row r="248" spans="3:10">
      <c r="C248" s="198" t="s">
        <v>2558</v>
      </c>
      <c r="D248" s="198" t="s">
        <v>2549</v>
      </c>
      <c r="E248" s="198" t="s">
        <v>2644</v>
      </c>
      <c r="F248" s="198" t="s">
        <v>1469</v>
      </c>
      <c r="G248" s="198" t="s">
        <v>1469</v>
      </c>
      <c r="H248" s="198" t="s">
        <v>2622</v>
      </c>
      <c r="I248" s="198" t="s">
        <v>1172</v>
      </c>
      <c r="J248" s="225">
        <v>103417232</v>
      </c>
    </row>
    <row r="249" spans="3:10">
      <c r="C249" s="198" t="s">
        <v>2558</v>
      </c>
      <c r="D249" s="198" t="s">
        <v>2553</v>
      </c>
      <c r="E249" s="198" t="s">
        <v>2652</v>
      </c>
      <c r="F249" s="198" t="s">
        <v>1469</v>
      </c>
      <c r="G249" s="198" t="s">
        <v>1469</v>
      </c>
      <c r="H249" s="198" t="s">
        <v>2622</v>
      </c>
      <c r="I249" s="198" t="s">
        <v>1172</v>
      </c>
      <c r="J249" s="225">
        <v>102506250</v>
      </c>
    </row>
    <row r="250" spans="3:10">
      <c r="C250" s="198" t="s">
        <v>2558</v>
      </c>
      <c r="D250" s="198" t="s">
        <v>2555</v>
      </c>
      <c r="E250" s="198" t="s">
        <v>2688</v>
      </c>
      <c r="F250" s="198" t="s">
        <v>2525</v>
      </c>
      <c r="G250" s="198" t="s">
        <v>2525</v>
      </c>
      <c r="H250" s="198" t="s">
        <v>2622</v>
      </c>
      <c r="I250" s="198" t="s">
        <v>1172</v>
      </c>
      <c r="J250" s="225">
        <v>92413440</v>
      </c>
    </row>
    <row r="251" spans="3:10">
      <c r="C251" s="198" t="s">
        <v>2558</v>
      </c>
      <c r="D251" s="198" t="s">
        <v>2549</v>
      </c>
      <c r="E251" s="198" t="s">
        <v>2642</v>
      </c>
      <c r="F251" s="198" t="s">
        <v>1469</v>
      </c>
      <c r="G251" s="198" t="s">
        <v>1469</v>
      </c>
      <c r="H251" s="198" t="s">
        <v>2622</v>
      </c>
      <c r="I251" s="198" t="s">
        <v>1172</v>
      </c>
      <c r="J251" s="225">
        <v>82821682</v>
      </c>
    </row>
    <row r="252" spans="3:10">
      <c r="C252" s="198" t="s">
        <v>2558</v>
      </c>
      <c r="D252" s="198" t="s">
        <v>2695</v>
      </c>
      <c r="E252" s="198" t="s">
        <v>2627</v>
      </c>
      <c r="F252" s="198" t="s">
        <v>1469</v>
      </c>
      <c r="G252" s="198" t="s">
        <v>1469</v>
      </c>
      <c r="H252" s="198" t="s">
        <v>2697</v>
      </c>
      <c r="I252" s="198" t="s">
        <v>1172</v>
      </c>
      <c r="J252" s="225">
        <v>81430000</v>
      </c>
    </row>
    <row r="253" spans="3:10">
      <c r="C253" s="198" t="s">
        <v>2558</v>
      </c>
      <c r="D253" s="198" t="s">
        <v>2549</v>
      </c>
      <c r="E253" s="198" t="s">
        <v>2694</v>
      </c>
      <c r="F253" s="198" t="s">
        <v>1469</v>
      </c>
      <c r="G253" s="198" t="s">
        <v>1469</v>
      </c>
      <c r="H253" s="198" t="s">
        <v>2622</v>
      </c>
      <c r="I253" s="198" t="s">
        <v>1172</v>
      </c>
      <c r="J253" s="225">
        <v>71300044</v>
      </c>
    </row>
    <row r="254" spans="3:10">
      <c r="C254" s="198" t="s">
        <v>2558</v>
      </c>
      <c r="D254" s="198" t="s">
        <v>2549</v>
      </c>
      <c r="E254" s="198" t="s">
        <v>2641</v>
      </c>
      <c r="F254" s="198" t="s">
        <v>1469</v>
      </c>
      <c r="G254" s="198" t="s">
        <v>1469</v>
      </c>
      <c r="H254" s="198" t="s">
        <v>2622</v>
      </c>
      <c r="I254" s="198" t="s">
        <v>1172</v>
      </c>
      <c r="J254" s="225">
        <v>51435059</v>
      </c>
    </row>
    <row r="255" spans="3:10">
      <c r="C255" s="198" t="s">
        <v>2558</v>
      </c>
      <c r="D255" s="198" t="s">
        <v>2549</v>
      </c>
      <c r="E255" s="198" t="s">
        <v>2643</v>
      </c>
      <c r="F255" s="198" t="s">
        <v>1469</v>
      </c>
      <c r="G255" s="198" t="s">
        <v>1469</v>
      </c>
      <c r="H255" s="198" t="s">
        <v>2622</v>
      </c>
      <c r="I255" s="198" t="s">
        <v>1172</v>
      </c>
      <c r="J255" s="225">
        <v>33147645</v>
      </c>
    </row>
    <row r="256" spans="3:10">
      <c r="C256" s="198" t="s">
        <v>2558</v>
      </c>
      <c r="D256" s="198" t="s">
        <v>2549</v>
      </c>
      <c r="E256" s="198" t="s">
        <v>2645</v>
      </c>
      <c r="F256" s="198" t="s">
        <v>1469</v>
      </c>
      <c r="G256" s="198" t="s">
        <v>1469</v>
      </c>
      <c r="H256" s="198" t="s">
        <v>2622</v>
      </c>
      <c r="I256" s="198" t="s">
        <v>1172</v>
      </c>
      <c r="J256" s="225">
        <v>28354930</v>
      </c>
    </row>
    <row r="257" spans="3:10">
      <c r="C257" s="198" t="s">
        <v>2558</v>
      </c>
      <c r="D257" s="198" t="s">
        <v>2550</v>
      </c>
      <c r="E257" s="198" t="s">
        <v>2633</v>
      </c>
      <c r="F257" s="198" t="s">
        <v>2525</v>
      </c>
      <c r="G257" s="198" t="s">
        <v>2525</v>
      </c>
      <c r="H257" s="198" t="s">
        <v>2622</v>
      </c>
      <c r="I257" s="198" t="s">
        <v>1172</v>
      </c>
      <c r="J257" s="225">
        <v>23197229</v>
      </c>
    </row>
    <row r="258" spans="3:10">
      <c r="C258" s="198" t="s">
        <v>2558</v>
      </c>
      <c r="D258" s="198" t="s">
        <v>2695</v>
      </c>
      <c r="E258" s="198" t="s">
        <v>2625</v>
      </c>
      <c r="F258" s="198" t="s">
        <v>1469</v>
      </c>
      <c r="G258" s="198" t="s">
        <v>1469</v>
      </c>
      <c r="H258" s="198" t="s">
        <v>2697</v>
      </c>
      <c r="I258" s="198" t="s">
        <v>1172</v>
      </c>
      <c r="J258" s="225">
        <v>18108890</v>
      </c>
    </row>
    <row r="259" spans="3:10">
      <c r="C259" s="198" t="s">
        <v>2558</v>
      </c>
      <c r="D259" s="198" t="s">
        <v>2552</v>
      </c>
      <c r="E259" s="198" t="s">
        <v>2654</v>
      </c>
      <c r="F259" s="198" t="s">
        <v>2525</v>
      </c>
      <c r="G259" s="198" t="s">
        <v>2525</v>
      </c>
      <c r="H259" s="198" t="s">
        <v>2622</v>
      </c>
      <c r="I259" s="198" t="s">
        <v>1172</v>
      </c>
      <c r="J259" s="225">
        <v>2539000</v>
      </c>
    </row>
    <row r="260" spans="3:10">
      <c r="C260" s="198" t="s">
        <v>2558</v>
      </c>
      <c r="D260" s="198" t="s">
        <v>2550</v>
      </c>
      <c r="E260" s="198" t="s">
        <v>2632</v>
      </c>
      <c r="F260" s="198" t="s">
        <v>2525</v>
      </c>
      <c r="G260" s="198" t="s">
        <v>2525</v>
      </c>
      <c r="H260" s="198" t="s">
        <v>2697</v>
      </c>
      <c r="I260" s="198" t="s">
        <v>1172</v>
      </c>
      <c r="J260" s="225">
        <v>150000</v>
      </c>
    </row>
    <row r="261" spans="3:10">
      <c r="C261" s="198" t="s">
        <v>2558</v>
      </c>
      <c r="D261" s="198" t="s">
        <v>2550</v>
      </c>
      <c r="E261" s="198" t="s">
        <v>2632</v>
      </c>
      <c r="F261" s="198" t="s">
        <v>2525</v>
      </c>
      <c r="G261" s="198" t="s">
        <v>2525</v>
      </c>
      <c r="H261" s="198" t="s">
        <v>2622</v>
      </c>
      <c r="I261" s="198" t="s">
        <v>1172</v>
      </c>
      <c r="J261" s="225">
        <v>150000</v>
      </c>
    </row>
    <row r="262" spans="3:10">
      <c r="C262" s="198" t="s">
        <v>2566</v>
      </c>
      <c r="D262" s="198" t="s">
        <v>2550</v>
      </c>
      <c r="E262" s="198" t="s">
        <v>2635</v>
      </c>
      <c r="F262" s="198" t="s">
        <v>2525</v>
      </c>
      <c r="G262" s="198" t="s">
        <v>2525</v>
      </c>
      <c r="H262" s="198" t="s">
        <v>2622</v>
      </c>
      <c r="I262" s="198" t="s">
        <v>1172</v>
      </c>
      <c r="J262" s="225">
        <v>213380474</v>
      </c>
    </row>
    <row r="263" spans="3:10">
      <c r="C263" s="198" t="s">
        <v>2566</v>
      </c>
      <c r="D263" s="198" t="s">
        <v>2552</v>
      </c>
      <c r="E263" s="198" t="s">
        <v>2653</v>
      </c>
      <c r="F263" s="198" t="s">
        <v>1469</v>
      </c>
      <c r="G263" s="198" t="s">
        <v>1469</v>
      </c>
      <c r="H263" s="198" t="s">
        <v>2622</v>
      </c>
      <c r="I263" s="198" t="s">
        <v>1172</v>
      </c>
      <c r="J263" s="225">
        <v>58024566</v>
      </c>
    </row>
    <row r="264" spans="3:10">
      <c r="C264" s="198" t="s">
        <v>2566</v>
      </c>
      <c r="D264" s="198" t="s">
        <v>2695</v>
      </c>
      <c r="E264" s="198" t="s">
        <v>2625</v>
      </c>
      <c r="F264" s="198" t="s">
        <v>1469</v>
      </c>
      <c r="G264" s="198" t="s">
        <v>1469</v>
      </c>
      <c r="H264" s="198" t="s">
        <v>2622</v>
      </c>
      <c r="I264" s="198" t="s">
        <v>1172</v>
      </c>
      <c r="J264" s="225">
        <v>53837668</v>
      </c>
    </row>
    <row r="265" spans="3:10">
      <c r="C265" s="198" t="s">
        <v>2566</v>
      </c>
      <c r="D265" s="198" t="s">
        <v>2554</v>
      </c>
      <c r="E265" s="198" t="s">
        <v>2655</v>
      </c>
      <c r="F265" s="198" t="s">
        <v>2525</v>
      </c>
      <c r="G265" s="198" t="s">
        <v>2525</v>
      </c>
      <c r="H265" s="198" t="s">
        <v>2622</v>
      </c>
      <c r="I265" s="198" t="s">
        <v>1172</v>
      </c>
      <c r="J265" s="225">
        <v>37915200</v>
      </c>
    </row>
    <row r="266" spans="3:10">
      <c r="C266" s="198" t="s">
        <v>2566</v>
      </c>
      <c r="D266" s="198" t="s">
        <v>2555</v>
      </c>
      <c r="E266" s="198" t="s">
        <v>2688</v>
      </c>
      <c r="F266" s="198" t="s">
        <v>2525</v>
      </c>
      <c r="G266" s="198" t="s">
        <v>2525</v>
      </c>
      <c r="H266" s="198" t="s">
        <v>2622</v>
      </c>
      <c r="I266" s="198" t="s">
        <v>1172</v>
      </c>
      <c r="J266" s="225">
        <v>3530520</v>
      </c>
    </row>
    <row r="267" spans="3:10">
      <c r="C267" s="198" t="s">
        <v>2566</v>
      </c>
      <c r="D267" s="198" t="s">
        <v>2695</v>
      </c>
      <c r="E267" s="198" t="s">
        <v>2627</v>
      </c>
      <c r="F267" s="198" t="s">
        <v>1469</v>
      </c>
      <c r="G267" s="198" t="s">
        <v>1469</v>
      </c>
      <c r="H267" s="198" t="s">
        <v>2622</v>
      </c>
      <c r="I267" s="198" t="s">
        <v>1172</v>
      </c>
      <c r="J267" s="225">
        <v>3145000</v>
      </c>
    </row>
    <row r="268" spans="3:10">
      <c r="C268" s="198" t="s">
        <v>2566</v>
      </c>
      <c r="D268" s="198" t="s">
        <v>2695</v>
      </c>
      <c r="E268" s="198" t="s">
        <v>2626</v>
      </c>
      <c r="F268" s="198" t="s">
        <v>1469</v>
      </c>
      <c r="G268" s="198" t="s">
        <v>1469</v>
      </c>
      <c r="H268" s="198" t="s">
        <v>2622</v>
      </c>
      <c r="I268" s="198" t="s">
        <v>1172</v>
      </c>
      <c r="J268" s="225">
        <v>2500000</v>
      </c>
    </row>
    <row r="269" spans="3:10">
      <c r="C269" s="198" t="s">
        <v>2566</v>
      </c>
      <c r="D269" s="198" t="s">
        <v>2549</v>
      </c>
      <c r="E269" s="198" t="s">
        <v>2646</v>
      </c>
      <c r="F269" s="198" t="s">
        <v>1469</v>
      </c>
      <c r="G269" s="198" t="s">
        <v>1469</v>
      </c>
      <c r="H269" s="198" t="s">
        <v>2622</v>
      </c>
      <c r="I269" s="198" t="s">
        <v>1172</v>
      </c>
      <c r="J269" s="225">
        <v>1912860</v>
      </c>
    </row>
    <row r="270" spans="3:10">
      <c r="C270" s="198" t="s">
        <v>2566</v>
      </c>
      <c r="D270" s="198" t="s">
        <v>2549</v>
      </c>
      <c r="E270" s="198" t="s">
        <v>2640</v>
      </c>
      <c r="F270" s="198" t="s">
        <v>2525</v>
      </c>
      <c r="G270" s="198" t="s">
        <v>2525</v>
      </c>
      <c r="H270" s="198" t="s">
        <v>2622</v>
      </c>
      <c r="I270" s="198" t="s">
        <v>1172</v>
      </c>
      <c r="J270" s="225">
        <v>1596844</v>
      </c>
    </row>
    <row r="271" spans="3:10">
      <c r="C271" s="198" t="s">
        <v>2566</v>
      </c>
      <c r="D271" s="198" t="s">
        <v>2550</v>
      </c>
      <c r="E271" s="198" t="s">
        <v>2633</v>
      </c>
      <c r="F271" s="198" t="s">
        <v>2525</v>
      </c>
      <c r="G271" s="198" t="s">
        <v>2525</v>
      </c>
      <c r="H271" s="198" t="s">
        <v>2622</v>
      </c>
      <c r="I271" s="198" t="s">
        <v>1172</v>
      </c>
      <c r="J271" s="225">
        <v>1494802</v>
      </c>
    </row>
    <row r="272" spans="3:10">
      <c r="C272" s="198" t="s">
        <v>2566</v>
      </c>
      <c r="D272" s="198" t="s">
        <v>2549</v>
      </c>
      <c r="E272" s="198" t="s">
        <v>2645</v>
      </c>
      <c r="F272" s="198" t="s">
        <v>1469</v>
      </c>
      <c r="G272" s="198" t="s">
        <v>1469</v>
      </c>
      <c r="H272" s="198" t="s">
        <v>2622</v>
      </c>
      <c r="I272" s="198" t="s">
        <v>1172</v>
      </c>
      <c r="J272" s="225">
        <v>1062700</v>
      </c>
    </row>
    <row r="273" spans="3:10">
      <c r="C273" s="198" t="s">
        <v>2566</v>
      </c>
      <c r="D273" s="198" t="s">
        <v>2549</v>
      </c>
      <c r="E273" s="198" t="s">
        <v>2694</v>
      </c>
      <c r="F273" s="198" t="s">
        <v>1469</v>
      </c>
      <c r="G273" s="198" t="s">
        <v>1469</v>
      </c>
      <c r="H273" s="198" t="s">
        <v>2622</v>
      </c>
      <c r="I273" s="198" t="s">
        <v>1172</v>
      </c>
      <c r="J273" s="225">
        <v>440378</v>
      </c>
    </row>
    <row r="274" spans="3:10">
      <c r="C274" s="198" t="s">
        <v>2566</v>
      </c>
      <c r="D274" s="198" t="s">
        <v>2549</v>
      </c>
      <c r="E274" s="198" t="s">
        <v>2643</v>
      </c>
      <c r="F274" s="198" t="s">
        <v>1469</v>
      </c>
      <c r="G274" s="198" t="s">
        <v>1469</v>
      </c>
      <c r="H274" s="198" t="s">
        <v>2622</v>
      </c>
      <c r="I274" s="198" t="s">
        <v>1172</v>
      </c>
      <c r="J274" s="225">
        <v>211279</v>
      </c>
    </row>
    <row r="275" spans="3:10">
      <c r="C275" s="198" t="s">
        <v>2566</v>
      </c>
      <c r="D275" s="198" t="s">
        <v>2549</v>
      </c>
      <c r="E275" s="198" t="s">
        <v>2644</v>
      </c>
      <c r="F275" s="198" t="s">
        <v>1469</v>
      </c>
      <c r="G275" s="198" t="s">
        <v>1469</v>
      </c>
      <c r="H275" s="198" t="s">
        <v>2622</v>
      </c>
      <c r="I275" s="198" t="s">
        <v>1172</v>
      </c>
      <c r="J275" s="225">
        <v>159693</v>
      </c>
    </row>
    <row r="276" spans="3:10">
      <c r="C276" s="198" t="s">
        <v>2566</v>
      </c>
      <c r="D276" s="198" t="s">
        <v>2549</v>
      </c>
      <c r="E276" s="198" t="s">
        <v>2689</v>
      </c>
      <c r="F276" s="198" t="s">
        <v>1469</v>
      </c>
      <c r="G276" s="198" t="s">
        <v>1469</v>
      </c>
      <c r="H276" s="198" t="s">
        <v>2622</v>
      </c>
      <c r="I276" s="198" t="s">
        <v>1172</v>
      </c>
      <c r="J276" s="225">
        <v>159684</v>
      </c>
    </row>
    <row r="277" spans="3:10">
      <c r="C277" s="198" t="s">
        <v>2566</v>
      </c>
      <c r="D277" s="198" t="s">
        <v>2549</v>
      </c>
      <c r="E277" s="198" t="s">
        <v>2642</v>
      </c>
      <c r="F277" s="198" t="s">
        <v>1469</v>
      </c>
      <c r="G277" s="198" t="s">
        <v>1469</v>
      </c>
      <c r="H277" s="198" t="s">
        <v>2622</v>
      </c>
      <c r="I277" s="198" t="s">
        <v>1172</v>
      </c>
      <c r="J277" s="225">
        <v>127754</v>
      </c>
    </row>
    <row r="278" spans="3:10">
      <c r="C278" s="198" t="s">
        <v>2566</v>
      </c>
      <c r="D278" s="198" t="s">
        <v>2549</v>
      </c>
      <c r="E278" s="198" t="s">
        <v>2641</v>
      </c>
      <c r="F278" s="198" t="s">
        <v>1469</v>
      </c>
      <c r="G278" s="198" t="s">
        <v>1469</v>
      </c>
      <c r="H278" s="198" t="s">
        <v>2622</v>
      </c>
      <c r="I278" s="198" t="s">
        <v>1172</v>
      </c>
      <c r="J278" s="225">
        <v>79846</v>
      </c>
    </row>
    <row r="279" spans="3:10">
      <c r="C279" s="198" t="s">
        <v>2567</v>
      </c>
      <c r="D279" s="198" t="s">
        <v>2695</v>
      </c>
      <c r="E279" s="198" t="s">
        <v>2624</v>
      </c>
      <c r="F279" s="198" t="s">
        <v>1469</v>
      </c>
      <c r="G279" s="198" t="s">
        <v>1469</v>
      </c>
      <c r="H279" s="198" t="s">
        <v>2802</v>
      </c>
      <c r="I279" s="198" t="s">
        <v>1172</v>
      </c>
      <c r="J279" s="225">
        <v>195266130</v>
      </c>
    </row>
    <row r="280" spans="3:10">
      <c r="C280" s="198" t="s">
        <v>2567</v>
      </c>
      <c r="D280" s="198" t="s">
        <v>2550</v>
      </c>
      <c r="E280" s="198" t="s">
        <v>2635</v>
      </c>
      <c r="F280" s="198" t="s">
        <v>2525</v>
      </c>
      <c r="G280" s="198" t="s">
        <v>2525</v>
      </c>
      <c r="H280" s="198" t="s">
        <v>2802</v>
      </c>
      <c r="I280" s="198" t="s">
        <v>1172</v>
      </c>
      <c r="J280" s="225">
        <v>134072774</v>
      </c>
    </row>
    <row r="281" spans="3:10">
      <c r="C281" s="198" t="s">
        <v>2567</v>
      </c>
      <c r="D281" s="198" t="s">
        <v>2554</v>
      </c>
      <c r="E281" s="198" t="s">
        <v>2655</v>
      </c>
      <c r="F281" s="198" t="s">
        <v>2525</v>
      </c>
      <c r="G281" s="198" t="s">
        <v>2525</v>
      </c>
      <c r="H281" s="198" t="s">
        <v>2802</v>
      </c>
      <c r="I281" s="198" t="s">
        <v>1172</v>
      </c>
      <c r="J281" s="225">
        <v>31038823</v>
      </c>
    </row>
    <row r="282" spans="3:10">
      <c r="C282" s="198" t="s">
        <v>2567</v>
      </c>
      <c r="D282" s="198" t="s">
        <v>2695</v>
      </c>
      <c r="E282" s="198" t="s">
        <v>2627</v>
      </c>
      <c r="F282" s="198" t="s">
        <v>1469</v>
      </c>
      <c r="G282" s="198" t="s">
        <v>1469</v>
      </c>
      <c r="H282" s="198" t="s">
        <v>2802</v>
      </c>
      <c r="I282" s="198" t="s">
        <v>1172</v>
      </c>
      <c r="J282" s="225">
        <v>25000000</v>
      </c>
    </row>
    <row r="283" spans="3:10">
      <c r="C283" s="198" t="s">
        <v>2567</v>
      </c>
      <c r="D283" s="198" t="s">
        <v>2550</v>
      </c>
      <c r="E283" s="198" t="s">
        <v>2632</v>
      </c>
      <c r="F283" s="198" t="s">
        <v>2525</v>
      </c>
      <c r="G283" s="198" t="s">
        <v>2525</v>
      </c>
      <c r="H283" s="198" t="s">
        <v>2802</v>
      </c>
      <c r="I283" s="198" t="s">
        <v>1172</v>
      </c>
      <c r="J283" s="225">
        <v>12176311</v>
      </c>
    </row>
    <row r="284" spans="3:10">
      <c r="C284" s="198" t="s">
        <v>2567</v>
      </c>
      <c r="D284" s="198" t="s">
        <v>2550</v>
      </c>
      <c r="E284" s="198" t="s">
        <v>2630</v>
      </c>
      <c r="F284" s="198" t="s">
        <v>2525</v>
      </c>
      <c r="G284" s="198" t="s">
        <v>2525</v>
      </c>
      <c r="H284" s="198" t="s">
        <v>2802</v>
      </c>
      <c r="I284" s="198" t="s">
        <v>1172</v>
      </c>
      <c r="J284" s="225">
        <v>12074502</v>
      </c>
    </row>
    <row r="285" spans="3:10">
      <c r="C285" s="198" t="s">
        <v>2567</v>
      </c>
      <c r="D285" s="198" t="s">
        <v>2550</v>
      </c>
      <c r="E285" s="198" t="s">
        <v>2633</v>
      </c>
      <c r="F285" s="198" t="s">
        <v>2525</v>
      </c>
      <c r="G285" s="198" t="s">
        <v>2525</v>
      </c>
      <c r="H285" s="198" t="s">
        <v>2802</v>
      </c>
      <c r="I285" s="198" t="s">
        <v>1172</v>
      </c>
      <c r="J285" s="225">
        <v>6601150</v>
      </c>
    </row>
    <row r="286" spans="3:10">
      <c r="C286" s="198" t="s">
        <v>2567</v>
      </c>
      <c r="D286" s="198" t="s">
        <v>2555</v>
      </c>
      <c r="E286" s="198" t="s">
        <v>2688</v>
      </c>
      <c r="F286" s="198" t="s">
        <v>2525</v>
      </c>
      <c r="G286" s="198" t="s">
        <v>2525</v>
      </c>
      <c r="H286" s="198" t="s">
        <v>2802</v>
      </c>
      <c r="I286" s="198" t="s">
        <v>1172</v>
      </c>
      <c r="J286" s="225">
        <v>6194352</v>
      </c>
    </row>
    <row r="287" spans="3:10">
      <c r="C287" s="198" t="s">
        <v>2567</v>
      </c>
      <c r="D287" s="198" t="s">
        <v>2550</v>
      </c>
      <c r="E287" s="198" t="s">
        <v>2631</v>
      </c>
      <c r="F287" s="198" t="s">
        <v>1469</v>
      </c>
      <c r="G287" s="198" t="s">
        <v>1469</v>
      </c>
      <c r="H287" s="198" t="s">
        <v>2802</v>
      </c>
      <c r="I287" s="198" t="s">
        <v>1172</v>
      </c>
      <c r="J287" s="225">
        <v>5000000</v>
      </c>
    </row>
    <row r="288" spans="3:10">
      <c r="C288" s="198" t="s">
        <v>2567</v>
      </c>
      <c r="D288" s="198" t="s">
        <v>2549</v>
      </c>
      <c r="E288" s="198" t="s">
        <v>2646</v>
      </c>
      <c r="F288" s="198" t="s">
        <v>1469</v>
      </c>
      <c r="G288" s="198" t="s">
        <v>1469</v>
      </c>
      <c r="H288" s="198" t="s">
        <v>2802</v>
      </c>
      <c r="I288" s="198" t="s">
        <v>1172</v>
      </c>
      <c r="J288" s="225">
        <v>1726190</v>
      </c>
    </row>
    <row r="289" spans="3:10">
      <c r="C289" s="198" t="s">
        <v>2567</v>
      </c>
      <c r="D289" s="198" t="s">
        <v>2550</v>
      </c>
      <c r="E289" s="198" t="s">
        <v>2634</v>
      </c>
      <c r="F289" s="198" t="s">
        <v>1469</v>
      </c>
      <c r="G289" s="198" t="s">
        <v>1469</v>
      </c>
      <c r="H289" s="198" t="s">
        <v>2802</v>
      </c>
      <c r="I289" s="198" t="s">
        <v>1172</v>
      </c>
      <c r="J289" s="225">
        <v>1122000</v>
      </c>
    </row>
    <row r="290" spans="3:10">
      <c r="C290" s="198" t="s">
        <v>2567</v>
      </c>
      <c r="D290" s="198" t="s">
        <v>2550</v>
      </c>
      <c r="E290" s="198" t="s">
        <v>2638</v>
      </c>
      <c r="F290" s="198" t="s">
        <v>2525</v>
      </c>
      <c r="G290" s="198" t="s">
        <v>2525</v>
      </c>
      <c r="H290" s="198" t="s">
        <v>2802</v>
      </c>
      <c r="I290" s="198" t="s">
        <v>1172</v>
      </c>
      <c r="J290" s="225">
        <v>611960</v>
      </c>
    </row>
    <row r="291" spans="3:10">
      <c r="C291" s="198" t="s">
        <v>2567</v>
      </c>
      <c r="D291" s="198" t="s">
        <v>2549</v>
      </c>
      <c r="E291" s="198" t="s">
        <v>2640</v>
      </c>
      <c r="F291" s="198" t="s">
        <v>2525</v>
      </c>
      <c r="G291" s="198" t="s">
        <v>2525</v>
      </c>
      <c r="H291" s="198" t="s">
        <v>2802</v>
      </c>
      <c r="I291" s="198" t="s">
        <v>1172</v>
      </c>
      <c r="J291" s="225">
        <v>452356</v>
      </c>
    </row>
    <row r="292" spans="3:10">
      <c r="C292" s="198" t="s">
        <v>2567</v>
      </c>
      <c r="D292" s="198" t="s">
        <v>2549</v>
      </c>
      <c r="E292" s="198" t="s">
        <v>2689</v>
      </c>
      <c r="F292" s="198" t="s">
        <v>1469</v>
      </c>
      <c r="G292" s="198" t="s">
        <v>1469</v>
      </c>
      <c r="H292" s="198" t="s">
        <v>2802</v>
      </c>
      <c r="I292" s="198" t="s">
        <v>1172</v>
      </c>
      <c r="J292" s="225">
        <v>180942</v>
      </c>
    </row>
    <row r="293" spans="3:10">
      <c r="C293" s="198" t="s">
        <v>2567</v>
      </c>
      <c r="D293" s="198" t="s">
        <v>2549</v>
      </c>
      <c r="E293" s="198" t="s">
        <v>2644</v>
      </c>
      <c r="F293" s="198" t="s">
        <v>1469</v>
      </c>
      <c r="G293" s="198" t="s">
        <v>1469</v>
      </c>
      <c r="H293" s="198" t="s">
        <v>2802</v>
      </c>
      <c r="I293" s="198" t="s">
        <v>1172</v>
      </c>
      <c r="J293" s="225">
        <v>90471</v>
      </c>
    </row>
    <row r="294" spans="3:10">
      <c r="C294" s="198" t="s">
        <v>2567</v>
      </c>
      <c r="D294" s="198" t="s">
        <v>2549</v>
      </c>
      <c r="E294" s="198" t="s">
        <v>2642</v>
      </c>
      <c r="F294" s="198" t="s">
        <v>1469</v>
      </c>
      <c r="G294" s="198" t="s">
        <v>1469</v>
      </c>
      <c r="H294" s="198" t="s">
        <v>2802</v>
      </c>
      <c r="I294" s="198" t="s">
        <v>1172</v>
      </c>
      <c r="J294" s="225">
        <v>72377</v>
      </c>
    </row>
    <row r="295" spans="3:10">
      <c r="C295" s="198" t="s">
        <v>2567</v>
      </c>
      <c r="D295" s="198" t="s">
        <v>2549</v>
      </c>
      <c r="E295" s="198" t="s">
        <v>2641</v>
      </c>
      <c r="F295" s="198" t="s">
        <v>1469</v>
      </c>
      <c r="G295" s="198" t="s">
        <v>1469</v>
      </c>
      <c r="H295" s="198" t="s">
        <v>2802</v>
      </c>
      <c r="I295" s="198" t="s">
        <v>1172</v>
      </c>
      <c r="J295" s="225">
        <v>45237</v>
      </c>
    </row>
    <row r="296" spans="3:10">
      <c r="C296" s="198" t="s">
        <v>2557</v>
      </c>
      <c r="D296" s="198" t="s">
        <v>2550</v>
      </c>
      <c r="E296" s="198" t="s">
        <v>2638</v>
      </c>
      <c r="F296" s="198" t="s">
        <v>2525</v>
      </c>
      <c r="G296" s="198" t="s">
        <v>2525</v>
      </c>
      <c r="H296" s="198" t="s">
        <v>445</v>
      </c>
      <c r="I296" s="198" t="s">
        <v>1172</v>
      </c>
      <c r="J296" s="225">
        <v>21556374091</v>
      </c>
    </row>
    <row r="297" spans="3:10">
      <c r="C297" s="198" t="s">
        <v>2557</v>
      </c>
      <c r="D297" s="198" t="s">
        <v>2550</v>
      </c>
      <c r="E297" s="198" t="s">
        <v>2636</v>
      </c>
      <c r="F297" s="198" t="s">
        <v>2525</v>
      </c>
      <c r="G297" s="198" t="s">
        <v>2525</v>
      </c>
      <c r="H297" s="198" t="s">
        <v>445</v>
      </c>
      <c r="I297" s="198" t="s">
        <v>1172</v>
      </c>
      <c r="J297" s="225">
        <v>9493045593</v>
      </c>
    </row>
    <row r="298" spans="3:10">
      <c r="C298" s="198" t="s">
        <v>2557</v>
      </c>
      <c r="D298" s="198" t="s">
        <v>2550</v>
      </c>
      <c r="E298" s="198" t="s">
        <v>2639</v>
      </c>
      <c r="F298" s="198" t="s">
        <v>2525</v>
      </c>
      <c r="G298" s="198" t="s">
        <v>2525</v>
      </c>
      <c r="H298" s="198" t="s">
        <v>445</v>
      </c>
      <c r="I298" s="198" t="s">
        <v>1172</v>
      </c>
      <c r="J298" s="225">
        <v>6328697062</v>
      </c>
    </row>
    <row r="299" spans="3:10">
      <c r="C299" s="198" t="s">
        <v>2557</v>
      </c>
      <c r="D299" s="198" t="s">
        <v>2549</v>
      </c>
      <c r="E299" s="198" t="s">
        <v>2646</v>
      </c>
      <c r="F299" s="198" t="s">
        <v>1469</v>
      </c>
      <c r="G299" s="198" t="s">
        <v>1469</v>
      </c>
      <c r="H299" s="198" t="s">
        <v>445</v>
      </c>
      <c r="I299" s="198" t="s">
        <v>1172</v>
      </c>
      <c r="J299" s="225">
        <v>2709552717</v>
      </c>
    </row>
    <row r="300" spans="3:10">
      <c r="C300" s="198" t="s">
        <v>2557</v>
      </c>
      <c r="D300" s="198" t="s">
        <v>2550</v>
      </c>
      <c r="E300" s="198" t="s">
        <v>2635</v>
      </c>
      <c r="F300" s="198" t="s">
        <v>2525</v>
      </c>
      <c r="G300" s="198" t="s">
        <v>2525</v>
      </c>
      <c r="H300" s="198" t="s">
        <v>445</v>
      </c>
      <c r="I300" s="198" t="s">
        <v>1172</v>
      </c>
      <c r="J300" s="225">
        <v>1847117235</v>
      </c>
    </row>
    <row r="301" spans="3:10">
      <c r="C301" s="198" t="s">
        <v>2557</v>
      </c>
      <c r="D301" s="198" t="s">
        <v>2551</v>
      </c>
      <c r="E301" s="198" t="s">
        <v>2648</v>
      </c>
      <c r="F301" s="198" t="s">
        <v>2525</v>
      </c>
      <c r="G301" s="198" t="s">
        <v>2525</v>
      </c>
      <c r="H301" s="198" t="s">
        <v>445</v>
      </c>
      <c r="I301" s="198" t="s">
        <v>1172</v>
      </c>
      <c r="J301" s="225">
        <v>1550000000</v>
      </c>
    </row>
    <row r="302" spans="3:10">
      <c r="C302" s="198" t="s">
        <v>2557</v>
      </c>
      <c r="D302" s="198" t="s">
        <v>2549</v>
      </c>
      <c r="E302" s="198" t="s">
        <v>2640</v>
      </c>
      <c r="F302" s="198" t="s">
        <v>2525</v>
      </c>
      <c r="G302" s="198" t="s">
        <v>2525</v>
      </c>
      <c r="H302" s="198" t="s">
        <v>445</v>
      </c>
      <c r="I302" s="198" t="s">
        <v>1172</v>
      </c>
      <c r="J302" s="225">
        <v>1357055906</v>
      </c>
    </row>
    <row r="303" spans="3:10">
      <c r="C303" s="198" t="s">
        <v>2557</v>
      </c>
      <c r="D303" s="198" t="s">
        <v>2550</v>
      </c>
      <c r="E303" s="198" t="s">
        <v>2632</v>
      </c>
      <c r="F303" s="198" t="s">
        <v>2525</v>
      </c>
      <c r="G303" s="198" t="s">
        <v>2525</v>
      </c>
      <c r="H303" s="198" t="s">
        <v>445</v>
      </c>
      <c r="I303" s="198" t="s">
        <v>1172</v>
      </c>
      <c r="J303" s="225">
        <v>1155508445</v>
      </c>
    </row>
    <row r="304" spans="3:10">
      <c r="C304" s="198" t="s">
        <v>2557</v>
      </c>
      <c r="D304" s="198" t="s">
        <v>2550</v>
      </c>
      <c r="E304" s="198" t="s">
        <v>2631</v>
      </c>
      <c r="F304" s="198" t="s">
        <v>1469</v>
      </c>
      <c r="G304" s="198" t="s">
        <v>1469</v>
      </c>
      <c r="H304" s="198" t="s">
        <v>445</v>
      </c>
      <c r="I304" s="198" t="s">
        <v>1172</v>
      </c>
      <c r="J304" s="225">
        <v>761094240</v>
      </c>
    </row>
    <row r="305" spans="3:10">
      <c r="C305" s="198" t="s">
        <v>2557</v>
      </c>
      <c r="D305" s="198" t="s">
        <v>2549</v>
      </c>
      <c r="E305" s="198" t="s">
        <v>2644</v>
      </c>
      <c r="F305" s="198" t="s">
        <v>1469</v>
      </c>
      <c r="G305" s="198" t="s">
        <v>1469</v>
      </c>
      <c r="H305" s="198" t="s">
        <v>445</v>
      </c>
      <c r="I305" s="198" t="s">
        <v>1172</v>
      </c>
      <c r="J305" s="225">
        <v>613697873</v>
      </c>
    </row>
    <row r="306" spans="3:10">
      <c r="C306" s="198" t="s">
        <v>2557</v>
      </c>
      <c r="D306" s="198" t="s">
        <v>2549</v>
      </c>
      <c r="E306" s="198" t="s">
        <v>2642</v>
      </c>
      <c r="F306" s="198" t="s">
        <v>1469</v>
      </c>
      <c r="G306" s="198" t="s">
        <v>1469</v>
      </c>
      <c r="H306" s="198" t="s">
        <v>445</v>
      </c>
      <c r="I306" s="198" t="s">
        <v>1172</v>
      </c>
      <c r="J306" s="225">
        <v>490911503</v>
      </c>
    </row>
    <row r="307" spans="3:10">
      <c r="C307" s="198" t="s">
        <v>2557</v>
      </c>
      <c r="D307" s="198" t="s">
        <v>2554</v>
      </c>
      <c r="E307" s="198" t="s">
        <v>2655</v>
      </c>
      <c r="F307" s="198" t="s">
        <v>2525</v>
      </c>
      <c r="G307" s="198" t="s">
        <v>2525</v>
      </c>
      <c r="H307" s="198" t="s">
        <v>445</v>
      </c>
      <c r="I307" s="198" t="s">
        <v>1172</v>
      </c>
      <c r="J307" s="225">
        <v>317262160</v>
      </c>
    </row>
    <row r="308" spans="3:10">
      <c r="C308" s="198" t="s">
        <v>2557</v>
      </c>
      <c r="D308" s="198" t="s">
        <v>2549</v>
      </c>
      <c r="E308" s="198" t="s">
        <v>2641</v>
      </c>
      <c r="F308" s="198" t="s">
        <v>1469</v>
      </c>
      <c r="G308" s="198" t="s">
        <v>1469</v>
      </c>
      <c r="H308" s="198" t="s">
        <v>445</v>
      </c>
      <c r="I308" s="198" t="s">
        <v>1172</v>
      </c>
      <c r="J308" s="225">
        <v>306819727</v>
      </c>
    </row>
    <row r="309" spans="3:10">
      <c r="C309" s="198" t="s">
        <v>2557</v>
      </c>
      <c r="D309" s="198" t="s">
        <v>2549</v>
      </c>
      <c r="E309" s="198" t="s">
        <v>2689</v>
      </c>
      <c r="F309" s="198" t="s">
        <v>1469</v>
      </c>
      <c r="G309" s="198" t="s">
        <v>1469</v>
      </c>
      <c r="H309" s="198" t="s">
        <v>445</v>
      </c>
      <c r="I309" s="198" t="s">
        <v>1172</v>
      </c>
      <c r="J309" s="225">
        <v>272370515</v>
      </c>
    </row>
    <row r="310" spans="3:10">
      <c r="C310" s="198" t="s">
        <v>2557</v>
      </c>
      <c r="D310" s="198" t="s">
        <v>2550</v>
      </c>
      <c r="E310" s="198" t="s">
        <v>2637</v>
      </c>
      <c r="F310" s="198" t="s">
        <v>2525</v>
      </c>
      <c r="G310" s="198" t="s">
        <v>2525</v>
      </c>
      <c r="H310" s="198" t="s">
        <v>445</v>
      </c>
      <c r="I310" s="198" t="s">
        <v>1172</v>
      </c>
      <c r="J310" s="225">
        <v>172877911</v>
      </c>
    </row>
    <row r="311" spans="3:10">
      <c r="C311" s="198" t="s">
        <v>2557</v>
      </c>
      <c r="D311" s="198" t="s">
        <v>2695</v>
      </c>
      <c r="E311" s="198" t="s">
        <v>2624</v>
      </c>
      <c r="F311" s="198" t="s">
        <v>1469</v>
      </c>
      <c r="G311" s="198" t="s">
        <v>1469</v>
      </c>
      <c r="H311" s="198" t="s">
        <v>2691</v>
      </c>
      <c r="I311" s="198" t="s">
        <v>1172</v>
      </c>
      <c r="J311" s="225">
        <v>129455503</v>
      </c>
    </row>
    <row r="312" spans="3:10">
      <c r="C312" s="198" t="s">
        <v>2557</v>
      </c>
      <c r="D312" s="198" t="s">
        <v>2550</v>
      </c>
      <c r="E312" s="198" t="s">
        <v>2633</v>
      </c>
      <c r="F312" s="198" t="s">
        <v>2525</v>
      </c>
      <c r="G312" s="198" t="s">
        <v>2525</v>
      </c>
      <c r="H312" s="198" t="s">
        <v>445</v>
      </c>
      <c r="I312" s="198" t="s">
        <v>1172</v>
      </c>
      <c r="J312" s="225">
        <v>75124650</v>
      </c>
    </row>
    <row r="313" spans="3:10">
      <c r="C313" s="198" t="s">
        <v>2557</v>
      </c>
      <c r="D313" s="198" t="s">
        <v>2695</v>
      </c>
      <c r="E313" s="198" t="s">
        <v>2624</v>
      </c>
      <c r="F313" s="198" t="s">
        <v>1469</v>
      </c>
      <c r="G313" s="198" t="s">
        <v>1469</v>
      </c>
      <c r="H313" s="198" t="s">
        <v>2693</v>
      </c>
      <c r="I313" s="198" t="s">
        <v>1172</v>
      </c>
      <c r="J313" s="225">
        <v>58142323</v>
      </c>
    </row>
    <row r="314" spans="3:10">
      <c r="C314" s="198" t="s">
        <v>2557</v>
      </c>
      <c r="D314" s="198" t="s">
        <v>2549</v>
      </c>
      <c r="E314" s="198" t="s">
        <v>2643</v>
      </c>
      <c r="F314" s="198" t="s">
        <v>1469</v>
      </c>
      <c r="G314" s="198" t="s">
        <v>1469</v>
      </c>
      <c r="H314" s="198" t="s">
        <v>445</v>
      </c>
      <c r="I314" s="198" t="s">
        <v>1172</v>
      </c>
      <c r="J314" s="225">
        <v>54293189</v>
      </c>
    </row>
    <row r="315" spans="3:10">
      <c r="C315" s="198" t="s">
        <v>2557</v>
      </c>
      <c r="D315" s="198" t="s">
        <v>2695</v>
      </c>
      <c r="E315" s="198" t="s">
        <v>2624</v>
      </c>
      <c r="F315" s="198" t="s">
        <v>1469</v>
      </c>
      <c r="G315" s="198" t="s">
        <v>1469</v>
      </c>
      <c r="H315" s="198" t="s">
        <v>2692</v>
      </c>
      <c r="I315" s="198" t="s">
        <v>1172</v>
      </c>
      <c r="J315" s="225">
        <v>37466354</v>
      </c>
    </row>
    <row r="316" spans="3:10">
      <c r="C316" s="198" t="s">
        <v>2557</v>
      </c>
      <c r="D316" s="198" t="s">
        <v>2555</v>
      </c>
      <c r="E316" s="198" t="s">
        <v>2688</v>
      </c>
      <c r="F316" s="198" t="s">
        <v>2525</v>
      </c>
      <c r="G316" s="198" t="s">
        <v>2525</v>
      </c>
      <c r="H316" s="198" t="s">
        <v>445</v>
      </c>
      <c r="I316" s="198" t="s">
        <v>1172</v>
      </c>
      <c r="J316" s="225">
        <v>32764933</v>
      </c>
    </row>
    <row r="317" spans="3:10">
      <c r="C317" s="198" t="s">
        <v>2557</v>
      </c>
      <c r="D317" s="198" t="s">
        <v>2551</v>
      </c>
      <c r="E317" s="198" t="s">
        <v>2647</v>
      </c>
      <c r="F317" s="198" t="s">
        <v>1469</v>
      </c>
      <c r="G317" s="198" t="s">
        <v>1469</v>
      </c>
      <c r="H317" s="198" t="s">
        <v>2691</v>
      </c>
      <c r="I317" s="198" t="s">
        <v>1172</v>
      </c>
      <c r="J317" s="225">
        <v>27443386</v>
      </c>
    </row>
    <row r="318" spans="3:10">
      <c r="C318" s="198" t="s">
        <v>2557</v>
      </c>
      <c r="D318" s="198" t="s">
        <v>2695</v>
      </c>
      <c r="E318" s="198" t="s">
        <v>2627</v>
      </c>
      <c r="F318" s="198" t="s">
        <v>1469</v>
      </c>
      <c r="G318" s="198" t="s">
        <v>1469</v>
      </c>
      <c r="H318" s="198" t="s">
        <v>2803</v>
      </c>
      <c r="I318" s="198" t="s">
        <v>1172</v>
      </c>
      <c r="J318" s="225">
        <v>11250000</v>
      </c>
    </row>
    <row r="319" spans="3:10">
      <c r="C319" s="198" t="s">
        <v>2557</v>
      </c>
      <c r="D319" s="198" t="s">
        <v>2551</v>
      </c>
      <c r="E319" s="198" t="s">
        <v>2647</v>
      </c>
      <c r="F319" s="198" t="s">
        <v>1469</v>
      </c>
      <c r="G319" s="198" t="s">
        <v>1469</v>
      </c>
      <c r="H319" s="198" t="s">
        <v>2804</v>
      </c>
      <c r="I319" s="198" t="s">
        <v>1172</v>
      </c>
      <c r="J319" s="225">
        <v>10000000</v>
      </c>
    </row>
    <row r="320" spans="3:10">
      <c r="C320" s="198" t="s">
        <v>2557</v>
      </c>
      <c r="D320" s="198" t="s">
        <v>2550</v>
      </c>
      <c r="E320" s="198" t="s">
        <v>2628</v>
      </c>
      <c r="F320" s="198" t="s">
        <v>2525</v>
      </c>
      <c r="G320" s="198" t="s">
        <v>2525</v>
      </c>
      <c r="H320" s="198" t="s">
        <v>445</v>
      </c>
      <c r="I320" s="198" t="s">
        <v>1172</v>
      </c>
      <c r="J320" s="225">
        <v>10000000</v>
      </c>
    </row>
    <row r="321" spans="3:10">
      <c r="C321" s="198" t="s">
        <v>2557</v>
      </c>
      <c r="D321" s="198" t="s">
        <v>2553</v>
      </c>
      <c r="E321" s="198" t="s">
        <v>2658</v>
      </c>
      <c r="F321" s="198" t="s">
        <v>2525</v>
      </c>
      <c r="G321" s="198" t="s">
        <v>2525</v>
      </c>
      <c r="H321" s="198" t="s">
        <v>445</v>
      </c>
      <c r="I321" s="198" t="s">
        <v>1172</v>
      </c>
      <c r="J321" s="225">
        <v>9413652</v>
      </c>
    </row>
    <row r="322" spans="3:10">
      <c r="C322" s="198" t="s">
        <v>2557</v>
      </c>
      <c r="D322" s="198" t="s">
        <v>2551</v>
      </c>
      <c r="E322" s="198" t="s">
        <v>2647</v>
      </c>
      <c r="F322" s="198" t="s">
        <v>1469</v>
      </c>
      <c r="G322" s="198" t="s">
        <v>1469</v>
      </c>
      <c r="H322" s="198" t="s">
        <v>2805</v>
      </c>
      <c r="I322" s="198" t="s">
        <v>1172</v>
      </c>
      <c r="J322" s="225">
        <v>8935907</v>
      </c>
    </row>
    <row r="323" spans="3:10">
      <c r="C323" s="198" t="s">
        <v>2557</v>
      </c>
      <c r="D323" s="198" t="s">
        <v>2695</v>
      </c>
      <c r="E323" s="198" t="s">
        <v>2624</v>
      </c>
      <c r="F323" s="198" t="s">
        <v>1469</v>
      </c>
      <c r="G323" s="198" t="s">
        <v>1469</v>
      </c>
      <c r="H323" s="198" t="s">
        <v>2690</v>
      </c>
      <c r="I323" s="198" t="s">
        <v>1172</v>
      </c>
      <c r="J323" s="225">
        <v>6248967</v>
      </c>
    </row>
    <row r="324" spans="3:10">
      <c r="C324" s="198" t="s">
        <v>2557</v>
      </c>
      <c r="D324" s="198" t="s">
        <v>2550</v>
      </c>
      <c r="E324" s="198" t="s">
        <v>2630</v>
      </c>
      <c r="F324" s="198" t="s">
        <v>2525</v>
      </c>
      <c r="G324" s="198" t="s">
        <v>2525</v>
      </c>
      <c r="H324" s="198" t="s">
        <v>445</v>
      </c>
      <c r="I324" s="198" t="s">
        <v>1172</v>
      </c>
      <c r="J324" s="225">
        <v>6133626</v>
      </c>
    </row>
    <row r="325" spans="3:10">
      <c r="C325" s="198" t="s">
        <v>2557</v>
      </c>
      <c r="D325" s="198" t="s">
        <v>2695</v>
      </c>
      <c r="E325" s="198" t="s">
        <v>2626</v>
      </c>
      <c r="F325" s="198" t="s">
        <v>1469</v>
      </c>
      <c r="G325" s="198" t="s">
        <v>1469</v>
      </c>
      <c r="H325" s="198" t="s">
        <v>2803</v>
      </c>
      <c r="I325" s="198" t="s">
        <v>1172</v>
      </c>
      <c r="J325" s="225">
        <v>5000000</v>
      </c>
    </row>
    <row r="326" spans="3:10">
      <c r="C326" s="198" t="s">
        <v>2557</v>
      </c>
      <c r="D326" s="198" t="s">
        <v>2695</v>
      </c>
      <c r="E326" s="198" t="s">
        <v>2627</v>
      </c>
      <c r="F326" s="198" t="s">
        <v>1469</v>
      </c>
      <c r="G326" s="198" t="s">
        <v>1469</v>
      </c>
      <c r="H326" s="198" t="s">
        <v>2693</v>
      </c>
      <c r="I326" s="198" t="s">
        <v>1172</v>
      </c>
      <c r="J326" s="225">
        <v>4750000</v>
      </c>
    </row>
    <row r="327" spans="3:10">
      <c r="C327" s="198" t="s">
        <v>2557</v>
      </c>
      <c r="D327" s="198" t="s">
        <v>2695</v>
      </c>
      <c r="E327" s="198" t="s">
        <v>2627</v>
      </c>
      <c r="F327" s="198" t="s">
        <v>1469</v>
      </c>
      <c r="G327" s="198" t="s">
        <v>1469</v>
      </c>
      <c r="H327" s="198" t="s">
        <v>2690</v>
      </c>
      <c r="I327" s="198" t="s">
        <v>1172</v>
      </c>
      <c r="J327" s="225">
        <v>2576150</v>
      </c>
    </row>
    <row r="328" spans="3:10">
      <c r="C328" s="198" t="s">
        <v>2557</v>
      </c>
      <c r="D328" s="198" t="s">
        <v>2695</v>
      </c>
      <c r="E328" s="198" t="s">
        <v>2627</v>
      </c>
      <c r="F328" s="198" t="s">
        <v>1469</v>
      </c>
      <c r="G328" s="198" t="s">
        <v>1469</v>
      </c>
      <c r="H328" s="198" t="s">
        <v>2692</v>
      </c>
      <c r="I328" s="198" t="s">
        <v>1172</v>
      </c>
      <c r="J328" s="225">
        <v>1500000</v>
      </c>
    </row>
    <row r="329" spans="3:10">
      <c r="C329" s="198" t="s">
        <v>2570</v>
      </c>
      <c r="D329" s="198" t="s">
        <v>2550</v>
      </c>
      <c r="E329" s="198" t="s">
        <v>2638</v>
      </c>
      <c r="F329" s="198" t="s">
        <v>2525</v>
      </c>
      <c r="G329" s="198" t="s">
        <v>2525</v>
      </c>
      <c r="H329" s="198" t="s">
        <v>445</v>
      </c>
      <c r="I329" s="198" t="s">
        <v>1172</v>
      </c>
      <c r="J329" s="225">
        <v>492990078</v>
      </c>
    </row>
    <row r="330" spans="3:10">
      <c r="C330" s="198" t="s">
        <v>2570</v>
      </c>
      <c r="D330" s="198" t="s">
        <v>2550</v>
      </c>
      <c r="E330" s="198" t="s">
        <v>2635</v>
      </c>
      <c r="F330" s="198" t="s">
        <v>2525</v>
      </c>
      <c r="G330" s="198" t="s">
        <v>2525</v>
      </c>
      <c r="H330" s="198" t="s">
        <v>445</v>
      </c>
      <c r="I330" s="198" t="s">
        <v>1172</v>
      </c>
      <c r="J330" s="225">
        <v>200149930</v>
      </c>
    </row>
    <row r="331" spans="3:10">
      <c r="C331" s="198" t="s">
        <v>2570</v>
      </c>
      <c r="D331" s="198" t="s">
        <v>2554</v>
      </c>
      <c r="E331" s="198" t="s">
        <v>2655</v>
      </c>
      <c r="F331" s="198" t="s">
        <v>2525</v>
      </c>
      <c r="G331" s="198" t="s">
        <v>2525</v>
      </c>
      <c r="H331" s="198" t="s">
        <v>445</v>
      </c>
      <c r="I331" s="198" t="s">
        <v>1172</v>
      </c>
      <c r="J331" s="225">
        <v>97106990</v>
      </c>
    </row>
    <row r="332" spans="3:10">
      <c r="C332" s="198" t="s">
        <v>2570</v>
      </c>
      <c r="D332" s="198" t="s">
        <v>2550</v>
      </c>
      <c r="E332" s="198" t="s">
        <v>2632</v>
      </c>
      <c r="F332" s="198" t="s">
        <v>2525</v>
      </c>
      <c r="G332" s="198" t="s">
        <v>2525</v>
      </c>
      <c r="H332" s="198" t="s">
        <v>445</v>
      </c>
      <c r="I332" s="198" t="s">
        <v>1172</v>
      </c>
      <c r="J332" s="225">
        <v>85260159</v>
      </c>
    </row>
    <row r="333" spans="3:10">
      <c r="C333" s="198" t="s">
        <v>2570</v>
      </c>
      <c r="D333" s="198" t="s">
        <v>2550</v>
      </c>
      <c r="E333" s="198" t="s">
        <v>2637</v>
      </c>
      <c r="F333" s="198" t="s">
        <v>2525</v>
      </c>
      <c r="G333" s="198" t="s">
        <v>2525</v>
      </c>
      <c r="H333" s="198" t="s">
        <v>445</v>
      </c>
      <c r="I333" s="198" t="s">
        <v>1172</v>
      </c>
      <c r="J333" s="225">
        <v>14895043</v>
      </c>
    </row>
    <row r="334" spans="3:10">
      <c r="C334" s="198" t="s">
        <v>2570</v>
      </c>
      <c r="D334" s="198" t="s">
        <v>2549</v>
      </c>
      <c r="E334" s="198" t="s">
        <v>2640</v>
      </c>
      <c r="F334" s="198" t="s">
        <v>2525</v>
      </c>
      <c r="G334" s="198" t="s">
        <v>2525</v>
      </c>
      <c r="H334" s="198" t="s">
        <v>445</v>
      </c>
      <c r="I334" s="198" t="s">
        <v>1172</v>
      </c>
      <c r="J334" s="225">
        <v>14186600</v>
      </c>
    </row>
    <row r="335" spans="3:10">
      <c r="C335" s="198" t="s">
        <v>2570</v>
      </c>
      <c r="D335" s="198" t="s">
        <v>2549</v>
      </c>
      <c r="E335" s="198" t="s">
        <v>2646</v>
      </c>
      <c r="F335" s="198" t="s">
        <v>1469</v>
      </c>
      <c r="G335" s="198" t="s">
        <v>1469</v>
      </c>
      <c r="H335" s="198" t="s">
        <v>445</v>
      </c>
      <c r="I335" s="198" t="s">
        <v>1172</v>
      </c>
      <c r="J335" s="225">
        <v>13057911</v>
      </c>
    </row>
    <row r="336" spans="3:10">
      <c r="C336" s="198" t="s">
        <v>2570</v>
      </c>
      <c r="D336" s="198" t="s">
        <v>2555</v>
      </c>
      <c r="E336" s="198" t="s">
        <v>2688</v>
      </c>
      <c r="F336" s="198" t="s">
        <v>2525</v>
      </c>
      <c r="G336" s="198" t="s">
        <v>2525</v>
      </c>
      <c r="H336" s="198" t="s">
        <v>445</v>
      </c>
      <c r="I336" s="198" t="s">
        <v>1172</v>
      </c>
      <c r="J336" s="225">
        <v>7560001</v>
      </c>
    </row>
    <row r="337" spans="3:10">
      <c r="C337" s="198" t="s">
        <v>2570</v>
      </c>
      <c r="D337" s="198" t="s">
        <v>2550</v>
      </c>
      <c r="E337" s="198" t="s">
        <v>2630</v>
      </c>
      <c r="F337" s="198" t="s">
        <v>2525</v>
      </c>
      <c r="G337" s="198" t="s">
        <v>2525</v>
      </c>
      <c r="H337" s="198" t="s">
        <v>445</v>
      </c>
      <c r="I337" s="198" t="s">
        <v>1172</v>
      </c>
      <c r="J337" s="225">
        <v>6623580</v>
      </c>
    </row>
    <row r="338" spans="3:10">
      <c r="C338" s="198" t="s">
        <v>2570</v>
      </c>
      <c r="D338" s="198" t="s">
        <v>2550</v>
      </c>
      <c r="E338" s="198" t="s">
        <v>2631</v>
      </c>
      <c r="F338" s="198" t="s">
        <v>1469</v>
      </c>
      <c r="G338" s="198" t="s">
        <v>1469</v>
      </c>
      <c r="H338" s="198" t="s">
        <v>445</v>
      </c>
      <c r="I338" s="198" t="s">
        <v>1172</v>
      </c>
      <c r="J338" s="225">
        <v>5000000</v>
      </c>
    </row>
    <row r="339" spans="3:10">
      <c r="C339" s="198" t="s">
        <v>2570</v>
      </c>
      <c r="D339" s="198" t="s">
        <v>2550</v>
      </c>
      <c r="E339" s="198" t="s">
        <v>2633</v>
      </c>
      <c r="F339" s="198" t="s">
        <v>2525</v>
      </c>
      <c r="G339" s="198" t="s">
        <v>2525</v>
      </c>
      <c r="H339" s="198" t="s">
        <v>445</v>
      </c>
      <c r="I339" s="198" t="s">
        <v>1172</v>
      </c>
      <c r="J339" s="225">
        <v>1941087</v>
      </c>
    </row>
    <row r="340" spans="3:10">
      <c r="C340" s="198" t="s">
        <v>2570</v>
      </c>
      <c r="D340" s="198" t="s">
        <v>2549</v>
      </c>
      <c r="E340" s="198" t="s">
        <v>2689</v>
      </c>
      <c r="F340" s="198" t="s">
        <v>1469</v>
      </c>
      <c r="G340" s="198" t="s">
        <v>1469</v>
      </c>
      <c r="H340" s="198" t="s">
        <v>445</v>
      </c>
      <c r="I340" s="198" t="s">
        <v>1172</v>
      </c>
      <c r="J340" s="225">
        <v>1155591</v>
      </c>
    </row>
    <row r="341" spans="3:10">
      <c r="C341" s="198" t="s">
        <v>2570</v>
      </c>
      <c r="D341" s="198" t="s">
        <v>2549</v>
      </c>
      <c r="E341" s="198" t="s">
        <v>2645</v>
      </c>
      <c r="F341" s="198" t="s">
        <v>1469</v>
      </c>
      <c r="G341" s="198" t="s">
        <v>1469</v>
      </c>
      <c r="H341" s="198" t="s">
        <v>445</v>
      </c>
      <c r="I341" s="198" t="s">
        <v>1172</v>
      </c>
      <c r="J341" s="225">
        <v>1113131</v>
      </c>
    </row>
    <row r="342" spans="3:10">
      <c r="C342" s="198" t="s">
        <v>2570</v>
      </c>
      <c r="D342" s="198" t="s">
        <v>2549</v>
      </c>
      <c r="E342" s="198" t="s">
        <v>2644</v>
      </c>
      <c r="F342" s="198" t="s">
        <v>1469</v>
      </c>
      <c r="G342" s="198" t="s">
        <v>1469</v>
      </c>
      <c r="H342" s="198" t="s">
        <v>445</v>
      </c>
      <c r="I342" s="198" t="s">
        <v>1172</v>
      </c>
      <c r="J342" s="225">
        <v>577795</v>
      </c>
    </row>
    <row r="343" spans="3:10">
      <c r="C343" s="198" t="s">
        <v>2570</v>
      </c>
      <c r="D343" s="198" t="s">
        <v>2549</v>
      </c>
      <c r="E343" s="198" t="s">
        <v>2642</v>
      </c>
      <c r="F343" s="198" t="s">
        <v>1469</v>
      </c>
      <c r="G343" s="198" t="s">
        <v>1469</v>
      </c>
      <c r="H343" s="198" t="s">
        <v>445</v>
      </c>
      <c r="I343" s="198" t="s">
        <v>1172</v>
      </c>
      <c r="J343" s="225">
        <v>462237</v>
      </c>
    </row>
    <row r="344" spans="3:10">
      <c r="C344" s="198" t="s">
        <v>2570</v>
      </c>
      <c r="D344" s="198" t="s">
        <v>2549</v>
      </c>
      <c r="E344" s="198" t="s">
        <v>2694</v>
      </c>
      <c r="F344" s="198" t="s">
        <v>1469</v>
      </c>
      <c r="G344" s="198" t="s">
        <v>1469</v>
      </c>
      <c r="H344" s="198" t="s">
        <v>445</v>
      </c>
      <c r="I344" s="198" t="s">
        <v>1172</v>
      </c>
      <c r="J344" s="225">
        <v>315720</v>
      </c>
    </row>
    <row r="345" spans="3:10">
      <c r="C345" s="198" t="s">
        <v>2570</v>
      </c>
      <c r="D345" s="198" t="s">
        <v>2549</v>
      </c>
      <c r="E345" s="198" t="s">
        <v>2641</v>
      </c>
      <c r="F345" s="198" t="s">
        <v>1469</v>
      </c>
      <c r="G345" s="198" t="s">
        <v>1469</v>
      </c>
      <c r="H345" s="198" t="s">
        <v>445</v>
      </c>
      <c r="I345" s="198" t="s">
        <v>1172</v>
      </c>
      <c r="J345" s="225">
        <v>288898</v>
      </c>
    </row>
    <row r="346" spans="3:10">
      <c r="C346" s="198" t="s">
        <v>2564</v>
      </c>
      <c r="D346" s="198" t="s">
        <v>2695</v>
      </c>
      <c r="E346" s="198" t="s">
        <v>2624</v>
      </c>
      <c r="F346" s="198" t="s">
        <v>1469</v>
      </c>
      <c r="G346" s="198" t="s">
        <v>1469</v>
      </c>
      <c r="H346" s="198" t="s">
        <v>2806</v>
      </c>
      <c r="I346" s="198" t="s">
        <v>1172</v>
      </c>
      <c r="J346" s="225">
        <v>554501495</v>
      </c>
    </row>
    <row r="347" spans="3:10">
      <c r="C347" s="198" t="s">
        <v>2564</v>
      </c>
      <c r="D347" s="198" t="s">
        <v>2550</v>
      </c>
      <c r="E347" s="198" t="s">
        <v>2635</v>
      </c>
      <c r="F347" s="198" t="s">
        <v>2525</v>
      </c>
      <c r="G347" s="198" t="s">
        <v>2525</v>
      </c>
      <c r="H347" s="198" t="s">
        <v>2806</v>
      </c>
      <c r="I347" s="198" t="s">
        <v>1172</v>
      </c>
      <c r="J347" s="225">
        <v>497867403</v>
      </c>
    </row>
    <row r="348" spans="3:10">
      <c r="C348" s="198" t="s">
        <v>2564</v>
      </c>
      <c r="D348" s="198" t="s">
        <v>2549</v>
      </c>
      <c r="E348" s="198" t="s">
        <v>2646</v>
      </c>
      <c r="F348" s="198" t="s">
        <v>1469</v>
      </c>
      <c r="G348" s="198" t="s">
        <v>1469</v>
      </c>
      <c r="H348" s="198" t="s">
        <v>2806</v>
      </c>
      <c r="I348" s="198" t="s">
        <v>1172</v>
      </c>
      <c r="J348" s="225">
        <v>211601140</v>
      </c>
    </row>
    <row r="349" spans="3:10">
      <c r="C349" s="198" t="s">
        <v>2564</v>
      </c>
      <c r="D349" s="198" t="s">
        <v>2550</v>
      </c>
      <c r="E349" s="198" t="s">
        <v>2634</v>
      </c>
      <c r="F349" s="198" t="s">
        <v>1469</v>
      </c>
      <c r="G349" s="198" t="s">
        <v>1469</v>
      </c>
      <c r="H349" s="198" t="s">
        <v>2806</v>
      </c>
      <c r="I349" s="198" t="s">
        <v>1172</v>
      </c>
      <c r="J349" s="225">
        <v>174396334</v>
      </c>
    </row>
    <row r="350" spans="3:10">
      <c r="C350" s="198" t="s">
        <v>2564</v>
      </c>
      <c r="D350" s="198" t="s">
        <v>2554</v>
      </c>
      <c r="E350" s="198" t="s">
        <v>2655</v>
      </c>
      <c r="F350" s="198" t="s">
        <v>2525</v>
      </c>
      <c r="G350" s="198" t="s">
        <v>2525</v>
      </c>
      <c r="H350" s="198" t="s">
        <v>2806</v>
      </c>
      <c r="I350" s="198" t="s">
        <v>1172</v>
      </c>
      <c r="J350" s="225">
        <v>112743394</v>
      </c>
    </row>
    <row r="351" spans="3:10">
      <c r="C351" s="198" t="s">
        <v>2564</v>
      </c>
      <c r="D351" s="198" t="s">
        <v>2549</v>
      </c>
      <c r="E351" s="198" t="s">
        <v>2640</v>
      </c>
      <c r="F351" s="198" t="s">
        <v>2525</v>
      </c>
      <c r="G351" s="198" t="s">
        <v>2525</v>
      </c>
      <c r="H351" s="198" t="s">
        <v>2806</v>
      </c>
      <c r="I351" s="198" t="s">
        <v>1172</v>
      </c>
      <c r="J351" s="225">
        <v>79588906</v>
      </c>
    </row>
    <row r="352" spans="3:10">
      <c r="C352" s="198" t="s">
        <v>2564</v>
      </c>
      <c r="D352" s="198" t="s">
        <v>2550</v>
      </c>
      <c r="E352" s="198" t="s">
        <v>2628</v>
      </c>
      <c r="F352" s="198" t="s">
        <v>2525</v>
      </c>
      <c r="G352" s="198" t="s">
        <v>2525</v>
      </c>
      <c r="H352" s="198" t="s">
        <v>2806</v>
      </c>
      <c r="I352" s="198" t="s">
        <v>1172</v>
      </c>
      <c r="J352" s="225">
        <v>50000000</v>
      </c>
    </row>
    <row r="353" spans="3:10">
      <c r="C353" s="198" t="s">
        <v>2564</v>
      </c>
      <c r="D353" s="198" t="s">
        <v>2549</v>
      </c>
      <c r="E353" s="198" t="s">
        <v>2694</v>
      </c>
      <c r="F353" s="198" t="s">
        <v>1469</v>
      </c>
      <c r="G353" s="198" t="s">
        <v>1469</v>
      </c>
      <c r="H353" s="198" t="s">
        <v>2806</v>
      </c>
      <c r="I353" s="198" t="s">
        <v>1172</v>
      </c>
      <c r="J353" s="225">
        <v>34130829</v>
      </c>
    </row>
    <row r="354" spans="3:10">
      <c r="C354" s="198" t="s">
        <v>2564</v>
      </c>
      <c r="D354" s="198" t="s">
        <v>2555</v>
      </c>
      <c r="E354" s="198" t="s">
        <v>2688</v>
      </c>
      <c r="F354" s="198" t="s">
        <v>2525</v>
      </c>
      <c r="G354" s="198" t="s">
        <v>2525</v>
      </c>
      <c r="H354" s="198" t="s">
        <v>2806</v>
      </c>
      <c r="I354" s="198" t="s">
        <v>1172</v>
      </c>
      <c r="J354" s="225">
        <v>33471214</v>
      </c>
    </row>
    <row r="355" spans="3:10">
      <c r="C355" s="198" t="s">
        <v>2564</v>
      </c>
      <c r="D355" s="198" t="s">
        <v>2549</v>
      </c>
      <c r="E355" s="198" t="s">
        <v>2644</v>
      </c>
      <c r="F355" s="198" t="s">
        <v>1469</v>
      </c>
      <c r="G355" s="198" t="s">
        <v>1469</v>
      </c>
      <c r="H355" s="198" t="s">
        <v>2806</v>
      </c>
      <c r="I355" s="198" t="s">
        <v>1172</v>
      </c>
      <c r="J355" s="225">
        <v>22996508</v>
      </c>
    </row>
    <row r="356" spans="3:10">
      <c r="C356" s="198" t="s">
        <v>2564</v>
      </c>
      <c r="D356" s="198" t="s">
        <v>2549</v>
      </c>
      <c r="E356" s="198" t="s">
        <v>2689</v>
      </c>
      <c r="F356" s="198" t="s">
        <v>1469</v>
      </c>
      <c r="G356" s="198" t="s">
        <v>1469</v>
      </c>
      <c r="H356" s="198" t="s">
        <v>2806</v>
      </c>
      <c r="I356" s="198" t="s">
        <v>1172</v>
      </c>
      <c r="J356" s="225">
        <v>21729107</v>
      </c>
    </row>
    <row r="357" spans="3:10">
      <c r="C357" s="198" t="s">
        <v>2564</v>
      </c>
      <c r="D357" s="198" t="s">
        <v>2549</v>
      </c>
      <c r="E357" s="198" t="s">
        <v>2645</v>
      </c>
      <c r="F357" s="198" t="s">
        <v>1469</v>
      </c>
      <c r="G357" s="198" t="s">
        <v>1469</v>
      </c>
      <c r="H357" s="198" t="s">
        <v>2806</v>
      </c>
      <c r="I357" s="198" t="s">
        <v>1172</v>
      </c>
      <c r="J357" s="225">
        <v>19050906</v>
      </c>
    </row>
    <row r="358" spans="3:10">
      <c r="C358" s="198" t="s">
        <v>2564</v>
      </c>
      <c r="D358" s="198" t="s">
        <v>2549</v>
      </c>
      <c r="E358" s="198" t="s">
        <v>2642</v>
      </c>
      <c r="F358" s="198" t="s">
        <v>1469</v>
      </c>
      <c r="G358" s="198" t="s">
        <v>1469</v>
      </c>
      <c r="H358" s="198" t="s">
        <v>2806</v>
      </c>
      <c r="I358" s="198" t="s">
        <v>1172</v>
      </c>
      <c r="J358" s="225">
        <v>17635420</v>
      </c>
    </row>
    <row r="359" spans="3:10">
      <c r="C359" s="198" t="s">
        <v>2564</v>
      </c>
      <c r="D359" s="198" t="s">
        <v>2550</v>
      </c>
      <c r="E359" s="198" t="s">
        <v>2630</v>
      </c>
      <c r="F359" s="198" t="s">
        <v>2525</v>
      </c>
      <c r="G359" s="198" t="s">
        <v>2525</v>
      </c>
      <c r="H359" s="198" t="s">
        <v>2806</v>
      </c>
      <c r="I359" s="198" t="s">
        <v>1172</v>
      </c>
      <c r="J359" s="225">
        <v>17082645</v>
      </c>
    </row>
    <row r="360" spans="3:10">
      <c r="C360" s="198" t="s">
        <v>2564</v>
      </c>
      <c r="D360" s="198" t="s">
        <v>2549</v>
      </c>
      <c r="E360" s="198" t="s">
        <v>2641</v>
      </c>
      <c r="F360" s="198" t="s">
        <v>1469</v>
      </c>
      <c r="G360" s="198" t="s">
        <v>1469</v>
      </c>
      <c r="H360" s="198" t="s">
        <v>2806</v>
      </c>
      <c r="I360" s="198" t="s">
        <v>1172</v>
      </c>
      <c r="J360" s="225">
        <v>11022141</v>
      </c>
    </row>
    <row r="361" spans="3:10">
      <c r="C361" s="198" t="s">
        <v>2564</v>
      </c>
      <c r="D361" s="198" t="s">
        <v>2550</v>
      </c>
      <c r="E361" s="198" t="s">
        <v>2637</v>
      </c>
      <c r="F361" s="198" t="s">
        <v>2525</v>
      </c>
      <c r="G361" s="198" t="s">
        <v>2525</v>
      </c>
      <c r="H361" s="198" t="s">
        <v>2806</v>
      </c>
      <c r="I361" s="198" t="s">
        <v>1172</v>
      </c>
      <c r="J361" s="225">
        <v>6991325</v>
      </c>
    </row>
    <row r="362" spans="3:10">
      <c r="C362" s="198" t="s">
        <v>2564</v>
      </c>
      <c r="D362" s="198" t="s">
        <v>2553</v>
      </c>
      <c r="E362" s="198" t="s">
        <v>2652</v>
      </c>
      <c r="F362" s="198" t="s">
        <v>1469</v>
      </c>
      <c r="G362" s="198" t="s">
        <v>1469</v>
      </c>
      <c r="H362" s="198" t="s">
        <v>2806</v>
      </c>
      <c r="I362" s="198" t="s">
        <v>1172</v>
      </c>
      <c r="J362" s="225">
        <v>4128000</v>
      </c>
    </row>
    <row r="363" spans="3:10">
      <c r="C363" s="198" t="s">
        <v>2564</v>
      </c>
      <c r="D363" s="198" t="s">
        <v>2550</v>
      </c>
      <c r="E363" s="198" t="s">
        <v>2633</v>
      </c>
      <c r="F363" s="198" t="s">
        <v>2525</v>
      </c>
      <c r="G363" s="198" t="s">
        <v>2525</v>
      </c>
      <c r="H363" s="198" t="s">
        <v>2806</v>
      </c>
      <c r="I363" s="198" t="s">
        <v>1172</v>
      </c>
      <c r="J363" s="225">
        <v>2890263</v>
      </c>
    </row>
    <row r="364" spans="3:10">
      <c r="C364" s="198" t="s">
        <v>2564</v>
      </c>
      <c r="D364" s="198" t="s">
        <v>2550</v>
      </c>
      <c r="E364" s="198" t="s">
        <v>2638</v>
      </c>
      <c r="F364" s="198" t="s">
        <v>2525</v>
      </c>
      <c r="G364" s="198" t="s">
        <v>2525</v>
      </c>
      <c r="H364" s="198" t="s">
        <v>2806</v>
      </c>
      <c r="I364" s="198" t="s">
        <v>1172</v>
      </c>
      <c r="J364" s="225">
        <v>180000</v>
      </c>
    </row>
    <row r="365" spans="3:10">
      <c r="C365" s="198" t="s">
        <v>2564</v>
      </c>
      <c r="D365" s="198" t="s">
        <v>2549</v>
      </c>
      <c r="E365" s="198" t="s">
        <v>2643</v>
      </c>
      <c r="F365" s="198" t="s">
        <v>1469</v>
      </c>
      <c r="G365" s="198" t="s">
        <v>1469</v>
      </c>
      <c r="H365" s="198" t="s">
        <v>2806</v>
      </c>
      <c r="I365" s="198" t="s">
        <v>1172</v>
      </c>
      <c r="J365" s="225">
        <v>112654</v>
      </c>
    </row>
    <row r="366" spans="3:10">
      <c r="C366" s="198" t="s">
        <v>2561</v>
      </c>
      <c r="D366" s="198" t="s">
        <v>2695</v>
      </c>
      <c r="E366" s="198" t="s">
        <v>2624</v>
      </c>
      <c r="F366" s="198" t="s">
        <v>1469</v>
      </c>
      <c r="G366" s="198" t="s">
        <v>1469</v>
      </c>
      <c r="H366" s="198" t="s">
        <v>445</v>
      </c>
      <c r="I366" s="198" t="s">
        <v>1172</v>
      </c>
      <c r="J366" s="225">
        <v>129701895</v>
      </c>
    </row>
    <row r="367" spans="3:10">
      <c r="C367" s="198" t="s">
        <v>2561</v>
      </c>
      <c r="D367" s="198" t="s">
        <v>2550</v>
      </c>
      <c r="E367" s="198" t="s">
        <v>2631</v>
      </c>
      <c r="F367" s="198" t="s">
        <v>1469</v>
      </c>
      <c r="G367" s="198" t="s">
        <v>1469</v>
      </c>
      <c r="H367" s="198" t="s">
        <v>445</v>
      </c>
      <c r="I367" s="198" t="s">
        <v>1172</v>
      </c>
      <c r="J367" s="225">
        <v>89874912</v>
      </c>
    </row>
    <row r="368" spans="3:10">
      <c r="C368" s="198" t="s">
        <v>2561</v>
      </c>
      <c r="D368" s="198" t="s">
        <v>2550</v>
      </c>
      <c r="E368" s="198" t="s">
        <v>2635</v>
      </c>
      <c r="F368" s="198" t="s">
        <v>2525</v>
      </c>
      <c r="G368" s="198" t="s">
        <v>2525</v>
      </c>
      <c r="H368" s="198" t="s">
        <v>445</v>
      </c>
      <c r="I368" s="198" t="s">
        <v>1172</v>
      </c>
      <c r="J368" s="225">
        <v>78533829</v>
      </c>
    </row>
    <row r="369" spans="3:10">
      <c r="C369" s="198" t="s">
        <v>2561</v>
      </c>
      <c r="D369" s="198" t="s">
        <v>2550</v>
      </c>
      <c r="E369" s="198" t="s">
        <v>2638</v>
      </c>
      <c r="F369" s="198" t="s">
        <v>2525</v>
      </c>
      <c r="G369" s="198" t="s">
        <v>2525</v>
      </c>
      <c r="H369" s="198" t="s">
        <v>445</v>
      </c>
      <c r="I369" s="198" t="s">
        <v>1172</v>
      </c>
      <c r="J369" s="225">
        <v>46120754</v>
      </c>
    </row>
    <row r="370" spans="3:10">
      <c r="C370" s="198" t="s">
        <v>2561</v>
      </c>
      <c r="D370" s="198" t="s">
        <v>2554</v>
      </c>
      <c r="E370" s="198" t="s">
        <v>2655</v>
      </c>
      <c r="F370" s="198" t="s">
        <v>2525</v>
      </c>
      <c r="G370" s="198" t="s">
        <v>2525</v>
      </c>
      <c r="H370" s="198" t="s">
        <v>445</v>
      </c>
      <c r="I370" s="198" t="s">
        <v>1172</v>
      </c>
      <c r="J370" s="225">
        <v>39951340</v>
      </c>
    </row>
    <row r="371" spans="3:10">
      <c r="C371" s="198" t="s">
        <v>2561</v>
      </c>
      <c r="D371" s="198" t="s">
        <v>2552</v>
      </c>
      <c r="E371" s="198" t="s">
        <v>2653</v>
      </c>
      <c r="F371" s="198" t="s">
        <v>1469</v>
      </c>
      <c r="G371" s="198" t="s">
        <v>1469</v>
      </c>
      <c r="H371" s="198" t="s">
        <v>445</v>
      </c>
      <c r="I371" s="198" t="s">
        <v>1172</v>
      </c>
      <c r="J371" s="225">
        <v>12572000</v>
      </c>
    </row>
    <row r="372" spans="3:10">
      <c r="C372" s="198" t="s">
        <v>2561</v>
      </c>
      <c r="D372" s="198" t="s">
        <v>2550</v>
      </c>
      <c r="E372" s="198" t="s">
        <v>2633</v>
      </c>
      <c r="F372" s="198" t="s">
        <v>2525</v>
      </c>
      <c r="G372" s="198" t="s">
        <v>2525</v>
      </c>
      <c r="H372" s="198" t="s">
        <v>445</v>
      </c>
      <c r="I372" s="198" t="s">
        <v>1172</v>
      </c>
      <c r="J372" s="225">
        <v>7470901</v>
      </c>
    </row>
    <row r="373" spans="3:10">
      <c r="C373" s="198" t="s">
        <v>2561</v>
      </c>
      <c r="D373" s="198" t="s">
        <v>2555</v>
      </c>
      <c r="E373" s="198" t="s">
        <v>2688</v>
      </c>
      <c r="F373" s="198" t="s">
        <v>2525</v>
      </c>
      <c r="G373" s="198" t="s">
        <v>2525</v>
      </c>
      <c r="H373" s="198" t="s">
        <v>445</v>
      </c>
      <c r="I373" s="198" t="s">
        <v>1172</v>
      </c>
      <c r="J373" s="225">
        <v>5052011</v>
      </c>
    </row>
    <row r="374" spans="3:10">
      <c r="C374" s="198" t="s">
        <v>2561</v>
      </c>
      <c r="D374" s="198" t="s">
        <v>2695</v>
      </c>
      <c r="E374" s="198" t="s">
        <v>2627</v>
      </c>
      <c r="F374" s="198" t="s">
        <v>1469</v>
      </c>
      <c r="G374" s="198" t="s">
        <v>1469</v>
      </c>
      <c r="H374" s="198" t="s">
        <v>445</v>
      </c>
      <c r="I374" s="198" t="s">
        <v>1172</v>
      </c>
      <c r="J374" s="225">
        <v>62400</v>
      </c>
    </row>
    <row r="375" spans="3:10">
      <c r="C375" s="198" t="s">
        <v>2807</v>
      </c>
      <c r="D375" s="198" t="s">
        <v>2549</v>
      </c>
      <c r="E375" s="198" t="s">
        <v>2644</v>
      </c>
      <c r="F375" s="198" t="s">
        <v>1469</v>
      </c>
      <c r="G375" s="198" t="s">
        <v>1469</v>
      </c>
      <c r="H375" s="198" t="s">
        <v>445</v>
      </c>
      <c r="I375" s="198" t="s">
        <v>1172</v>
      </c>
      <c r="J375" s="225">
        <v>4375291</v>
      </c>
    </row>
    <row r="376" spans="3:10">
      <c r="C376" s="198" t="s">
        <v>2807</v>
      </c>
      <c r="D376" s="198" t="s">
        <v>2549</v>
      </c>
      <c r="E376" s="198" t="s">
        <v>2642</v>
      </c>
      <c r="F376" s="198" t="s">
        <v>1469</v>
      </c>
      <c r="G376" s="198" t="s">
        <v>1469</v>
      </c>
      <c r="H376" s="198" t="s">
        <v>445</v>
      </c>
      <c r="I376" s="198" t="s">
        <v>1172</v>
      </c>
      <c r="J376" s="225">
        <v>3500231</v>
      </c>
    </row>
    <row r="377" spans="3:10">
      <c r="C377" s="198" t="s">
        <v>2807</v>
      </c>
      <c r="D377" s="198" t="s">
        <v>2549</v>
      </c>
      <c r="E377" s="198" t="s">
        <v>2641</v>
      </c>
      <c r="F377" s="198" t="s">
        <v>1469</v>
      </c>
      <c r="G377" s="198" t="s">
        <v>1469</v>
      </c>
      <c r="H377" s="198" t="s">
        <v>445</v>
      </c>
      <c r="I377" s="198" t="s">
        <v>1172</v>
      </c>
      <c r="J377" s="225">
        <v>2187647</v>
      </c>
    </row>
    <row r="378" spans="3:10">
      <c r="C378" s="198" t="s">
        <v>2808</v>
      </c>
      <c r="D378" s="198" t="s">
        <v>2695</v>
      </c>
      <c r="E378" s="198" t="s">
        <v>2627</v>
      </c>
      <c r="F378" s="198" t="s">
        <v>1469</v>
      </c>
      <c r="G378" s="198" t="s">
        <v>1469</v>
      </c>
      <c r="H378" s="198" t="s">
        <v>445</v>
      </c>
      <c r="I378" s="198" t="s">
        <v>1172</v>
      </c>
      <c r="J378" s="225">
        <v>55254388</v>
      </c>
    </row>
    <row r="379" spans="3:10">
      <c r="C379" s="198" t="s">
        <v>2808</v>
      </c>
      <c r="D379" s="198" t="s">
        <v>2554</v>
      </c>
      <c r="E379" s="198" t="s">
        <v>2655</v>
      </c>
      <c r="F379" s="198" t="s">
        <v>2525</v>
      </c>
      <c r="G379" s="198" t="s">
        <v>2525</v>
      </c>
      <c r="H379" s="198" t="s">
        <v>445</v>
      </c>
      <c r="I379" s="198" t="s">
        <v>1172</v>
      </c>
      <c r="J379" s="225">
        <v>24709006</v>
      </c>
    </row>
    <row r="380" spans="3:10">
      <c r="C380" s="198" t="s">
        <v>2808</v>
      </c>
      <c r="D380" s="198" t="s">
        <v>2555</v>
      </c>
      <c r="E380" s="198" t="s">
        <v>2688</v>
      </c>
      <c r="F380" s="198" t="s">
        <v>2525</v>
      </c>
      <c r="G380" s="198" t="s">
        <v>2525</v>
      </c>
      <c r="H380" s="198" t="s">
        <v>445</v>
      </c>
      <c r="I380" s="198" t="s">
        <v>1172</v>
      </c>
      <c r="J380" s="225">
        <v>10570044</v>
      </c>
    </row>
    <row r="381" spans="3:10">
      <c r="C381" s="198" t="s">
        <v>2809</v>
      </c>
      <c r="D381" s="198" t="s">
        <v>2556</v>
      </c>
      <c r="E381" s="198" t="s">
        <v>2656</v>
      </c>
      <c r="F381" s="198" t="s">
        <v>1469</v>
      </c>
      <c r="G381" s="198" t="s">
        <v>1469</v>
      </c>
      <c r="H381" s="198" t="s">
        <v>2810</v>
      </c>
      <c r="I381" s="198" t="s">
        <v>1172</v>
      </c>
      <c r="J381" s="225">
        <v>179997599.37888199</v>
      </c>
    </row>
    <row r="382" spans="3:10">
      <c r="C382" s="198" t="s">
        <v>2809</v>
      </c>
      <c r="D382" s="198" t="s">
        <v>2556</v>
      </c>
      <c r="E382" s="198" t="s">
        <v>2657</v>
      </c>
      <c r="F382" s="198" t="s">
        <v>1469</v>
      </c>
      <c r="G382" s="198" t="s">
        <v>1469</v>
      </c>
      <c r="H382" s="198" t="s">
        <v>2810</v>
      </c>
      <c r="I382" s="198" t="s">
        <v>1172</v>
      </c>
      <c r="J382" s="225">
        <v>31055900.621118013</v>
      </c>
    </row>
    <row r="383" spans="3:10">
      <c r="C383" s="198" t="s">
        <v>2809</v>
      </c>
      <c r="D383" s="198" t="s">
        <v>2550</v>
      </c>
      <c r="E383" s="198" t="s">
        <v>2634</v>
      </c>
      <c r="F383" s="198" t="s">
        <v>1469</v>
      </c>
      <c r="G383" s="198" t="s">
        <v>1469</v>
      </c>
      <c r="H383" s="198" t="s">
        <v>2810</v>
      </c>
      <c r="I383" s="198" t="s">
        <v>1172</v>
      </c>
      <c r="J383" s="225">
        <v>3730591</v>
      </c>
    </row>
    <row r="384" spans="3:10">
      <c r="C384" s="198" t="s">
        <v>2809</v>
      </c>
      <c r="D384" s="198" t="s">
        <v>2553</v>
      </c>
      <c r="E384" s="198" t="s">
        <v>2652</v>
      </c>
      <c r="F384" s="198" t="s">
        <v>1469</v>
      </c>
      <c r="G384" s="198" t="s">
        <v>1469</v>
      </c>
      <c r="H384" s="198" t="s">
        <v>2810</v>
      </c>
      <c r="I384" s="198" t="s">
        <v>1172</v>
      </c>
      <c r="J384" s="225">
        <v>1640580</v>
      </c>
    </row>
    <row r="385" spans="3:10">
      <c r="C385" s="198" t="s">
        <v>2809</v>
      </c>
      <c r="D385" s="198" t="s">
        <v>2550</v>
      </c>
      <c r="E385" s="198" t="s">
        <v>2628</v>
      </c>
      <c r="F385" s="198" t="s">
        <v>2525</v>
      </c>
      <c r="G385" s="198" t="s">
        <v>2525</v>
      </c>
      <c r="H385" s="198" t="s">
        <v>2810</v>
      </c>
      <c r="I385" s="198" t="s">
        <v>1172</v>
      </c>
      <c r="J385" s="225">
        <v>450000</v>
      </c>
    </row>
    <row r="386" spans="3:10">
      <c r="C386" s="198" t="s">
        <v>2571</v>
      </c>
      <c r="D386" s="198" t="s">
        <v>2550</v>
      </c>
      <c r="E386" s="198" t="s">
        <v>2634</v>
      </c>
      <c r="F386" s="198" t="s">
        <v>1469</v>
      </c>
      <c r="G386" s="198" t="s">
        <v>1469</v>
      </c>
      <c r="H386" s="198" t="s">
        <v>2661</v>
      </c>
      <c r="I386" s="198" t="s">
        <v>1172</v>
      </c>
      <c r="J386" s="225">
        <v>4658522924</v>
      </c>
    </row>
    <row r="387" spans="3:10">
      <c r="C387" s="198" t="s">
        <v>2571</v>
      </c>
      <c r="D387" s="198" t="s">
        <v>2550</v>
      </c>
      <c r="E387" s="198" t="s">
        <v>2635</v>
      </c>
      <c r="F387" s="198" t="s">
        <v>2525</v>
      </c>
      <c r="G387" s="198" t="s">
        <v>2525</v>
      </c>
      <c r="H387" s="198" t="s">
        <v>2661</v>
      </c>
      <c r="I387" s="198" t="s">
        <v>1172</v>
      </c>
      <c r="J387" s="225">
        <v>3131695498</v>
      </c>
    </row>
    <row r="388" spans="3:10">
      <c r="C388" s="198" t="s">
        <v>2571</v>
      </c>
      <c r="D388" s="198" t="s">
        <v>2549</v>
      </c>
      <c r="E388" s="198" t="s">
        <v>2644</v>
      </c>
      <c r="F388" s="198" t="s">
        <v>1469</v>
      </c>
      <c r="G388" s="198" t="s">
        <v>1469</v>
      </c>
      <c r="H388" s="198" t="s">
        <v>2661</v>
      </c>
      <c r="I388" s="198" t="s">
        <v>1172</v>
      </c>
      <c r="J388" s="225">
        <v>2220379311</v>
      </c>
    </row>
    <row r="389" spans="3:10">
      <c r="C389" s="198" t="s">
        <v>2571</v>
      </c>
      <c r="D389" s="198" t="s">
        <v>2549</v>
      </c>
      <c r="E389" s="198" t="s">
        <v>2642</v>
      </c>
      <c r="F389" s="198" t="s">
        <v>1469</v>
      </c>
      <c r="G389" s="198" t="s">
        <v>1469</v>
      </c>
      <c r="H389" s="198" t="s">
        <v>2661</v>
      </c>
      <c r="I389" s="198" t="s">
        <v>1172</v>
      </c>
      <c r="J389" s="225">
        <v>1776303424</v>
      </c>
    </row>
    <row r="390" spans="3:10">
      <c r="C390" s="198" t="s">
        <v>2571</v>
      </c>
      <c r="D390" s="198" t="s">
        <v>2549</v>
      </c>
      <c r="E390" s="198" t="s">
        <v>2641</v>
      </c>
      <c r="F390" s="198" t="s">
        <v>1469</v>
      </c>
      <c r="G390" s="198" t="s">
        <v>1469</v>
      </c>
      <c r="H390" s="198" t="s">
        <v>2661</v>
      </c>
      <c r="I390" s="198" t="s">
        <v>1172</v>
      </c>
      <c r="J390" s="225">
        <v>1110189638</v>
      </c>
    </row>
    <row r="391" spans="3:10">
      <c r="C391" s="198" t="s">
        <v>2571</v>
      </c>
      <c r="D391" s="198" t="s">
        <v>2556</v>
      </c>
      <c r="E391" s="198" t="s">
        <v>2656</v>
      </c>
      <c r="F391" s="198" t="s">
        <v>1469</v>
      </c>
      <c r="G391" s="198" t="s">
        <v>1469</v>
      </c>
      <c r="H391" s="198" t="s">
        <v>2661</v>
      </c>
      <c r="I391" s="198" t="s">
        <v>1172</v>
      </c>
      <c r="J391" s="225">
        <v>295031055.90062112</v>
      </c>
    </row>
    <row r="392" spans="3:10">
      <c r="C392" s="198" t="s">
        <v>2571</v>
      </c>
      <c r="D392" s="198" t="s">
        <v>2554</v>
      </c>
      <c r="E392" s="198" t="s">
        <v>2655</v>
      </c>
      <c r="F392" s="198" t="s">
        <v>2525</v>
      </c>
      <c r="G392" s="198" t="s">
        <v>2525</v>
      </c>
      <c r="H392" s="198" t="s">
        <v>2661</v>
      </c>
      <c r="I392" s="198" t="s">
        <v>1172</v>
      </c>
      <c r="J392" s="225">
        <v>67893036</v>
      </c>
    </row>
    <row r="393" spans="3:10">
      <c r="C393" s="198" t="s">
        <v>2571</v>
      </c>
      <c r="D393" s="198" t="s">
        <v>2556</v>
      </c>
      <c r="E393" s="198" t="s">
        <v>2657</v>
      </c>
      <c r="F393" s="198" t="s">
        <v>1469</v>
      </c>
      <c r="G393" s="198" t="s">
        <v>1469</v>
      </c>
      <c r="H393" s="198" t="s">
        <v>2661</v>
      </c>
      <c r="I393" s="198" t="s">
        <v>1172</v>
      </c>
      <c r="J393" s="225">
        <v>20860248.44720497</v>
      </c>
    </row>
    <row r="394" spans="3:10">
      <c r="C394" s="198" t="s">
        <v>2571</v>
      </c>
      <c r="D394" s="198" t="s">
        <v>2549</v>
      </c>
      <c r="E394" s="198" t="s">
        <v>2646</v>
      </c>
      <c r="F394" s="198" t="s">
        <v>1469</v>
      </c>
      <c r="G394" s="198" t="s">
        <v>1469</v>
      </c>
      <c r="H394" s="198" t="s">
        <v>2661</v>
      </c>
      <c r="I394" s="198" t="s">
        <v>1172</v>
      </c>
      <c r="J394" s="225">
        <v>6539812</v>
      </c>
    </row>
    <row r="395" spans="3:10">
      <c r="C395" s="198" t="s">
        <v>2571</v>
      </c>
      <c r="D395" s="198" t="s">
        <v>2549</v>
      </c>
      <c r="E395" s="198" t="s">
        <v>2640</v>
      </c>
      <c r="F395" s="198" t="s">
        <v>2525</v>
      </c>
      <c r="G395" s="198" t="s">
        <v>2525</v>
      </c>
      <c r="H395" s="198" t="s">
        <v>2661</v>
      </c>
      <c r="I395" s="198" t="s">
        <v>1172</v>
      </c>
      <c r="J395" s="225">
        <v>5977770</v>
      </c>
    </row>
    <row r="396" spans="3:10">
      <c r="C396" s="198" t="s">
        <v>2571</v>
      </c>
      <c r="D396" s="198" t="s">
        <v>2555</v>
      </c>
      <c r="E396" s="198" t="s">
        <v>2688</v>
      </c>
      <c r="F396" s="198" t="s">
        <v>2525</v>
      </c>
      <c r="G396" s="198" t="s">
        <v>2525</v>
      </c>
      <c r="H396" s="198" t="s">
        <v>2661</v>
      </c>
      <c r="I396" s="198" t="s">
        <v>1172</v>
      </c>
      <c r="J396" s="225">
        <v>4045774</v>
      </c>
    </row>
    <row r="397" spans="3:10">
      <c r="C397" s="198" t="s">
        <v>2571</v>
      </c>
      <c r="D397" s="198" t="s">
        <v>2550</v>
      </c>
      <c r="E397" s="198" t="s">
        <v>2633</v>
      </c>
      <c r="F397" s="198" t="s">
        <v>2525</v>
      </c>
      <c r="G397" s="198" t="s">
        <v>2525</v>
      </c>
      <c r="H397" s="198" t="s">
        <v>2661</v>
      </c>
      <c r="I397" s="198" t="s">
        <v>1172</v>
      </c>
      <c r="J397" s="225">
        <v>2025790</v>
      </c>
    </row>
    <row r="398" spans="3:10">
      <c r="C398" s="198" t="s">
        <v>2571</v>
      </c>
      <c r="D398" s="198" t="s">
        <v>2549</v>
      </c>
      <c r="E398" s="198" t="s">
        <v>2689</v>
      </c>
      <c r="F398" s="198" t="s">
        <v>1469</v>
      </c>
      <c r="G398" s="198" t="s">
        <v>1469</v>
      </c>
      <c r="H398" s="198" t="s">
        <v>2661</v>
      </c>
      <c r="I398" s="198" t="s">
        <v>1172</v>
      </c>
      <c r="J398" s="225">
        <v>557206</v>
      </c>
    </row>
    <row r="399" spans="3:10">
      <c r="C399" s="198" t="s">
        <v>2571</v>
      </c>
      <c r="D399" s="198" t="s">
        <v>2549</v>
      </c>
      <c r="E399" s="198" t="s">
        <v>2643</v>
      </c>
      <c r="F399" s="198" t="s">
        <v>1469</v>
      </c>
      <c r="G399" s="198" t="s">
        <v>1469</v>
      </c>
      <c r="H399" s="198" t="s">
        <v>2661</v>
      </c>
      <c r="I399" s="198" t="s">
        <v>1172</v>
      </c>
      <c r="J399" s="225">
        <v>19424</v>
      </c>
    </row>
    <row r="400" spans="3:10" ht="15" thickBot="1">
      <c r="G400" s="213"/>
    </row>
    <row r="401" spans="3:11" ht="17.25" thickBot="1">
      <c r="G401" s="213"/>
      <c r="I401" s="215" t="s">
        <v>2526</v>
      </c>
      <c r="J401" s="216"/>
      <c r="K401" s="226">
        <f>SUMIF(Table10[Devise de déclaration],"USD",Table10[Valeur de revenus])+(IFERROR(SUMIF(Table10[Devise de déclaration],"&lt;&gt;USD",Table10[Valeur de revenus])/'Partie 1 - Présentation'!$E$51,0))</f>
        <v>414372729.7519846</v>
      </c>
    </row>
    <row r="402" spans="3:11" ht="17.25" thickBot="1">
      <c r="G402" s="213"/>
      <c r="I402" s="216"/>
      <c r="J402" s="269"/>
      <c r="K402" s="270"/>
    </row>
    <row r="403" spans="3:11" ht="17.25" thickBot="1">
      <c r="G403" s="213"/>
      <c r="I403" s="215" t="str">
        <f>"Total en "&amp;'Partie 1 - Présentation'!$E$50</f>
        <v>Total en XOF</v>
      </c>
      <c r="J403" s="216"/>
      <c r="K403" s="226">
        <f>IF('Partie 1 - Présentation'!$E$50="USD",0,SUMIF(Table10[Devise de déclaration],'Partie 1 - Présentation'!$E$50,Table10[Valeur de revenus]))+(IFERROR(SUMIF(Table10[Devise de déclaration],"USD",Table10[Valeur de revenus])*'Partie 1 - Présentation'!$E$51,0))</f>
        <v>257374361158.0932</v>
      </c>
    </row>
    <row r="404" spans="3:11" ht="16.5">
      <c r="G404" s="213"/>
      <c r="I404" s="269"/>
      <c r="J404" s="269"/>
      <c r="K404" s="270"/>
    </row>
    <row r="405" spans="3:11">
      <c r="C405" s="198" t="s">
        <v>1463</v>
      </c>
    </row>
    <row r="406" spans="3:11" ht="24">
      <c r="C406" s="217" t="s">
        <v>2352</v>
      </c>
      <c r="D406" s="211"/>
      <c r="E406" s="211"/>
      <c r="F406" s="211"/>
      <c r="G406" s="211"/>
      <c r="H406" s="211"/>
      <c r="I406" s="211"/>
      <c r="J406" s="211"/>
      <c r="K406" s="211"/>
    </row>
    <row r="407" spans="3:11">
      <c r="C407" s="218" t="s">
        <v>2365</v>
      </c>
      <c r="D407" s="219"/>
      <c r="E407" s="219"/>
      <c r="F407" s="219"/>
      <c r="G407" s="220"/>
      <c r="H407" s="219"/>
      <c r="I407" s="219"/>
      <c r="J407" s="219"/>
      <c r="K407" s="219"/>
    </row>
    <row r="408" spans="3:11">
      <c r="C408" s="218"/>
      <c r="D408" s="219"/>
      <c r="E408" s="219"/>
      <c r="F408" s="219"/>
      <c r="G408" s="220"/>
      <c r="H408" s="219"/>
      <c r="I408" s="219"/>
      <c r="J408" s="219"/>
      <c r="K408" s="219"/>
    </row>
    <row r="409" spans="3:11">
      <c r="C409" s="218" t="s">
        <v>2366</v>
      </c>
      <c r="D409" s="410" t="s">
        <v>2357</v>
      </c>
      <c r="E409" s="410"/>
      <c r="F409" s="410"/>
      <c r="G409" s="410"/>
      <c r="H409" s="410"/>
      <c r="I409" s="410"/>
      <c r="J409" s="410"/>
      <c r="K409" s="410"/>
    </row>
    <row r="410" spans="3:11">
      <c r="C410" s="218" t="s">
        <v>2366</v>
      </c>
      <c r="D410" s="410" t="s">
        <v>2357</v>
      </c>
      <c r="E410" s="410"/>
      <c r="F410" s="410"/>
      <c r="G410" s="410"/>
      <c r="H410" s="410"/>
      <c r="I410" s="410"/>
      <c r="J410" s="410"/>
      <c r="K410" s="410"/>
    </row>
    <row r="411" spans="3:11">
      <c r="C411" s="218" t="s">
        <v>2366</v>
      </c>
      <c r="D411" s="410" t="s">
        <v>2357</v>
      </c>
      <c r="E411" s="410"/>
      <c r="F411" s="410"/>
      <c r="G411" s="410"/>
      <c r="H411" s="410"/>
      <c r="I411" s="410"/>
      <c r="J411" s="410"/>
      <c r="K411" s="410"/>
    </row>
    <row r="412" spans="3:11">
      <c r="C412" s="218" t="s">
        <v>2366</v>
      </c>
      <c r="D412" s="410" t="s">
        <v>2357</v>
      </c>
      <c r="E412" s="410"/>
      <c r="F412" s="410"/>
      <c r="G412" s="410"/>
      <c r="H412" s="410"/>
      <c r="I412" s="410"/>
      <c r="J412" s="410"/>
      <c r="K412" s="410"/>
    </row>
    <row r="413" spans="3:11">
      <c r="C413" s="218" t="s">
        <v>2366</v>
      </c>
      <c r="D413" s="219" t="s">
        <v>2072</v>
      </c>
      <c r="E413" s="219"/>
      <c r="F413" s="219"/>
      <c r="G413" s="220"/>
      <c r="H413" s="219"/>
      <c r="I413" s="219"/>
      <c r="J413" s="219"/>
      <c r="K413" s="219"/>
    </row>
    <row r="414" spans="3:11">
      <c r="C414" s="218"/>
      <c r="D414" s="219"/>
      <c r="E414" s="219"/>
      <c r="F414" s="219"/>
      <c r="G414" s="220"/>
      <c r="H414" s="219"/>
      <c r="I414" s="219"/>
      <c r="J414" s="219"/>
      <c r="K414" s="219"/>
    </row>
    <row r="415" spans="3:11" ht="17.25" thickBot="1">
      <c r="C415" s="54"/>
      <c r="D415" s="54"/>
      <c r="E415" s="54"/>
      <c r="F415" s="54"/>
      <c r="G415" s="54"/>
      <c r="H415" s="54"/>
      <c r="I415" s="54"/>
      <c r="J415" s="54"/>
      <c r="K415" s="54"/>
    </row>
    <row r="417" spans="3:14" ht="17.25" thickBot="1">
      <c r="C417" s="379" t="s">
        <v>2163</v>
      </c>
      <c r="D417" s="379"/>
      <c r="E417" s="379"/>
      <c r="F417" s="379"/>
      <c r="G417" s="379"/>
      <c r="H417" s="379"/>
      <c r="I417" s="379"/>
      <c r="J417" s="379"/>
      <c r="K417" s="379"/>
      <c r="L417" s="227"/>
      <c r="M417" s="227"/>
      <c r="N417" s="227"/>
    </row>
    <row r="418" spans="3:14" ht="17.25" thickBot="1">
      <c r="C418" s="363" t="s">
        <v>2164</v>
      </c>
      <c r="D418" s="363"/>
      <c r="E418" s="363"/>
      <c r="F418" s="363"/>
      <c r="G418" s="363"/>
      <c r="H418" s="363"/>
      <c r="I418" s="363"/>
      <c r="J418" s="363"/>
      <c r="K418" s="363"/>
      <c r="L418" s="228"/>
      <c r="M418" s="228"/>
      <c r="N418" s="228"/>
    </row>
    <row r="419" spans="3:14" ht="17.25" thickBot="1">
      <c r="C419" s="363" t="s">
        <v>2165</v>
      </c>
      <c r="D419" s="363"/>
      <c r="E419" s="363"/>
      <c r="F419" s="363"/>
      <c r="G419" s="363"/>
      <c r="H419" s="363"/>
      <c r="I419" s="363"/>
      <c r="J419" s="363"/>
      <c r="K419" s="363"/>
      <c r="L419" s="229"/>
      <c r="M419" s="229"/>
      <c r="N419" s="229"/>
    </row>
    <row r="420" spans="3:14" ht="16.5">
      <c r="C420" s="404" t="s">
        <v>2166</v>
      </c>
      <c r="D420" s="404"/>
      <c r="E420" s="404"/>
      <c r="F420" s="404"/>
      <c r="G420" s="404"/>
      <c r="H420" s="404"/>
      <c r="I420" s="404"/>
      <c r="J420" s="404"/>
      <c r="K420" s="404"/>
      <c r="L420" s="230"/>
      <c r="M420" s="230"/>
      <c r="N420" s="230"/>
    </row>
    <row r="421" spans="3:14" ht="17.25" thickBot="1">
      <c r="C421" s="54"/>
      <c r="D421" s="54"/>
      <c r="E421" s="54"/>
      <c r="F421" s="54"/>
      <c r="G421" s="54"/>
      <c r="H421" s="54"/>
      <c r="I421" s="54"/>
      <c r="J421" s="54"/>
      <c r="K421" s="54"/>
    </row>
    <row r="422" spans="3:14">
      <c r="C422" s="357" t="s">
        <v>2219</v>
      </c>
      <c r="D422" s="357"/>
      <c r="E422" s="357"/>
      <c r="F422" s="357"/>
      <c r="G422" s="357"/>
      <c r="H422" s="357"/>
      <c r="I422" s="357"/>
      <c r="J422" s="357"/>
      <c r="K422" s="357"/>
    </row>
    <row r="423" spans="3:14">
      <c r="C423" s="196" t="s">
        <v>2367</v>
      </c>
      <c r="D423" s="196"/>
      <c r="E423" s="196"/>
      <c r="F423" s="196"/>
      <c r="G423" s="196"/>
      <c r="H423" s="196"/>
      <c r="I423" s="358"/>
      <c r="J423" s="358"/>
      <c r="K423" s="358"/>
    </row>
  </sheetData>
  <protectedRanges>
    <protectedRange algorithmName="SHA-512" hashValue="19r0bVvPR7yZA0UiYij7Tv1CBk3noIABvFePbLhCJ4nk3L6A+Fy+RdPPS3STf+a52x4pG2PQK4FAkXK9epnlIA==" saltValue="gQC4yrLvnbJqxYZ0KSEoZA==" spinCount="100000" sqref="I404 C400:D404 F400:G404 H15:H400 B15:D399" name="Government revenues_1"/>
    <protectedRange algorithmName="SHA-512" hashValue="19r0bVvPR7yZA0UiYij7Tv1CBk3noIABvFePbLhCJ4nk3L6A+Fy+RdPPS3STf+a52x4pG2PQK4FAkXK9epnlIA==" saltValue="gQC4yrLvnbJqxYZ0KSEoZA==" spinCount="100000" sqref="J401:J404 I15:I399" name="Government revenues_2"/>
  </protectedRanges>
  <mergeCells count="20">
    <mergeCell ref="D409:K409"/>
    <mergeCell ref="D410:K410"/>
    <mergeCell ref="D411:K411"/>
    <mergeCell ref="D412:K412"/>
    <mergeCell ref="I423:K423"/>
    <mergeCell ref="C419:K419"/>
    <mergeCell ref="C420:K420"/>
    <mergeCell ref="C422:K422"/>
    <mergeCell ref="C3:F3"/>
    <mergeCell ref="C4:G4"/>
    <mergeCell ref="C5:G5"/>
    <mergeCell ref="C6:G6"/>
    <mergeCell ref="C7:G7"/>
    <mergeCell ref="C11:K11"/>
    <mergeCell ref="C13:K13"/>
    <mergeCell ref="C417:K417"/>
    <mergeCell ref="C418:K418"/>
    <mergeCell ref="I4:K8"/>
    <mergeCell ref="C9:K9"/>
    <mergeCell ref="C8:G8"/>
  </mergeCells>
  <dataValidations xWindow="1149" yWindow="453" count="8">
    <dataValidation type="whole" allowBlank="1" showInputMessage="1" showErrorMessage="1" errorTitle="Veuillez ne pas modifier" error="Veuillez ne pas modifier ces cellules" sqref="C417:C420 I423:K423" xr:uid="{57FB8956-8886-4544-B87B-E90A685DCD42}">
      <formula1>444</formula1>
      <formula2>445</formula2>
    </dataValidation>
    <dataValidation allowBlank="1" showInputMessage="1" showErrorMessage="1" errorTitle="Veuillez ne pas modifier" error="Veuillez ne pas modifier ces cellules" sqref="C423:E423" xr:uid="{2196945A-5BE1-4C2A-BE8A-AD6E26F529A7}"/>
    <dataValidation type="whole" errorStyle="warning" allowBlank="1" showInputMessage="1" showErrorMessage="1" errorTitle="Veuillez ne pas remplir" error="Ces cellules seront complétées automatiquement" sqref="K401 K403" xr:uid="{E0955F84-CF46-403C-A96B-A533675BDDC3}">
      <formula1>44444</formula1>
      <formula2>44445</formula2>
    </dataValidation>
    <dataValidation allowBlank="1" showInputMessage="1" showErrorMessage="1" promptTitle="Volume en nature" prompt="Veuillez renseigner le volume en nature du flux de revenu, si applicable" sqref="L15:L399" xr:uid="{74B2EE4B-5C91-44FD-BAEF-E32A9E459541}"/>
    <dataValidation type="list" allowBlank="1" showInputMessage="1" showErrorMessage="1" sqref="C15:C399" xr:uid="{B6B7EB1A-CE56-4498-9FA2-2F9C5748A2BD}">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399" xr:uid="{F5697852-5424-40D3-886B-BB5D3E2162F3}">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399" xr:uid="{04B89EC5-5E6B-4F94-B74D-E536B28B3990}">
      <formula1>Revenue_stream_list</formula1>
    </dataValidation>
    <dataValidation type="list" allowBlank="1" showInputMessage="1" showErrorMessage="1" sqref="D15:D399" xr:uid="{28EF720B-7618-42E4-BE48-44C61AC2FCAC}">
      <formula1>Government_entities_list</formula1>
    </dataValidation>
  </dataValidations>
  <hyperlinks>
    <hyperlink ref="P13" r:id="rId1" location="r4-1" display="EITI Requirement 4.1" xr:uid="{00000000-0004-0000-0500-000004000000}"/>
    <hyperlink ref="P9:X9" r:id="rId2" display="If you have any questions, please contact data@eiti.org" xr:uid="{00000000-0004-0000-0500-000005000000}"/>
    <hyperlink ref="P13:X13" r:id="rId3" location="r4-1" display="Exigence ITIE 4.1.c: Paiements des entreprises ;  Exigence ITIE 4.7: Déclaration par projet" xr:uid="{56E47720-71A5-4292-8CE6-DF965AE29E62}"/>
  </hyperlinks>
  <pageMargins left="0.7" right="0.7" top="0.75" bottom="0.75" header="0.3" footer="0.3"/>
  <pageSetup paperSize="9" orientation="portrait" r:id="rId4"/>
  <tableParts count="1">
    <tablePart r:id="rId5"/>
  </tableParts>
  <extLst>
    <ext xmlns:x14="http://schemas.microsoft.com/office/spreadsheetml/2009/9/main" uri="{CCE6A557-97BC-4b89-ADB6-D9C93CAAB3DF}">
      <x14:dataValidations xmlns:xm="http://schemas.microsoft.com/office/excel/2006/main" xWindow="1149" yWindow="453" count="4">
        <x14:dataValidation type="list" allowBlank="1" showInputMessage="1" showErrorMessage="1" xr:uid="{4B62CD62-4315-4760-9D20-3717CF5F4392}">
          <x14:formula1>
            <xm:f>Listes!$I$11:$I$168</xm:f>
          </x14:formula1>
          <xm:sqref>J402 J404</xm:sqref>
        </x14:dataValidation>
        <x14:dataValidation type="list" allowBlank="1" showInputMessage="1" showErrorMessage="1" xr:uid="{835B35E2-CA88-4442-A5C8-F01CD6E7D433}">
          <x14:formula1>
            <xm:f>Listes!$I$3:$I$7</xm:f>
          </x14:formula1>
          <xm:sqref>K15:K399</xm:sqref>
        </x14:dataValidation>
        <x14:dataValidation type="list" operator="greaterThanOrEqual" allowBlank="1" showInputMessage="1" showErrorMessage="1" errorTitle="Nombre" error="Veuillez saisir uniquement des chiffres dans cette cellule. " xr:uid="{CBBF5419-35C8-4C6E-8DF1-1EFC31F12DCF}">
          <x14:formula1>
            <xm:f>Listes!$I$11:$I$168</xm:f>
          </x14:formula1>
          <xm:sqref>I15:I399</xm:sqref>
        </x14:dataValidation>
        <x14:dataValidation type="list" allowBlank="1" showInputMessage="1" showErrorMessage="1" xr:uid="{E517FE03-1D14-4653-BEC3-9C25B305920A}">
          <x14:formula1>
            <xm:f>'Partie 3 - Entités déclarantes'!$B$73:$B$108</xm:f>
          </x14:formula1>
          <xm:sqref>H15:H399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246"/>
  <sheetViews>
    <sheetView topLeftCell="U2" zoomScale="70" zoomScaleNormal="70" workbookViewId="0">
      <selection activeCell="D9" sqref="D9"/>
    </sheetView>
  </sheetViews>
  <sheetFormatPr baseColWidth="10" defaultColWidth="26.28515625" defaultRowHeight="14.25"/>
  <cols>
    <col min="7" max="7" width="29" customWidth="1"/>
    <col min="10" max="10" width="18.7109375" customWidth="1"/>
    <col min="11" max="11" width="29.7109375" customWidth="1"/>
    <col min="12" max="12" width="4" customWidth="1"/>
    <col min="13" max="13" width="3.7109375" customWidth="1"/>
    <col min="17" max="17" width="6.7109375" customWidth="1"/>
    <col min="18" max="18" width="5.28515625" customWidth="1"/>
    <col min="20" max="20" width="39.28515625" customWidth="1"/>
    <col min="26" max="26" width="8.7109375" customWidth="1"/>
    <col min="28" max="28" width="8.42578125" customWidth="1"/>
  </cols>
  <sheetData>
    <row r="1" spans="1:31" ht="28.5">
      <c r="A1" s="5" t="s">
        <v>966</v>
      </c>
      <c r="B1" s="3"/>
      <c r="C1" s="3"/>
      <c r="D1" s="3"/>
      <c r="E1" s="3"/>
      <c r="F1" s="3"/>
      <c r="G1" s="3"/>
      <c r="H1" s="3"/>
      <c r="I1" s="5" t="s">
        <v>967</v>
      </c>
      <c r="J1" s="3"/>
      <c r="K1" s="5" t="s">
        <v>1276</v>
      </c>
      <c r="L1" s="3"/>
      <c r="M1" s="3"/>
      <c r="N1" s="5" t="s">
        <v>1278</v>
      </c>
      <c r="O1" s="5"/>
      <c r="P1" s="3"/>
      <c r="Q1" s="3"/>
      <c r="R1" s="3"/>
      <c r="S1" s="5" t="s">
        <v>1386</v>
      </c>
      <c r="T1" s="3"/>
      <c r="U1" s="3"/>
      <c r="V1" s="3"/>
      <c r="W1" s="3"/>
      <c r="X1" s="3"/>
      <c r="Y1" s="3"/>
      <c r="Z1" s="3"/>
      <c r="AA1" s="5" t="s">
        <v>1453</v>
      </c>
      <c r="AB1" s="3"/>
      <c r="AC1" s="5" t="s">
        <v>1457</v>
      </c>
      <c r="AE1" s="5" t="s">
        <v>2121</v>
      </c>
    </row>
    <row r="2" spans="1:31" ht="30">
      <c r="A2" s="5" t="s">
        <v>720</v>
      </c>
      <c r="B2" s="5" t="s">
        <v>721</v>
      </c>
      <c r="C2" s="5" t="s">
        <v>1470</v>
      </c>
      <c r="D2" s="5" t="s">
        <v>722</v>
      </c>
      <c r="E2" s="5" t="s">
        <v>1269</v>
      </c>
      <c r="F2" s="5" t="s">
        <v>1270</v>
      </c>
      <c r="G2" s="5" t="s">
        <v>1471</v>
      </c>
      <c r="H2" s="3"/>
      <c r="I2" s="3" t="s">
        <v>968</v>
      </c>
      <c r="J2" s="3"/>
      <c r="K2" s="3" t="s">
        <v>1472</v>
      </c>
      <c r="L2" s="3"/>
      <c r="M2" s="3"/>
      <c r="N2" s="6" t="s">
        <v>1348</v>
      </c>
      <c r="O2" s="6" t="s">
        <v>2381</v>
      </c>
      <c r="P2" s="6" t="s">
        <v>1349</v>
      </c>
      <c r="Q2" s="3"/>
      <c r="R2" s="3"/>
      <c r="S2" s="5" t="s">
        <v>1387</v>
      </c>
      <c r="T2" s="5" t="s">
        <v>1385</v>
      </c>
      <c r="U2" s="5" t="s">
        <v>1350</v>
      </c>
      <c r="V2" s="5" t="s">
        <v>1473</v>
      </c>
      <c r="W2" s="5" t="s">
        <v>1474</v>
      </c>
      <c r="X2" s="5" t="s">
        <v>1475</v>
      </c>
      <c r="Y2" s="5" t="s">
        <v>1476</v>
      </c>
      <c r="Z2" s="3"/>
      <c r="AA2" s="5" t="s">
        <v>1406</v>
      </c>
      <c r="AB2" s="3"/>
      <c r="AC2" s="3" t="s">
        <v>1456</v>
      </c>
      <c r="AE2" t="s">
        <v>2120</v>
      </c>
    </row>
    <row r="3" spans="1:31" ht="42.75">
      <c r="A3" s="3" t="s">
        <v>0</v>
      </c>
      <c r="B3" s="3" t="s">
        <v>1</v>
      </c>
      <c r="C3" s="3" t="s">
        <v>2</v>
      </c>
      <c r="D3" s="3" t="s">
        <v>723</v>
      </c>
      <c r="E3" s="3" t="s">
        <v>973</v>
      </c>
      <c r="F3" s="3">
        <v>971</v>
      </c>
      <c r="G3" s="3" t="s">
        <v>974</v>
      </c>
      <c r="H3" s="3"/>
      <c r="I3" s="3" t="s">
        <v>1478</v>
      </c>
      <c r="J3" s="3"/>
      <c r="K3" s="7" t="s">
        <v>2380</v>
      </c>
      <c r="L3" s="3"/>
      <c r="M3" s="3"/>
      <c r="N3" s="8" t="s">
        <v>1314</v>
      </c>
      <c r="O3" s="3" t="s">
        <v>2382</v>
      </c>
      <c r="P3" s="3" t="s">
        <v>2383</v>
      </c>
      <c r="Q3" s="3"/>
      <c r="R3" s="3"/>
      <c r="S3" s="3" t="s">
        <v>1424</v>
      </c>
      <c r="T3" s="3" t="s">
        <v>1425</v>
      </c>
      <c r="U3" s="3" t="s">
        <v>1353</v>
      </c>
      <c r="V3" s="3" t="s">
        <v>1388</v>
      </c>
      <c r="W3" s="3" t="s">
        <v>1389</v>
      </c>
      <c r="X3" s="3" t="s">
        <v>1479</v>
      </c>
      <c r="Y3" s="3" t="s">
        <v>1480</v>
      </c>
      <c r="Z3" s="3"/>
      <c r="AA3" s="3" t="s">
        <v>1481</v>
      </c>
      <c r="AB3" s="3"/>
      <c r="AC3" s="3" t="s">
        <v>1458</v>
      </c>
      <c r="AE3" t="s">
        <v>2123</v>
      </c>
    </row>
    <row r="4" spans="1:31" ht="42.75">
      <c r="A4" t="s">
        <v>581</v>
      </c>
      <c r="B4" t="s">
        <v>582</v>
      </c>
      <c r="C4" t="s">
        <v>583</v>
      </c>
      <c r="D4" t="s">
        <v>924</v>
      </c>
      <c r="E4" t="s">
        <v>1990</v>
      </c>
      <c r="F4">
        <v>710</v>
      </c>
      <c r="G4" t="s">
        <v>1991</v>
      </c>
      <c r="H4" s="3"/>
      <c r="I4" s="3" t="s">
        <v>1482</v>
      </c>
      <c r="J4" s="3"/>
      <c r="K4" s="3" t="s">
        <v>1461</v>
      </c>
      <c r="L4" s="3"/>
      <c r="M4" s="3"/>
      <c r="N4" s="8" t="s">
        <v>1302</v>
      </c>
      <c r="O4" s="3" t="s">
        <v>2384</v>
      </c>
      <c r="P4" s="3" t="s">
        <v>2385</v>
      </c>
      <c r="Q4" s="3"/>
      <c r="R4" s="3"/>
      <c r="S4" s="3" t="s">
        <v>1483</v>
      </c>
      <c r="T4" s="3" t="s">
        <v>1426</v>
      </c>
      <c r="U4" s="3" t="s">
        <v>1354</v>
      </c>
      <c r="V4" s="3" t="s">
        <v>1484</v>
      </c>
      <c r="W4" s="3" t="s">
        <v>1485</v>
      </c>
      <c r="X4" s="3" t="s">
        <v>1486</v>
      </c>
      <c r="Y4" s="3" t="s">
        <v>1487</v>
      </c>
      <c r="Z4" s="3"/>
      <c r="AA4" s="3" t="s">
        <v>1488</v>
      </c>
      <c r="AB4" s="3"/>
      <c r="AC4" s="3" t="s">
        <v>1459</v>
      </c>
      <c r="AE4" t="s">
        <v>2124</v>
      </c>
    </row>
    <row r="5" spans="1:31" ht="28.5">
      <c r="A5" s="3" t="s">
        <v>5</v>
      </c>
      <c r="B5" s="3" t="s">
        <v>6</v>
      </c>
      <c r="C5" s="3" t="s">
        <v>7</v>
      </c>
      <c r="D5" s="3" t="s">
        <v>725</v>
      </c>
      <c r="E5" s="3" t="s">
        <v>975</v>
      </c>
      <c r="F5" s="3">
        <v>8</v>
      </c>
      <c r="G5" s="3" t="s">
        <v>976</v>
      </c>
      <c r="H5" s="3"/>
      <c r="I5" s="3" t="s">
        <v>969</v>
      </c>
      <c r="J5" s="3"/>
      <c r="K5" s="3" t="s">
        <v>1489</v>
      </c>
      <c r="L5" s="3"/>
      <c r="M5" s="3"/>
      <c r="N5" s="8" t="s">
        <v>1292</v>
      </c>
      <c r="O5" s="3" t="s">
        <v>2386</v>
      </c>
      <c r="P5" s="3" t="s">
        <v>2387</v>
      </c>
      <c r="Q5" s="3"/>
      <c r="R5" s="3"/>
      <c r="S5" s="3" t="s">
        <v>1390</v>
      </c>
      <c r="T5" s="3" t="s">
        <v>1356</v>
      </c>
      <c r="U5" s="3" t="s">
        <v>1355</v>
      </c>
      <c r="V5" s="3" t="s">
        <v>1490</v>
      </c>
      <c r="W5" s="3" t="s">
        <v>1491</v>
      </c>
      <c r="X5" s="3" t="s">
        <v>1492</v>
      </c>
      <c r="Y5" s="3" t="s">
        <v>1493</v>
      </c>
      <c r="Z5" s="3"/>
      <c r="AA5" s="3" t="s">
        <v>1494</v>
      </c>
      <c r="AB5" s="3"/>
      <c r="AC5" s="3" t="s">
        <v>1495</v>
      </c>
      <c r="AE5" t="s">
        <v>2125</v>
      </c>
    </row>
    <row r="6" spans="1:31">
      <c r="A6" s="3" t="s">
        <v>8</v>
      </c>
      <c r="B6" s="3" t="s">
        <v>9</v>
      </c>
      <c r="C6" s="3" t="s">
        <v>10</v>
      </c>
      <c r="D6" s="3" t="s">
        <v>726</v>
      </c>
      <c r="E6" s="3" t="s">
        <v>1035</v>
      </c>
      <c r="F6" s="3">
        <v>12</v>
      </c>
      <c r="G6" s="3" t="s">
        <v>1036</v>
      </c>
      <c r="H6" s="3"/>
      <c r="I6" s="3" t="s">
        <v>2525</v>
      </c>
      <c r="J6" s="3"/>
      <c r="K6" s="3" t="s">
        <v>1496</v>
      </c>
      <c r="L6" s="3"/>
      <c r="M6" s="3"/>
      <c r="N6" s="8" t="s">
        <v>1346</v>
      </c>
      <c r="O6" s="3" t="s">
        <v>2388</v>
      </c>
      <c r="P6" s="3" t="s">
        <v>2389</v>
      </c>
      <c r="Q6" s="3"/>
      <c r="R6" s="3"/>
      <c r="S6" s="3" t="s">
        <v>1391</v>
      </c>
      <c r="T6" s="3" t="s">
        <v>1358</v>
      </c>
      <c r="U6" s="3" t="s">
        <v>1357</v>
      </c>
      <c r="V6" s="3" t="s">
        <v>1497</v>
      </c>
      <c r="W6" s="3" t="s">
        <v>1498</v>
      </c>
      <c r="X6" s="3" t="s">
        <v>1499</v>
      </c>
      <c r="Y6" s="3" t="s">
        <v>1500</v>
      </c>
      <c r="Z6" s="3"/>
      <c r="AA6" s="3" t="s">
        <v>2096</v>
      </c>
      <c r="AB6" s="3"/>
      <c r="AC6" s="3" t="s">
        <v>1460</v>
      </c>
      <c r="AE6" t="s">
        <v>2126</v>
      </c>
    </row>
    <row r="7" spans="1:31" ht="57">
      <c r="A7" t="s">
        <v>231</v>
      </c>
      <c r="B7" t="s">
        <v>232</v>
      </c>
      <c r="C7" t="s">
        <v>233</v>
      </c>
      <c r="D7" t="s">
        <v>803</v>
      </c>
      <c r="E7" t="s">
        <v>1744</v>
      </c>
      <c r="F7">
        <v>978</v>
      </c>
      <c r="G7" t="s">
        <v>1745</v>
      </c>
      <c r="H7" s="3"/>
      <c r="I7" s="3" t="s">
        <v>1501</v>
      </c>
      <c r="J7" s="3"/>
      <c r="K7" s="3" t="s">
        <v>1502</v>
      </c>
      <c r="L7" s="3"/>
      <c r="N7" s="8" t="s">
        <v>2532</v>
      </c>
      <c r="O7" s="3" t="s">
        <v>2533</v>
      </c>
      <c r="P7" s="3" t="s">
        <v>2534</v>
      </c>
      <c r="Q7" s="3"/>
      <c r="R7" s="3"/>
      <c r="S7" s="3" t="s">
        <v>1503</v>
      </c>
      <c r="T7" s="3" t="s">
        <v>1427</v>
      </c>
      <c r="U7" s="3" t="s">
        <v>1359</v>
      </c>
      <c r="V7" s="3" t="s">
        <v>1504</v>
      </c>
      <c r="W7" s="3" t="s">
        <v>1392</v>
      </c>
      <c r="X7" s="3" t="s">
        <v>1505</v>
      </c>
      <c r="Y7" s="3" t="s">
        <v>1506</v>
      </c>
      <c r="Z7" s="3"/>
      <c r="AA7" s="3" t="s">
        <v>1507</v>
      </c>
      <c r="AB7" s="3"/>
      <c r="AC7" s="3" t="s">
        <v>1508</v>
      </c>
      <c r="AE7" t="s">
        <v>2122</v>
      </c>
    </row>
    <row r="8" spans="1:31" ht="28.5">
      <c r="A8" s="3" t="s">
        <v>14</v>
      </c>
      <c r="B8" s="3" t="s">
        <v>15</v>
      </c>
      <c r="C8" s="3" t="s">
        <v>16</v>
      </c>
      <c r="D8" s="3" t="s">
        <v>728</v>
      </c>
      <c r="E8" s="3" t="s">
        <v>1517</v>
      </c>
      <c r="F8" s="3">
        <v>978</v>
      </c>
      <c r="G8" s="3" t="s">
        <v>1518</v>
      </c>
      <c r="H8" s="3"/>
      <c r="I8" s="3"/>
      <c r="J8" s="3"/>
      <c r="K8" s="3"/>
      <c r="L8" s="3"/>
      <c r="M8" s="3"/>
      <c r="N8" s="8" t="s">
        <v>1287</v>
      </c>
      <c r="O8" s="3" t="s">
        <v>2390</v>
      </c>
      <c r="P8" s="3" t="s">
        <v>2391</v>
      </c>
      <c r="Q8" s="3"/>
      <c r="R8" s="3"/>
      <c r="S8" s="3" t="s">
        <v>1428</v>
      </c>
      <c r="T8" s="3" t="s">
        <v>1429</v>
      </c>
      <c r="U8" s="3" t="s">
        <v>1360</v>
      </c>
      <c r="V8" s="3" t="s">
        <v>1511</v>
      </c>
      <c r="W8" s="3" t="s">
        <v>1512</v>
      </c>
      <c r="X8" s="3" t="s">
        <v>1513</v>
      </c>
      <c r="Y8" s="3" t="s">
        <v>1514</v>
      </c>
      <c r="Z8" s="3"/>
      <c r="AA8" s="3" t="s">
        <v>1515</v>
      </c>
      <c r="AB8" s="3"/>
      <c r="AC8" s="3" t="s">
        <v>1516</v>
      </c>
    </row>
    <row r="9" spans="1:31" ht="57">
      <c r="A9" s="3" t="s">
        <v>17</v>
      </c>
      <c r="B9" s="3" t="s">
        <v>18</v>
      </c>
      <c r="C9" s="3" t="s">
        <v>19</v>
      </c>
      <c r="D9" s="3" t="s">
        <v>729</v>
      </c>
      <c r="E9" s="3" t="s">
        <v>981</v>
      </c>
      <c r="F9" s="3">
        <v>973</v>
      </c>
      <c r="G9" s="3" t="s">
        <v>982</v>
      </c>
      <c r="H9" s="3"/>
      <c r="I9" s="5" t="s">
        <v>1277</v>
      </c>
      <c r="J9" s="3"/>
      <c r="K9" s="3"/>
      <c r="L9" s="3"/>
      <c r="M9" s="3"/>
      <c r="N9" s="8" t="s">
        <v>1325</v>
      </c>
      <c r="O9" s="3" t="s">
        <v>2392</v>
      </c>
      <c r="P9" s="3" t="s">
        <v>2393</v>
      </c>
      <c r="Q9" s="3"/>
      <c r="R9" s="3"/>
      <c r="S9" s="3" t="s">
        <v>1519</v>
      </c>
      <c r="T9" s="3" t="s">
        <v>1431</v>
      </c>
      <c r="U9" s="3" t="s">
        <v>1361</v>
      </c>
      <c r="V9" s="3" t="s">
        <v>1520</v>
      </c>
      <c r="W9" s="3" t="s">
        <v>1521</v>
      </c>
      <c r="X9" s="3" t="s">
        <v>1430</v>
      </c>
      <c r="Y9" s="3" t="s">
        <v>1522</v>
      </c>
      <c r="Z9" s="3"/>
      <c r="AA9" s="3" t="s">
        <v>1523</v>
      </c>
      <c r="AB9" s="3"/>
      <c r="AC9" s="3"/>
    </row>
    <row r="10" spans="1:31" ht="57">
      <c r="A10" s="3" t="s">
        <v>20</v>
      </c>
      <c r="B10" s="3" t="s">
        <v>21</v>
      </c>
      <c r="C10" s="3" t="s">
        <v>22</v>
      </c>
      <c r="D10" s="3" t="s">
        <v>730</v>
      </c>
      <c r="E10" s="3" t="s">
        <v>1170</v>
      </c>
      <c r="F10" s="3">
        <v>951</v>
      </c>
      <c r="G10" s="3" t="s">
        <v>1171</v>
      </c>
      <c r="H10" s="3"/>
      <c r="I10" s="4" t="s">
        <v>1524</v>
      </c>
      <c r="J10" s="4" t="s">
        <v>1525</v>
      </c>
      <c r="K10" s="9" t="s">
        <v>1526</v>
      </c>
      <c r="L10" s="3"/>
      <c r="M10" s="3"/>
      <c r="N10" s="8" t="s">
        <v>1286</v>
      </c>
      <c r="O10" s="3" t="s">
        <v>2394</v>
      </c>
      <c r="P10" s="3" t="s">
        <v>2395</v>
      </c>
      <c r="Q10" s="3"/>
      <c r="R10" s="3"/>
      <c r="S10" s="3" t="s">
        <v>1527</v>
      </c>
      <c r="T10" s="3" t="s">
        <v>1432</v>
      </c>
      <c r="U10" s="3" t="s">
        <v>1362</v>
      </c>
      <c r="V10" s="3" t="s">
        <v>1528</v>
      </c>
      <c r="W10" s="3" t="s">
        <v>1529</v>
      </c>
      <c r="X10" s="3" t="s">
        <v>1530</v>
      </c>
      <c r="Y10" s="3" t="s">
        <v>1531</v>
      </c>
      <c r="Z10" s="3"/>
      <c r="AA10" s="3"/>
      <c r="AB10" s="3"/>
      <c r="AC10" s="3"/>
    </row>
    <row r="11" spans="1:31" ht="57">
      <c r="A11" s="3" t="s">
        <v>23</v>
      </c>
      <c r="B11" s="3" t="s">
        <v>24</v>
      </c>
      <c r="C11" s="3" t="s">
        <v>25</v>
      </c>
      <c r="D11" s="3" t="s">
        <v>731</v>
      </c>
      <c r="E11" s="3" t="s">
        <v>1536</v>
      </c>
      <c r="F11" s="3">
        <v>951</v>
      </c>
      <c r="G11" s="3" t="s">
        <v>1537</v>
      </c>
      <c r="H11" s="3"/>
      <c r="I11" s="10" t="s">
        <v>971</v>
      </c>
      <c r="J11" s="10">
        <v>784</v>
      </c>
      <c r="K11" s="11" t="s">
        <v>972</v>
      </c>
      <c r="L11" s="3"/>
      <c r="M11" s="3"/>
      <c r="N11" s="8" t="s">
        <v>1329</v>
      </c>
      <c r="O11" s="3" t="s">
        <v>2396</v>
      </c>
      <c r="P11" s="3" t="s">
        <v>2397</v>
      </c>
      <c r="Q11" s="3"/>
      <c r="R11" s="3"/>
      <c r="S11" s="3" t="s">
        <v>1433</v>
      </c>
      <c r="T11" s="3" t="s">
        <v>1434</v>
      </c>
      <c r="U11" s="3" t="s">
        <v>1363</v>
      </c>
      <c r="V11" s="3" t="s">
        <v>1532</v>
      </c>
      <c r="W11" s="3" t="s">
        <v>1533</v>
      </c>
      <c r="X11" s="3" t="s">
        <v>1534</v>
      </c>
      <c r="Y11" s="3" t="s">
        <v>1535</v>
      </c>
      <c r="Z11" s="3"/>
      <c r="AA11" s="3"/>
      <c r="AB11" s="3"/>
      <c r="AC11" s="3"/>
    </row>
    <row r="12" spans="1:31" ht="42.75">
      <c r="A12" t="s">
        <v>441</v>
      </c>
      <c r="B12" t="s">
        <v>442</v>
      </c>
      <c r="C12" t="s">
        <v>443</v>
      </c>
      <c r="D12" t="s">
        <v>876</v>
      </c>
      <c r="E12" t="s">
        <v>1899</v>
      </c>
      <c r="F12">
        <v>532</v>
      </c>
      <c r="G12" t="s">
        <v>1900</v>
      </c>
      <c r="H12" s="3"/>
      <c r="I12" s="10" t="s">
        <v>1538</v>
      </c>
      <c r="J12" s="10">
        <v>971</v>
      </c>
      <c r="K12" s="11" t="s">
        <v>1539</v>
      </c>
      <c r="L12" s="3"/>
      <c r="M12" s="3"/>
      <c r="N12" s="8" t="s">
        <v>1343</v>
      </c>
      <c r="O12" s="3" t="s">
        <v>2398</v>
      </c>
      <c r="P12" s="3" t="s">
        <v>2399</v>
      </c>
      <c r="Q12" s="3"/>
      <c r="R12" s="3"/>
      <c r="S12" s="3" t="s">
        <v>1435</v>
      </c>
      <c r="T12" s="3" t="s">
        <v>1436</v>
      </c>
      <c r="U12" s="3" t="s">
        <v>1364</v>
      </c>
      <c r="V12" s="3" t="s">
        <v>1540</v>
      </c>
      <c r="W12" s="3" t="s">
        <v>1393</v>
      </c>
      <c r="X12" s="3" t="s">
        <v>1541</v>
      </c>
      <c r="Y12" s="3" t="s">
        <v>1542</v>
      </c>
      <c r="Z12" s="3"/>
      <c r="AA12" s="3"/>
      <c r="AB12" s="3"/>
      <c r="AC12" s="3"/>
    </row>
    <row r="13" spans="1:31" ht="42.75">
      <c r="A13" t="s">
        <v>551</v>
      </c>
      <c r="B13" t="s">
        <v>552</v>
      </c>
      <c r="C13" t="s">
        <v>553</v>
      </c>
      <c r="D13" t="s">
        <v>914</v>
      </c>
      <c r="E13" t="s">
        <v>1971</v>
      </c>
      <c r="F13">
        <v>682</v>
      </c>
      <c r="G13" t="s">
        <v>1972</v>
      </c>
      <c r="H13" s="3"/>
      <c r="I13" s="10" t="s">
        <v>1543</v>
      </c>
      <c r="J13" s="10">
        <v>8</v>
      </c>
      <c r="K13" s="11" t="s">
        <v>1544</v>
      </c>
      <c r="L13" s="3"/>
      <c r="M13" s="3"/>
      <c r="N13" s="8" t="s">
        <v>1306</v>
      </c>
      <c r="O13" s="3" t="s">
        <v>2400</v>
      </c>
      <c r="P13" s="3" t="s">
        <v>2401</v>
      </c>
      <c r="Q13" s="3"/>
      <c r="R13" s="3"/>
      <c r="S13" s="3" t="s">
        <v>1437</v>
      </c>
      <c r="T13" s="3" t="s">
        <v>1438</v>
      </c>
      <c r="U13" s="3" t="s">
        <v>1365</v>
      </c>
      <c r="V13" s="3" t="s">
        <v>1545</v>
      </c>
      <c r="W13" s="3" t="s">
        <v>1546</v>
      </c>
      <c r="X13" s="3" t="s">
        <v>1547</v>
      </c>
      <c r="Y13" s="3" t="s">
        <v>1548</v>
      </c>
      <c r="Z13" s="3"/>
      <c r="AA13" s="3"/>
      <c r="AB13" s="3"/>
      <c r="AC13" s="3"/>
    </row>
    <row r="14" spans="1:31" ht="42.75">
      <c r="A14" s="3" t="s">
        <v>26</v>
      </c>
      <c r="B14" s="3" t="s">
        <v>27</v>
      </c>
      <c r="C14" s="3" t="s">
        <v>28</v>
      </c>
      <c r="D14" s="3" t="s">
        <v>732</v>
      </c>
      <c r="E14" s="3" t="s">
        <v>983</v>
      </c>
      <c r="F14" s="3">
        <v>32</v>
      </c>
      <c r="G14" s="3" t="s">
        <v>984</v>
      </c>
      <c r="H14" s="3"/>
      <c r="I14" s="10" t="s">
        <v>1549</v>
      </c>
      <c r="J14" s="10">
        <v>51</v>
      </c>
      <c r="K14" s="11" t="s">
        <v>1550</v>
      </c>
      <c r="L14" s="3"/>
      <c r="M14" s="3"/>
      <c r="N14" s="8" t="s">
        <v>1295</v>
      </c>
      <c r="O14" s="3" t="s">
        <v>2402</v>
      </c>
      <c r="P14" s="3" t="s">
        <v>2403</v>
      </c>
      <c r="Q14" s="3"/>
      <c r="R14" s="3"/>
      <c r="S14" s="3" t="s">
        <v>1439</v>
      </c>
      <c r="T14" s="3" t="s">
        <v>1440</v>
      </c>
      <c r="U14" s="3" t="s">
        <v>1366</v>
      </c>
      <c r="V14" s="3" t="s">
        <v>1551</v>
      </c>
      <c r="W14" s="3" t="s">
        <v>1552</v>
      </c>
      <c r="X14" s="3" t="s">
        <v>1553</v>
      </c>
      <c r="Y14" s="3" t="s">
        <v>1554</v>
      </c>
      <c r="Z14" s="3"/>
      <c r="AA14" s="3"/>
      <c r="AB14" s="3"/>
      <c r="AC14" s="3"/>
    </row>
    <row r="15" spans="1:31" ht="42.75">
      <c r="A15" s="3" t="s">
        <v>29</v>
      </c>
      <c r="B15" s="3" t="s">
        <v>30</v>
      </c>
      <c r="C15" s="3" t="s">
        <v>31</v>
      </c>
      <c r="D15" s="3" t="s">
        <v>733</v>
      </c>
      <c r="E15" s="3" t="s">
        <v>977</v>
      </c>
      <c r="F15" s="3">
        <v>51</v>
      </c>
      <c r="G15" s="3" t="s">
        <v>978</v>
      </c>
      <c r="H15" s="3"/>
      <c r="I15" s="10" t="s">
        <v>979</v>
      </c>
      <c r="J15" s="10">
        <v>532</v>
      </c>
      <c r="K15" s="11" t="s">
        <v>980</v>
      </c>
      <c r="L15" s="3"/>
      <c r="M15" s="3"/>
      <c r="N15" s="8" t="s">
        <v>1299</v>
      </c>
      <c r="O15" s="3" t="s">
        <v>2404</v>
      </c>
      <c r="P15" s="3" t="s">
        <v>2405</v>
      </c>
      <c r="Q15" s="3"/>
      <c r="R15" s="3"/>
      <c r="S15" s="3" t="s">
        <v>1555</v>
      </c>
      <c r="T15" s="3" t="s">
        <v>1368</v>
      </c>
      <c r="U15" s="3" t="s">
        <v>1367</v>
      </c>
      <c r="V15" s="3" t="s">
        <v>1556</v>
      </c>
      <c r="W15" s="3" t="s">
        <v>1557</v>
      </c>
      <c r="X15" s="3" t="s">
        <v>1558</v>
      </c>
      <c r="Y15" s="3" t="s">
        <v>1559</v>
      </c>
      <c r="Z15" s="3"/>
      <c r="AA15" s="3"/>
      <c r="AB15" s="3"/>
      <c r="AC15" s="3"/>
    </row>
    <row r="16" spans="1:31" ht="28.5">
      <c r="A16" s="3" t="s">
        <v>32</v>
      </c>
      <c r="B16" s="3" t="s">
        <v>33</v>
      </c>
      <c r="C16" s="3" t="s">
        <v>34</v>
      </c>
      <c r="D16" s="3" t="s">
        <v>734</v>
      </c>
      <c r="E16" s="3" t="s">
        <v>987</v>
      </c>
      <c r="F16" s="3">
        <v>533</v>
      </c>
      <c r="G16" s="3" t="s">
        <v>988</v>
      </c>
      <c r="H16" s="3"/>
      <c r="I16" s="10" t="s">
        <v>1560</v>
      </c>
      <c r="J16" s="10">
        <v>973</v>
      </c>
      <c r="K16" s="11" t="s">
        <v>1561</v>
      </c>
      <c r="L16" s="3"/>
      <c r="M16" s="3"/>
      <c r="N16" s="8" t="s">
        <v>1297</v>
      </c>
      <c r="O16" s="3" t="s">
        <v>2406</v>
      </c>
      <c r="P16" s="3" t="s">
        <v>2407</v>
      </c>
      <c r="Q16" s="3"/>
      <c r="R16" s="3"/>
      <c r="S16" s="3" t="s">
        <v>1396</v>
      </c>
      <c r="T16" s="3" t="s">
        <v>1370</v>
      </c>
      <c r="U16" s="3" t="s">
        <v>1369</v>
      </c>
      <c r="V16" s="3" t="s">
        <v>1395</v>
      </c>
      <c r="W16" s="3" t="s">
        <v>1562</v>
      </c>
      <c r="X16" s="3" t="s">
        <v>1563</v>
      </c>
      <c r="Y16" s="3" t="s">
        <v>1564</v>
      </c>
      <c r="Z16" s="3"/>
      <c r="AA16" s="3"/>
      <c r="AB16" s="3"/>
      <c r="AC16" s="3"/>
    </row>
    <row r="17" spans="1:29" ht="28.5">
      <c r="A17" s="3" t="s">
        <v>35</v>
      </c>
      <c r="B17" s="3" t="s">
        <v>36</v>
      </c>
      <c r="C17" s="3" t="s">
        <v>37</v>
      </c>
      <c r="D17" s="3" t="s">
        <v>735</v>
      </c>
      <c r="E17" s="3" t="s">
        <v>985</v>
      </c>
      <c r="F17" s="3">
        <v>36</v>
      </c>
      <c r="G17" s="3" t="s">
        <v>986</v>
      </c>
      <c r="H17" s="3"/>
      <c r="I17" s="10" t="s">
        <v>1567</v>
      </c>
      <c r="J17" s="10">
        <v>32</v>
      </c>
      <c r="K17" s="11" t="s">
        <v>1568</v>
      </c>
      <c r="L17" s="3"/>
      <c r="M17" s="3"/>
      <c r="N17" s="8" t="s">
        <v>1328</v>
      </c>
      <c r="O17" s="3" t="s">
        <v>2408</v>
      </c>
      <c r="P17" s="3" t="s">
        <v>2409</v>
      </c>
      <c r="Q17" s="3"/>
      <c r="R17" s="3"/>
      <c r="S17" s="3" t="s">
        <v>1414</v>
      </c>
      <c r="T17" s="3" t="s">
        <v>1441</v>
      </c>
      <c r="U17" s="3" t="s">
        <v>1371</v>
      </c>
      <c r="V17" s="3" t="s">
        <v>1397</v>
      </c>
      <c r="W17" s="3" t="s">
        <v>1398</v>
      </c>
      <c r="X17" s="3" t="s">
        <v>1413</v>
      </c>
      <c r="Y17" s="3" t="s">
        <v>1569</v>
      </c>
      <c r="Z17" s="3"/>
      <c r="AA17" s="3"/>
      <c r="AB17" s="3"/>
      <c r="AC17" s="3"/>
    </row>
    <row r="18" spans="1:29" ht="28.5">
      <c r="A18" s="3" t="s">
        <v>38</v>
      </c>
      <c r="B18" s="3" t="s">
        <v>39</v>
      </c>
      <c r="C18" s="3" t="s">
        <v>40</v>
      </c>
      <c r="D18" s="3" t="s">
        <v>736</v>
      </c>
      <c r="E18" s="3" t="s">
        <v>1565</v>
      </c>
      <c r="F18" s="3">
        <v>978</v>
      </c>
      <c r="G18" s="3" t="s">
        <v>1566</v>
      </c>
      <c r="H18" s="3"/>
      <c r="I18" s="10" t="s">
        <v>1570</v>
      </c>
      <c r="J18" s="10">
        <v>36</v>
      </c>
      <c r="K18" s="11" t="s">
        <v>1571</v>
      </c>
      <c r="L18" s="3"/>
      <c r="M18" s="3"/>
      <c r="N18" s="8" t="s">
        <v>1330</v>
      </c>
      <c r="O18" s="3" t="s">
        <v>2410</v>
      </c>
      <c r="P18" s="3" t="s">
        <v>2411</v>
      </c>
      <c r="Q18" s="3"/>
      <c r="R18" s="3"/>
      <c r="S18" s="3" t="s">
        <v>1415</v>
      </c>
      <c r="T18" s="3" t="s">
        <v>1442</v>
      </c>
      <c r="U18" s="3" t="s">
        <v>1372</v>
      </c>
      <c r="V18" s="3" t="s">
        <v>1572</v>
      </c>
      <c r="W18" s="3" t="s">
        <v>1573</v>
      </c>
      <c r="X18" s="3" t="s">
        <v>1574</v>
      </c>
      <c r="Y18" s="3" t="s">
        <v>1575</v>
      </c>
      <c r="Z18" s="3"/>
      <c r="AA18" s="3"/>
      <c r="AB18" s="3"/>
      <c r="AC18" s="3"/>
    </row>
    <row r="19" spans="1:29" ht="28.5">
      <c r="A19" s="3" t="s">
        <v>41</v>
      </c>
      <c r="B19" s="3" t="s">
        <v>42</v>
      </c>
      <c r="C19" s="3" t="s">
        <v>43</v>
      </c>
      <c r="D19" s="3" t="s">
        <v>737</v>
      </c>
      <c r="E19" s="3" t="s">
        <v>989</v>
      </c>
      <c r="F19" s="3">
        <v>944</v>
      </c>
      <c r="G19" s="3" t="s">
        <v>990</v>
      </c>
      <c r="H19" s="3"/>
      <c r="I19" s="10" t="s">
        <v>1576</v>
      </c>
      <c r="J19" s="10">
        <v>533</v>
      </c>
      <c r="K19" s="11" t="s">
        <v>1577</v>
      </c>
      <c r="L19" s="3"/>
      <c r="M19" s="3"/>
      <c r="N19" s="8" t="s">
        <v>1300</v>
      </c>
      <c r="O19" s="3" t="s">
        <v>2412</v>
      </c>
      <c r="P19" s="3" t="s">
        <v>2413</v>
      </c>
      <c r="Q19" s="3"/>
      <c r="R19" s="3"/>
      <c r="S19" s="3" t="s">
        <v>1416</v>
      </c>
      <c r="T19" s="3" t="s">
        <v>1443</v>
      </c>
      <c r="U19" s="3" t="s">
        <v>1373</v>
      </c>
      <c r="V19" s="3" t="s">
        <v>1578</v>
      </c>
      <c r="W19" s="3" t="s">
        <v>1579</v>
      </c>
      <c r="X19" s="3" t="s">
        <v>1580</v>
      </c>
      <c r="Y19" s="3" t="s">
        <v>1581</v>
      </c>
      <c r="Z19" s="3"/>
      <c r="AA19" s="3"/>
      <c r="AB19" s="3"/>
      <c r="AC19" s="3"/>
    </row>
    <row r="20" spans="1:29" ht="28.5">
      <c r="A20" s="3" t="s">
        <v>44</v>
      </c>
      <c r="B20" s="3" t="s">
        <v>45</v>
      </c>
      <c r="C20" s="3" t="s">
        <v>46</v>
      </c>
      <c r="D20" s="3" t="s">
        <v>738</v>
      </c>
      <c r="E20" s="3" t="s">
        <v>1008</v>
      </c>
      <c r="F20" s="3">
        <v>44</v>
      </c>
      <c r="G20" s="3" t="s">
        <v>1009</v>
      </c>
      <c r="H20" s="3"/>
      <c r="I20" s="10" t="s">
        <v>1582</v>
      </c>
      <c r="J20" s="10">
        <v>944</v>
      </c>
      <c r="K20" s="11" t="s">
        <v>1583</v>
      </c>
      <c r="L20" s="3"/>
      <c r="M20" s="3"/>
      <c r="N20" s="8" t="s">
        <v>1318</v>
      </c>
      <c r="O20" s="3" t="s">
        <v>2414</v>
      </c>
      <c r="P20" s="3" t="s">
        <v>2415</v>
      </c>
      <c r="Q20" s="3"/>
      <c r="R20" s="3"/>
      <c r="S20" s="3" t="s">
        <v>1584</v>
      </c>
      <c r="T20" s="3" t="s">
        <v>1444</v>
      </c>
      <c r="U20" s="3" t="s">
        <v>1374</v>
      </c>
      <c r="V20" s="3" t="s">
        <v>1585</v>
      </c>
      <c r="W20" s="3" t="s">
        <v>1586</v>
      </c>
      <c r="X20" s="3" t="s">
        <v>1417</v>
      </c>
      <c r="Y20" s="3" t="s">
        <v>1587</v>
      </c>
      <c r="Z20" s="3"/>
      <c r="AA20" s="3"/>
      <c r="AB20" s="3"/>
      <c r="AC20" s="3"/>
    </row>
    <row r="21" spans="1:29" ht="28.5">
      <c r="A21" s="3" t="s">
        <v>47</v>
      </c>
      <c r="B21" s="3" t="s">
        <v>48</v>
      </c>
      <c r="C21" s="3" t="s">
        <v>49</v>
      </c>
      <c r="D21" s="3" t="s">
        <v>739</v>
      </c>
      <c r="E21" s="3" t="s">
        <v>997</v>
      </c>
      <c r="F21" s="3">
        <v>48</v>
      </c>
      <c r="G21" s="3" t="s">
        <v>998</v>
      </c>
      <c r="H21" s="3"/>
      <c r="I21" s="10" t="s">
        <v>991</v>
      </c>
      <c r="J21" s="10">
        <v>977</v>
      </c>
      <c r="K21" s="11" t="s">
        <v>992</v>
      </c>
      <c r="L21" s="3"/>
      <c r="M21" s="3"/>
      <c r="N21" s="8" t="s">
        <v>1301</v>
      </c>
      <c r="O21" s="3" t="s">
        <v>2416</v>
      </c>
      <c r="P21" s="3" t="s">
        <v>2417</v>
      </c>
      <c r="Q21" s="3"/>
      <c r="R21" s="3"/>
      <c r="S21" s="3" t="s">
        <v>1418</v>
      </c>
      <c r="T21" s="3" t="s">
        <v>1445</v>
      </c>
      <c r="U21" s="3" t="s">
        <v>1375</v>
      </c>
      <c r="V21" s="3" t="s">
        <v>1588</v>
      </c>
      <c r="W21" s="3" t="s">
        <v>1589</v>
      </c>
      <c r="X21" s="3" t="s">
        <v>1590</v>
      </c>
      <c r="Y21" s="3" t="s">
        <v>1591</v>
      </c>
      <c r="Z21" s="3"/>
      <c r="AA21" s="3"/>
      <c r="AB21" s="3"/>
      <c r="AC21" s="3"/>
    </row>
    <row r="22" spans="1:29" ht="28.5">
      <c r="A22" s="3" t="s">
        <v>50</v>
      </c>
      <c r="B22" s="3" t="s">
        <v>51</v>
      </c>
      <c r="C22" s="3" t="s">
        <v>52</v>
      </c>
      <c r="D22" s="3" t="s">
        <v>740</v>
      </c>
      <c r="E22" s="3" t="s">
        <v>994</v>
      </c>
      <c r="F22" s="3">
        <v>50</v>
      </c>
      <c r="G22" s="3" t="s">
        <v>995</v>
      </c>
      <c r="H22" s="3"/>
      <c r="I22" s="10" t="s">
        <v>1592</v>
      </c>
      <c r="J22" s="10">
        <v>52</v>
      </c>
      <c r="K22" s="11" t="s">
        <v>1593</v>
      </c>
      <c r="L22" s="3"/>
      <c r="M22" s="3"/>
      <c r="N22" s="8" t="s">
        <v>1313</v>
      </c>
      <c r="O22" s="3" t="s">
        <v>2418</v>
      </c>
      <c r="P22" s="3" t="s">
        <v>2419</v>
      </c>
      <c r="Q22" s="3"/>
      <c r="R22" s="3"/>
      <c r="S22" s="3" t="s">
        <v>1446</v>
      </c>
      <c r="T22" s="3" t="s">
        <v>1447</v>
      </c>
      <c r="U22" s="3" t="s">
        <v>1376</v>
      </c>
      <c r="V22" s="3" t="s">
        <v>1594</v>
      </c>
      <c r="W22" s="3" t="s">
        <v>1595</v>
      </c>
      <c r="X22" s="3" t="s">
        <v>1596</v>
      </c>
      <c r="Y22" s="3" t="s">
        <v>1419</v>
      </c>
      <c r="Z22" s="3"/>
      <c r="AA22" s="3"/>
      <c r="AB22" s="3"/>
      <c r="AC22" s="3"/>
    </row>
    <row r="23" spans="1:29" ht="28.5">
      <c r="A23" s="3" t="s">
        <v>53</v>
      </c>
      <c r="B23" s="3" t="s">
        <v>54</v>
      </c>
      <c r="C23" s="3" t="s">
        <v>55</v>
      </c>
      <c r="D23" s="3" t="s">
        <v>741</v>
      </c>
      <c r="E23" s="3" t="s">
        <v>993</v>
      </c>
      <c r="F23" s="3">
        <v>52</v>
      </c>
      <c r="G23" s="3" t="s">
        <v>1176</v>
      </c>
      <c r="H23" s="3"/>
      <c r="I23" s="10" t="s">
        <v>1597</v>
      </c>
      <c r="J23" s="10">
        <v>50</v>
      </c>
      <c r="K23" s="11" t="s">
        <v>1598</v>
      </c>
      <c r="L23" s="3"/>
      <c r="M23" s="3"/>
      <c r="N23" s="8" t="s">
        <v>1342</v>
      </c>
      <c r="O23" s="3" t="s">
        <v>2420</v>
      </c>
      <c r="P23" s="3" t="s">
        <v>2421</v>
      </c>
      <c r="Q23" s="3"/>
      <c r="R23" s="3"/>
      <c r="S23" s="3" t="s">
        <v>2527</v>
      </c>
      <c r="T23" s="3" t="s">
        <v>1448</v>
      </c>
      <c r="U23" s="3" t="s">
        <v>1377</v>
      </c>
      <c r="V23" s="3" t="s">
        <v>1599</v>
      </c>
      <c r="W23" s="3" t="s">
        <v>1600</v>
      </c>
      <c r="X23" s="3" t="s">
        <v>1601</v>
      </c>
      <c r="Y23" s="3" t="s">
        <v>1602</v>
      </c>
      <c r="Z23" s="3"/>
      <c r="AA23" s="3"/>
      <c r="AB23" s="3"/>
      <c r="AC23" s="3"/>
    </row>
    <row r="24" spans="1:29" ht="42.75">
      <c r="A24" s="3" t="s">
        <v>56</v>
      </c>
      <c r="B24" s="3" t="s">
        <v>57</v>
      </c>
      <c r="C24" s="3" t="s">
        <v>58</v>
      </c>
      <c r="D24" s="3" t="s">
        <v>742</v>
      </c>
      <c r="E24" s="3" t="s">
        <v>1180</v>
      </c>
      <c r="F24" s="3">
        <v>974</v>
      </c>
      <c r="G24" s="3" t="s">
        <v>1181</v>
      </c>
      <c r="H24" s="3"/>
      <c r="I24" s="10" t="s">
        <v>996</v>
      </c>
      <c r="J24" s="10">
        <v>975</v>
      </c>
      <c r="K24" s="11" t="s">
        <v>1177</v>
      </c>
      <c r="L24" s="3"/>
      <c r="M24" s="3"/>
      <c r="N24" s="8" t="s">
        <v>1333</v>
      </c>
      <c r="O24" s="3" t="s">
        <v>2422</v>
      </c>
      <c r="P24" s="3" t="s">
        <v>2423</v>
      </c>
      <c r="Q24" s="3"/>
      <c r="R24" s="3"/>
      <c r="S24" s="3" t="s">
        <v>1421</v>
      </c>
      <c r="T24" s="3" t="s">
        <v>1449</v>
      </c>
      <c r="U24" s="3" t="s">
        <v>1378</v>
      </c>
      <c r="V24" s="3" t="s">
        <v>1605</v>
      </c>
      <c r="W24" s="3" t="s">
        <v>1606</v>
      </c>
      <c r="X24" s="3" t="s">
        <v>1607</v>
      </c>
      <c r="Y24" s="3" t="s">
        <v>1608</v>
      </c>
      <c r="Z24" s="3"/>
      <c r="AA24" s="3"/>
      <c r="AB24" s="3"/>
      <c r="AC24" s="3"/>
    </row>
    <row r="25" spans="1:29" ht="28.5">
      <c r="A25" s="3" t="s">
        <v>59</v>
      </c>
      <c r="B25" s="3" t="s">
        <v>60</v>
      </c>
      <c r="C25" s="3" t="s">
        <v>61</v>
      </c>
      <c r="D25" s="3" t="s">
        <v>743</v>
      </c>
      <c r="E25" s="3" t="s">
        <v>1603</v>
      </c>
      <c r="F25" s="3">
        <v>978</v>
      </c>
      <c r="G25" s="3" t="s">
        <v>1604</v>
      </c>
      <c r="H25" s="3"/>
      <c r="I25" s="10" t="s">
        <v>1609</v>
      </c>
      <c r="J25" s="10">
        <v>48</v>
      </c>
      <c r="K25" s="11" t="s">
        <v>1610</v>
      </c>
      <c r="L25" s="3"/>
      <c r="M25" s="3"/>
      <c r="N25" s="8" t="s">
        <v>1305</v>
      </c>
      <c r="O25" s="3" t="s">
        <v>2424</v>
      </c>
      <c r="P25" s="3" t="s">
        <v>2425</v>
      </c>
      <c r="Q25" s="3"/>
      <c r="R25" s="3"/>
      <c r="S25" s="3" t="s">
        <v>1422</v>
      </c>
      <c r="T25" s="3" t="s">
        <v>1450</v>
      </c>
      <c r="U25" s="3" t="s">
        <v>1379</v>
      </c>
      <c r="V25" s="3" t="s">
        <v>1611</v>
      </c>
      <c r="W25" s="3" t="s">
        <v>1612</v>
      </c>
      <c r="X25" s="3" t="s">
        <v>1613</v>
      </c>
      <c r="Y25" s="3" t="s">
        <v>1614</v>
      </c>
      <c r="Z25" s="3"/>
      <c r="AA25" s="3"/>
      <c r="AB25" s="3"/>
      <c r="AC25" s="3"/>
    </row>
    <row r="26" spans="1:29" ht="42.75">
      <c r="A26" s="3" t="s">
        <v>62</v>
      </c>
      <c r="B26" s="3" t="s">
        <v>63</v>
      </c>
      <c r="C26" s="3" t="s">
        <v>64</v>
      </c>
      <c r="D26" s="3" t="s">
        <v>744</v>
      </c>
      <c r="E26" s="3" t="s">
        <v>1012</v>
      </c>
      <c r="F26" s="3">
        <v>84</v>
      </c>
      <c r="G26" s="3" t="s">
        <v>1013</v>
      </c>
      <c r="H26" s="3"/>
      <c r="I26" s="10" t="s">
        <v>999</v>
      </c>
      <c r="J26" s="10">
        <v>108</v>
      </c>
      <c r="K26" s="11" t="s">
        <v>1000</v>
      </c>
      <c r="L26" s="3"/>
      <c r="M26" s="3"/>
      <c r="N26" s="8" t="s">
        <v>1311</v>
      </c>
      <c r="O26" s="3" t="s">
        <v>2426</v>
      </c>
      <c r="P26" s="3" t="s">
        <v>2427</v>
      </c>
      <c r="Q26" s="3"/>
      <c r="R26" s="3"/>
      <c r="S26" s="3" t="s">
        <v>1423</v>
      </c>
      <c r="T26" s="3" t="s">
        <v>1451</v>
      </c>
      <c r="U26" s="3" t="s">
        <v>1380</v>
      </c>
      <c r="V26" s="3" t="s">
        <v>1615</v>
      </c>
      <c r="W26" s="3" t="s">
        <v>1399</v>
      </c>
      <c r="X26" s="3" t="s">
        <v>1616</v>
      </c>
      <c r="Y26" s="3" t="s">
        <v>1617</v>
      </c>
      <c r="Z26" s="3"/>
      <c r="AA26" s="3"/>
      <c r="AB26" s="3"/>
      <c r="AC26" s="3"/>
    </row>
    <row r="27" spans="1:29" ht="42.75">
      <c r="A27" s="3" t="s">
        <v>65</v>
      </c>
      <c r="B27" s="3" t="s">
        <v>66</v>
      </c>
      <c r="C27" s="3" t="s">
        <v>67</v>
      </c>
      <c r="D27" s="3" t="s">
        <v>745</v>
      </c>
      <c r="E27" s="3" t="s">
        <v>1172</v>
      </c>
      <c r="F27" s="3">
        <v>952</v>
      </c>
      <c r="G27" s="3" t="s">
        <v>1265</v>
      </c>
      <c r="H27" s="3"/>
      <c r="I27" s="10" t="s">
        <v>1618</v>
      </c>
      <c r="J27" s="10">
        <v>60</v>
      </c>
      <c r="K27" s="11" t="s">
        <v>1619</v>
      </c>
      <c r="L27" s="3"/>
      <c r="M27" s="3"/>
      <c r="N27" s="8" t="s">
        <v>1345</v>
      </c>
      <c r="O27" s="3" t="s">
        <v>2428</v>
      </c>
      <c r="P27" s="3" t="s">
        <v>2429</v>
      </c>
      <c r="Q27" s="3"/>
      <c r="R27" s="3"/>
      <c r="S27" s="3" t="s">
        <v>1420</v>
      </c>
      <c r="T27" s="3" t="s">
        <v>1452</v>
      </c>
      <c r="U27" s="3" t="s">
        <v>1381</v>
      </c>
      <c r="V27" s="3" t="s">
        <v>1620</v>
      </c>
      <c r="W27" s="3" t="s">
        <v>1621</v>
      </c>
      <c r="X27" s="3" t="s">
        <v>1622</v>
      </c>
      <c r="Y27" s="3" t="s">
        <v>1623</v>
      </c>
      <c r="Z27" s="3"/>
      <c r="AA27" s="3"/>
      <c r="AB27" s="3"/>
      <c r="AC27" s="3"/>
    </row>
    <row r="28" spans="1:29" ht="28.5">
      <c r="A28" s="3" t="s">
        <v>68</v>
      </c>
      <c r="B28" s="3" t="s">
        <v>69</v>
      </c>
      <c r="C28" s="3" t="s">
        <v>70</v>
      </c>
      <c r="D28" s="3" t="s">
        <v>746</v>
      </c>
      <c r="E28" s="3" t="s">
        <v>1001</v>
      </c>
      <c r="F28" s="3">
        <v>60</v>
      </c>
      <c r="G28" s="3" t="s">
        <v>1002</v>
      </c>
      <c r="H28" s="3"/>
      <c r="I28" s="10" t="s">
        <v>1003</v>
      </c>
      <c r="J28" s="10">
        <v>96</v>
      </c>
      <c r="K28" s="11" t="s">
        <v>1004</v>
      </c>
      <c r="L28" s="3"/>
      <c r="M28" s="3"/>
      <c r="N28" s="8" t="s">
        <v>1296</v>
      </c>
      <c r="O28" s="3" t="s">
        <v>2430</v>
      </c>
      <c r="P28" s="3" t="s">
        <v>2431</v>
      </c>
      <c r="Q28" s="3"/>
      <c r="R28" s="3"/>
      <c r="S28" s="3" t="s">
        <v>1400</v>
      </c>
      <c r="T28" s="3" t="s">
        <v>2093</v>
      </c>
      <c r="U28" s="3" t="s">
        <v>1382</v>
      </c>
      <c r="V28" s="3" t="s">
        <v>1625</v>
      </c>
      <c r="W28" s="3" t="s">
        <v>2094</v>
      </c>
      <c r="X28" s="3" t="s">
        <v>2095</v>
      </c>
      <c r="Y28" s="3" t="s">
        <v>2094</v>
      </c>
      <c r="Z28" s="3"/>
      <c r="AA28" s="3"/>
      <c r="AB28" s="3"/>
      <c r="AC28" s="3"/>
    </row>
    <row r="29" spans="1:29" ht="28.5">
      <c r="A29" s="3" t="s">
        <v>71</v>
      </c>
      <c r="B29" s="3" t="s">
        <v>72</v>
      </c>
      <c r="C29" s="3" t="s">
        <v>73</v>
      </c>
      <c r="D29" s="3" t="s">
        <v>747</v>
      </c>
      <c r="E29" s="3" t="s">
        <v>1624</v>
      </c>
      <c r="F29" s="3">
        <v>64</v>
      </c>
      <c r="G29" s="3" t="s">
        <v>2083</v>
      </c>
      <c r="H29" s="3"/>
      <c r="I29" s="10" t="s">
        <v>1626</v>
      </c>
      <c r="J29" s="10">
        <v>68</v>
      </c>
      <c r="K29" s="11" t="s">
        <v>1627</v>
      </c>
      <c r="L29" s="3"/>
      <c r="M29" s="3"/>
      <c r="N29" s="8" t="s">
        <v>2537</v>
      </c>
      <c r="O29" s="3" t="s">
        <v>2432</v>
      </c>
      <c r="P29" s="3" t="s">
        <v>2433</v>
      </c>
      <c r="Q29" s="3"/>
      <c r="R29" s="3"/>
      <c r="S29" s="3" t="s">
        <v>1401</v>
      </c>
      <c r="T29" s="3" t="s">
        <v>1384</v>
      </c>
      <c r="U29" s="3" t="s">
        <v>1383</v>
      </c>
      <c r="V29" s="3" t="s">
        <v>1628</v>
      </c>
      <c r="W29" s="3" t="s">
        <v>1629</v>
      </c>
      <c r="X29" s="3" t="s">
        <v>1630</v>
      </c>
      <c r="Y29" s="3" t="s">
        <v>1631</v>
      </c>
      <c r="Z29" s="3"/>
      <c r="AA29" s="3"/>
      <c r="AB29" s="3"/>
      <c r="AC29" s="3"/>
    </row>
    <row r="30" spans="1:29" ht="28.5">
      <c r="A30" s="3" t="s">
        <v>74</v>
      </c>
      <c r="B30" s="3" t="s">
        <v>75</v>
      </c>
      <c r="C30" s="3" t="s">
        <v>76</v>
      </c>
      <c r="D30" s="3" t="s">
        <v>748</v>
      </c>
      <c r="E30" s="3" t="s">
        <v>1005</v>
      </c>
      <c r="F30" s="3">
        <v>68</v>
      </c>
      <c r="G30" s="3" t="s">
        <v>1178</v>
      </c>
      <c r="H30" s="3"/>
      <c r="I30" s="10" t="s">
        <v>1006</v>
      </c>
      <c r="J30" s="10">
        <v>986</v>
      </c>
      <c r="K30" s="11" t="s">
        <v>1007</v>
      </c>
      <c r="L30" s="3"/>
      <c r="M30" s="3"/>
      <c r="N30" s="8" t="s">
        <v>1317</v>
      </c>
      <c r="O30" s="3" t="s">
        <v>2434</v>
      </c>
      <c r="P30" s="3" t="s">
        <v>2435</v>
      </c>
      <c r="Q30" s="3"/>
      <c r="R30" s="3"/>
      <c r="S30" s="3" t="s">
        <v>1634</v>
      </c>
      <c r="T30" s="3" t="s">
        <v>1635</v>
      </c>
      <c r="U30" s="3" t="s">
        <v>1636</v>
      </c>
      <c r="V30" s="3" t="s">
        <v>1637</v>
      </c>
      <c r="W30" s="3" t="s">
        <v>1638</v>
      </c>
      <c r="X30" s="3" t="s">
        <v>1639</v>
      </c>
      <c r="Y30" s="3" t="s">
        <v>1640</v>
      </c>
      <c r="Z30" s="3"/>
      <c r="AA30" s="3"/>
      <c r="AB30" s="3"/>
      <c r="AC30" s="3"/>
    </row>
    <row r="31" spans="1:29" ht="28.5">
      <c r="A31" s="3" t="s">
        <v>77</v>
      </c>
      <c r="B31" s="3" t="s">
        <v>78</v>
      </c>
      <c r="C31" s="3" t="s">
        <v>79</v>
      </c>
      <c r="D31" s="3" t="s">
        <v>749</v>
      </c>
      <c r="E31" s="3" t="s">
        <v>1632</v>
      </c>
      <c r="F31" s="3">
        <v>977</v>
      </c>
      <c r="G31" s="3" t="s">
        <v>1633</v>
      </c>
      <c r="H31" s="3"/>
      <c r="I31" s="10" t="s">
        <v>1641</v>
      </c>
      <c r="J31" s="10">
        <v>44</v>
      </c>
      <c r="K31" s="11" t="s">
        <v>1642</v>
      </c>
      <c r="L31" s="3"/>
      <c r="M31" s="3"/>
      <c r="N31" s="8" t="s">
        <v>1290</v>
      </c>
      <c r="O31" s="3" t="s">
        <v>2436</v>
      </c>
      <c r="P31" s="3" t="s">
        <v>2437</v>
      </c>
      <c r="Q31" s="3"/>
      <c r="R31" s="3"/>
      <c r="S31" s="3"/>
      <c r="T31" s="3"/>
      <c r="U31" s="3"/>
      <c r="V31" s="3"/>
      <c r="W31" s="3"/>
      <c r="X31" s="3"/>
      <c r="Y31" s="3"/>
      <c r="Z31" s="3"/>
      <c r="AA31" s="3"/>
      <c r="AB31" s="3"/>
      <c r="AC31" s="3"/>
    </row>
    <row r="32" spans="1:29">
      <c r="A32" s="3" t="s">
        <v>80</v>
      </c>
      <c r="B32" s="3" t="s">
        <v>81</v>
      </c>
      <c r="C32" s="3" t="s">
        <v>82</v>
      </c>
      <c r="D32" s="3" t="s">
        <v>750</v>
      </c>
      <c r="E32" s="3" t="s">
        <v>1010</v>
      </c>
      <c r="F32" s="3">
        <v>72</v>
      </c>
      <c r="G32" s="3" t="s">
        <v>1011</v>
      </c>
      <c r="H32" s="3"/>
      <c r="I32" s="10" t="s">
        <v>1645</v>
      </c>
      <c r="J32" s="10">
        <v>64</v>
      </c>
      <c r="K32" s="11" t="s">
        <v>2083</v>
      </c>
      <c r="L32" s="3"/>
      <c r="M32" s="3"/>
      <c r="N32" s="8" t="s">
        <v>1307</v>
      </c>
      <c r="O32" s="3" t="s">
        <v>2438</v>
      </c>
      <c r="P32" s="3" t="s">
        <v>2439</v>
      </c>
      <c r="Q32" s="3"/>
      <c r="R32" s="3"/>
      <c r="S32" s="3"/>
      <c r="T32" s="3"/>
      <c r="U32" s="3"/>
      <c r="V32" s="3"/>
      <c r="W32" s="3"/>
      <c r="X32" s="3"/>
      <c r="Y32" s="3"/>
      <c r="Z32" s="3"/>
      <c r="AA32" s="3"/>
      <c r="AB32" s="3"/>
      <c r="AC32" s="3"/>
    </row>
    <row r="33" spans="1:29">
      <c r="A33" s="3" t="s">
        <v>83</v>
      </c>
      <c r="B33" s="3" t="s">
        <v>84</v>
      </c>
      <c r="C33" s="3" t="s">
        <v>85</v>
      </c>
      <c r="D33" s="3" t="s">
        <v>751</v>
      </c>
      <c r="E33" s="3" t="s">
        <v>1643</v>
      </c>
      <c r="F33" s="3">
        <v>986</v>
      </c>
      <c r="G33" s="3" t="s">
        <v>1644</v>
      </c>
      <c r="H33" s="3"/>
      <c r="I33" s="10" t="s">
        <v>1648</v>
      </c>
      <c r="J33" s="10">
        <v>72</v>
      </c>
      <c r="K33" s="11" t="s">
        <v>1649</v>
      </c>
      <c r="L33" s="3"/>
      <c r="M33" s="3"/>
      <c r="N33" s="8" t="s">
        <v>1309</v>
      </c>
      <c r="O33" s="3" t="s">
        <v>2440</v>
      </c>
      <c r="P33" s="3" t="s">
        <v>2441</v>
      </c>
      <c r="Q33" s="3"/>
      <c r="R33" s="3"/>
      <c r="S33" s="3"/>
      <c r="T33" s="3"/>
      <c r="U33" s="3"/>
      <c r="V33" s="3"/>
      <c r="W33" s="3"/>
      <c r="X33" s="3"/>
      <c r="Y33" s="3"/>
      <c r="Z33" s="3"/>
      <c r="AA33" s="3"/>
      <c r="AB33" s="3"/>
      <c r="AC33" s="3"/>
    </row>
    <row r="34" spans="1:29">
      <c r="A34" s="3" t="s">
        <v>94</v>
      </c>
      <c r="B34" s="3" t="s">
        <v>95</v>
      </c>
      <c r="C34" s="3" t="s">
        <v>96</v>
      </c>
      <c r="D34" s="3" t="s">
        <v>755</v>
      </c>
      <c r="E34" s="3" t="s">
        <v>1658</v>
      </c>
      <c r="F34" s="3">
        <v>975</v>
      </c>
      <c r="G34" s="3" t="s">
        <v>1659</v>
      </c>
      <c r="H34" s="3"/>
      <c r="I34" s="10" t="s">
        <v>1652</v>
      </c>
      <c r="J34" s="10">
        <v>974</v>
      </c>
      <c r="K34" s="11" t="s">
        <v>1653</v>
      </c>
      <c r="L34" s="3"/>
      <c r="M34" s="3"/>
      <c r="N34" s="8" t="s">
        <v>1334</v>
      </c>
      <c r="O34" s="3" t="s">
        <v>2442</v>
      </c>
      <c r="P34" s="3" t="s">
        <v>2443</v>
      </c>
      <c r="Q34" s="3"/>
      <c r="R34" s="3"/>
      <c r="S34" s="3"/>
      <c r="T34" s="3"/>
      <c r="U34" s="3"/>
      <c r="V34" s="3"/>
      <c r="W34" s="3"/>
      <c r="X34" s="3"/>
      <c r="Y34" s="3"/>
      <c r="Z34" s="3"/>
      <c r="AA34" s="3"/>
      <c r="AB34" s="3"/>
      <c r="AC34" s="3"/>
    </row>
    <row r="35" spans="1:29">
      <c r="A35" s="3" t="s">
        <v>97</v>
      </c>
      <c r="B35" s="3" t="s">
        <v>98</v>
      </c>
      <c r="C35" s="3" t="s">
        <v>99</v>
      </c>
      <c r="D35" s="3" t="s">
        <v>756</v>
      </c>
      <c r="E35" s="3" t="s">
        <v>1660</v>
      </c>
      <c r="F35" s="3">
        <v>952</v>
      </c>
      <c r="G35" s="3" t="s">
        <v>1661</v>
      </c>
      <c r="H35" s="3"/>
      <c r="I35" s="10" t="s">
        <v>1656</v>
      </c>
      <c r="J35" s="10">
        <v>84</v>
      </c>
      <c r="K35" s="11" t="s">
        <v>1657</v>
      </c>
      <c r="L35" s="3"/>
      <c r="M35" s="3"/>
      <c r="N35" s="8" t="s">
        <v>1340</v>
      </c>
      <c r="O35" s="3" t="s">
        <v>2444</v>
      </c>
      <c r="P35" s="3" t="s">
        <v>2445</v>
      </c>
      <c r="Q35" s="3"/>
      <c r="R35" s="3"/>
      <c r="S35" s="3"/>
      <c r="T35" s="3"/>
      <c r="U35" s="3"/>
      <c r="V35" s="3"/>
      <c r="W35" s="3"/>
      <c r="X35" s="3"/>
      <c r="Y35" s="3"/>
      <c r="Z35" s="3"/>
      <c r="AA35" s="3"/>
      <c r="AB35" s="3"/>
      <c r="AC35" s="3"/>
    </row>
    <row r="36" spans="1:29" ht="28.5">
      <c r="A36" s="3" t="s">
        <v>100</v>
      </c>
      <c r="B36" s="3" t="s">
        <v>101</v>
      </c>
      <c r="C36" s="3" t="s">
        <v>102</v>
      </c>
      <c r="D36" s="3" t="s">
        <v>757</v>
      </c>
      <c r="E36" s="3" t="s">
        <v>1662</v>
      </c>
      <c r="F36" s="3">
        <v>108</v>
      </c>
      <c r="G36" s="3" t="s">
        <v>1663</v>
      </c>
      <c r="H36" s="3"/>
      <c r="I36" s="10" t="s">
        <v>1014</v>
      </c>
      <c r="J36" s="10">
        <v>124</v>
      </c>
      <c r="K36" s="11" t="s">
        <v>1015</v>
      </c>
      <c r="L36" s="3"/>
      <c r="M36" s="3"/>
      <c r="N36" s="8" t="s">
        <v>1341</v>
      </c>
      <c r="O36" s="3" t="s">
        <v>2446</v>
      </c>
      <c r="P36" s="3" t="s">
        <v>2447</v>
      </c>
      <c r="Q36" s="3"/>
      <c r="R36" s="3"/>
      <c r="S36" s="3"/>
      <c r="T36" s="3"/>
      <c r="U36" s="3"/>
      <c r="V36" s="3"/>
      <c r="W36" s="3"/>
      <c r="X36" s="3"/>
      <c r="Y36" s="3"/>
      <c r="Z36" s="3"/>
      <c r="AA36" s="3"/>
      <c r="AB36" s="3"/>
      <c r="AC36" s="3"/>
    </row>
    <row r="37" spans="1:29" ht="28.5">
      <c r="A37" s="3" t="s">
        <v>103</v>
      </c>
      <c r="B37" s="3" t="s">
        <v>104</v>
      </c>
      <c r="C37" s="3" t="s">
        <v>105</v>
      </c>
      <c r="D37" s="3" t="s">
        <v>758</v>
      </c>
      <c r="E37" s="3" t="s">
        <v>1081</v>
      </c>
      <c r="F37" s="3">
        <v>116</v>
      </c>
      <c r="G37" s="3" t="s">
        <v>1206</v>
      </c>
      <c r="H37" s="3"/>
      <c r="I37" s="10" t="s">
        <v>1016</v>
      </c>
      <c r="J37" s="10">
        <v>976</v>
      </c>
      <c r="K37" s="11" t="s">
        <v>1017</v>
      </c>
      <c r="L37" s="3"/>
      <c r="M37" s="3"/>
      <c r="N37" s="8" t="s">
        <v>1335</v>
      </c>
      <c r="O37" s="3" t="s">
        <v>2448</v>
      </c>
      <c r="P37" s="3" t="s">
        <v>2449</v>
      </c>
      <c r="Q37" s="3"/>
      <c r="R37" s="3"/>
      <c r="S37" s="3"/>
      <c r="T37" s="3"/>
      <c r="U37" s="3"/>
      <c r="V37" s="3"/>
      <c r="W37" s="3"/>
      <c r="X37" s="3"/>
      <c r="Y37" s="3"/>
      <c r="Z37" s="3"/>
      <c r="AA37" s="3"/>
      <c r="AB37" s="3"/>
      <c r="AC37" s="3"/>
    </row>
    <row r="38" spans="1:29">
      <c r="A38" s="3" t="s">
        <v>106</v>
      </c>
      <c r="B38" s="3" t="s">
        <v>107</v>
      </c>
      <c r="C38" s="3" t="s">
        <v>108</v>
      </c>
      <c r="D38" s="3" t="s">
        <v>759</v>
      </c>
      <c r="E38" s="3" t="s">
        <v>1169</v>
      </c>
      <c r="F38" s="3">
        <v>950</v>
      </c>
      <c r="G38" s="3" t="s">
        <v>1271</v>
      </c>
      <c r="H38" s="3"/>
      <c r="I38" s="10" t="s">
        <v>1018</v>
      </c>
      <c r="J38" s="10">
        <v>756</v>
      </c>
      <c r="K38" s="11" t="s">
        <v>1019</v>
      </c>
      <c r="L38" s="3"/>
      <c r="M38" s="3"/>
      <c r="N38" s="8" t="s">
        <v>1294</v>
      </c>
      <c r="O38" s="3" t="s">
        <v>2450</v>
      </c>
      <c r="P38" s="3" t="s">
        <v>2451</v>
      </c>
      <c r="Q38" s="3"/>
      <c r="R38" s="3"/>
      <c r="S38" s="3"/>
      <c r="T38" s="3"/>
      <c r="U38" s="3"/>
      <c r="V38" s="3"/>
      <c r="W38" s="3"/>
      <c r="X38" s="3"/>
      <c r="Y38" s="3"/>
      <c r="Z38" s="3"/>
      <c r="AA38" s="3"/>
      <c r="AB38" s="3"/>
      <c r="AC38" s="3"/>
    </row>
    <row r="39" spans="1:29" ht="28.5">
      <c r="A39" s="3" t="s">
        <v>109</v>
      </c>
      <c r="B39" s="3" t="s">
        <v>110</v>
      </c>
      <c r="C39" s="3" t="s">
        <v>111</v>
      </c>
      <c r="D39" s="3" t="s">
        <v>760</v>
      </c>
      <c r="E39" s="3" t="s">
        <v>1665</v>
      </c>
      <c r="F39" s="3">
        <v>124</v>
      </c>
      <c r="G39" s="3" t="s">
        <v>1666</v>
      </c>
      <c r="H39" s="3"/>
      <c r="I39" s="10" t="s">
        <v>1020</v>
      </c>
      <c r="J39" s="10">
        <v>990</v>
      </c>
      <c r="K39" s="11" t="s">
        <v>2085</v>
      </c>
      <c r="L39" s="3"/>
      <c r="M39" s="3"/>
      <c r="N39" s="8" t="s">
        <v>1282</v>
      </c>
      <c r="O39" s="3" t="s">
        <v>2452</v>
      </c>
      <c r="P39" s="3" t="s">
        <v>2453</v>
      </c>
      <c r="Q39" s="3"/>
      <c r="R39" s="3"/>
      <c r="S39" s="3"/>
      <c r="T39" s="3"/>
      <c r="U39" s="3"/>
      <c r="V39" s="3"/>
      <c r="W39" s="3"/>
      <c r="X39" s="3"/>
      <c r="Y39" s="3"/>
      <c r="Z39" s="3"/>
      <c r="AA39" s="3"/>
      <c r="AB39" s="3"/>
      <c r="AC39" s="3"/>
    </row>
    <row r="40" spans="1:29">
      <c r="A40" s="3" t="s">
        <v>112</v>
      </c>
      <c r="B40" s="3" t="s">
        <v>113</v>
      </c>
      <c r="C40" s="3" t="s">
        <v>114</v>
      </c>
      <c r="D40" s="3" t="s">
        <v>761</v>
      </c>
      <c r="E40" s="3" t="s">
        <v>1026</v>
      </c>
      <c r="F40" s="3">
        <v>132</v>
      </c>
      <c r="G40" s="3" t="s">
        <v>1185</v>
      </c>
      <c r="H40" s="3"/>
      <c r="I40" s="10" t="s">
        <v>1182</v>
      </c>
      <c r="J40" s="10">
        <v>0</v>
      </c>
      <c r="K40" s="11" t="s">
        <v>1183</v>
      </c>
      <c r="L40" s="3"/>
      <c r="M40" s="3"/>
      <c r="N40" s="8" t="s">
        <v>1298</v>
      </c>
      <c r="O40" s="3" t="s">
        <v>2454</v>
      </c>
      <c r="P40" s="3" t="s">
        <v>2455</v>
      </c>
      <c r="Q40" s="3"/>
      <c r="R40" s="3"/>
      <c r="S40" s="3"/>
      <c r="T40" s="3"/>
      <c r="U40" s="3"/>
      <c r="V40" s="3"/>
      <c r="W40" s="3"/>
      <c r="X40" s="3"/>
      <c r="Y40" s="3"/>
      <c r="Z40" s="3"/>
      <c r="AA40" s="3"/>
      <c r="AB40" s="3"/>
      <c r="AC40" s="3"/>
    </row>
    <row r="41" spans="1:29" ht="28.5">
      <c r="A41" s="3" t="s">
        <v>124</v>
      </c>
      <c r="B41" s="3" t="s">
        <v>125</v>
      </c>
      <c r="C41" s="3" t="s">
        <v>126</v>
      </c>
      <c r="D41" s="3" t="s">
        <v>765</v>
      </c>
      <c r="E41" s="3" t="s">
        <v>1673</v>
      </c>
      <c r="F41" s="3">
        <v>990</v>
      </c>
      <c r="G41" s="3" t="s">
        <v>2085</v>
      </c>
      <c r="H41" s="3"/>
      <c r="I41" s="10" t="s">
        <v>1021</v>
      </c>
      <c r="J41" s="10">
        <v>170</v>
      </c>
      <c r="K41" s="11" t="s">
        <v>1022</v>
      </c>
      <c r="L41" s="3"/>
      <c r="M41" s="3"/>
      <c r="N41" s="8" t="s">
        <v>1339</v>
      </c>
      <c r="O41" s="3" t="s">
        <v>2456</v>
      </c>
      <c r="P41" s="3" t="s">
        <v>2457</v>
      </c>
      <c r="Q41" s="3"/>
      <c r="R41" s="3"/>
      <c r="S41" s="3"/>
      <c r="T41" s="3"/>
      <c r="U41" s="3"/>
      <c r="V41" s="3"/>
      <c r="W41" s="3"/>
      <c r="X41" s="3"/>
      <c r="Y41" s="3"/>
      <c r="Z41" s="3"/>
      <c r="AA41" s="3"/>
      <c r="AB41" s="3"/>
      <c r="AC41" s="3"/>
    </row>
    <row r="42" spans="1:29">
      <c r="A42" s="3" t="s">
        <v>127</v>
      </c>
      <c r="B42" s="3" t="s">
        <v>128</v>
      </c>
      <c r="C42" s="3" t="s">
        <v>129</v>
      </c>
      <c r="D42" s="3" t="s">
        <v>766</v>
      </c>
      <c r="E42" s="3" t="s">
        <v>1674</v>
      </c>
      <c r="F42" s="3">
        <v>0</v>
      </c>
      <c r="G42" s="3" t="s">
        <v>1675</v>
      </c>
      <c r="H42" s="3"/>
      <c r="I42" s="10" t="s">
        <v>1023</v>
      </c>
      <c r="J42" s="10">
        <v>188</v>
      </c>
      <c r="K42" s="11" t="s">
        <v>1024</v>
      </c>
      <c r="L42" s="3"/>
      <c r="M42" s="3"/>
      <c r="N42" s="8" t="s">
        <v>1285</v>
      </c>
      <c r="O42" s="3" t="s">
        <v>2458</v>
      </c>
      <c r="P42" s="3" t="s">
        <v>2459</v>
      </c>
      <c r="Q42" s="3"/>
      <c r="R42" s="3"/>
      <c r="S42" s="3"/>
      <c r="T42" s="3"/>
      <c r="U42" s="3"/>
      <c r="V42" s="3"/>
      <c r="W42" s="3"/>
      <c r="X42" s="3"/>
      <c r="Y42" s="3"/>
      <c r="Z42" s="3"/>
      <c r="AA42" s="3"/>
      <c r="AB42" s="3"/>
      <c r="AC42" s="3"/>
    </row>
    <row r="43" spans="1:29">
      <c r="A43" s="3" t="s">
        <v>161</v>
      </c>
      <c r="B43" s="3" t="s">
        <v>162</v>
      </c>
      <c r="C43" s="3" t="s">
        <v>163</v>
      </c>
      <c r="D43" s="3" t="s">
        <v>779</v>
      </c>
      <c r="E43" s="3" t="s">
        <v>1692</v>
      </c>
      <c r="F43" s="3">
        <v>978</v>
      </c>
      <c r="G43" s="3" t="s">
        <v>1693</v>
      </c>
      <c r="H43" s="3"/>
      <c r="I43" s="10" t="s">
        <v>1025</v>
      </c>
      <c r="J43" s="10">
        <v>931</v>
      </c>
      <c r="K43" s="11" t="s">
        <v>1184</v>
      </c>
      <c r="L43" s="3"/>
      <c r="M43" s="3"/>
      <c r="N43" s="8" t="s">
        <v>1331</v>
      </c>
      <c r="O43" s="3" t="s">
        <v>2460</v>
      </c>
      <c r="P43" s="3" t="s">
        <v>2461</v>
      </c>
      <c r="Q43" s="3"/>
      <c r="R43" s="3"/>
      <c r="S43" s="3"/>
      <c r="T43" s="3"/>
      <c r="U43" s="3"/>
      <c r="V43" s="3"/>
      <c r="W43" s="3"/>
      <c r="X43" s="3"/>
      <c r="Y43" s="3"/>
      <c r="Z43" s="3"/>
      <c r="AA43" s="3"/>
      <c r="AB43" s="3"/>
      <c r="AC43" s="3"/>
    </row>
    <row r="44" spans="1:29">
      <c r="A44" s="3" t="s">
        <v>140</v>
      </c>
      <c r="B44" s="3" t="s">
        <v>141</v>
      </c>
      <c r="C44" s="3" t="s">
        <v>142</v>
      </c>
      <c r="D44" s="3" t="s">
        <v>771</v>
      </c>
      <c r="E44" s="3" t="s">
        <v>1682</v>
      </c>
      <c r="F44" s="3">
        <v>170</v>
      </c>
      <c r="G44" s="3" t="s">
        <v>1683</v>
      </c>
      <c r="H44" s="3"/>
      <c r="I44" s="10" t="s">
        <v>1669</v>
      </c>
      <c r="J44" s="10">
        <v>132</v>
      </c>
      <c r="K44" s="11" t="s">
        <v>1670</v>
      </c>
      <c r="L44" s="3"/>
      <c r="M44" s="3"/>
      <c r="N44" s="8" t="s">
        <v>1327</v>
      </c>
      <c r="O44" s="3" t="s">
        <v>2462</v>
      </c>
      <c r="P44" s="3" t="s">
        <v>2463</v>
      </c>
      <c r="Q44" s="3"/>
      <c r="R44" s="3"/>
      <c r="S44" s="3"/>
      <c r="T44" s="3"/>
      <c r="U44" s="3"/>
      <c r="V44" s="3"/>
      <c r="W44" s="3"/>
      <c r="X44" s="3"/>
      <c r="Y44" s="3"/>
      <c r="Z44" s="3"/>
      <c r="AA44" s="3"/>
      <c r="AB44" s="3"/>
      <c r="AC44" s="3"/>
    </row>
    <row r="45" spans="1:29">
      <c r="A45" s="3" t="s">
        <v>143</v>
      </c>
      <c r="B45" s="3" t="s">
        <v>144</v>
      </c>
      <c r="C45" s="3" t="s">
        <v>145</v>
      </c>
      <c r="D45" s="3" t="s">
        <v>772</v>
      </c>
      <c r="E45" s="3" t="s">
        <v>1082</v>
      </c>
      <c r="F45" s="3">
        <v>174</v>
      </c>
      <c r="G45" s="3" t="s">
        <v>1207</v>
      </c>
      <c r="H45" s="3"/>
      <c r="I45" s="10" t="s">
        <v>1027</v>
      </c>
      <c r="J45" s="10">
        <v>203</v>
      </c>
      <c r="K45" s="11" t="s">
        <v>1028</v>
      </c>
      <c r="L45" s="3"/>
      <c r="M45" s="3"/>
      <c r="N45" s="8" t="s">
        <v>1310</v>
      </c>
      <c r="O45" s="3" t="s">
        <v>2464</v>
      </c>
      <c r="P45" s="3" t="s">
        <v>2465</v>
      </c>
      <c r="Q45" s="3"/>
      <c r="R45" s="3"/>
      <c r="S45" s="3"/>
      <c r="T45" s="3"/>
      <c r="U45" s="3"/>
      <c r="V45" s="3"/>
      <c r="W45" s="3"/>
      <c r="X45" s="3"/>
      <c r="Y45" s="3"/>
      <c r="Z45" s="3"/>
      <c r="AA45" s="3"/>
      <c r="AB45" s="3"/>
      <c r="AC45" s="3"/>
    </row>
    <row r="46" spans="1:29">
      <c r="A46" t="s">
        <v>329</v>
      </c>
      <c r="B46" t="s">
        <v>330</v>
      </c>
      <c r="C46" t="s">
        <v>331</v>
      </c>
      <c r="D46" t="s">
        <v>837</v>
      </c>
      <c r="E46" t="s">
        <v>1814</v>
      </c>
      <c r="F46">
        <v>408</v>
      </c>
      <c r="G46" t="s">
        <v>1815</v>
      </c>
      <c r="H46" s="3"/>
      <c r="I46" s="10" t="s">
        <v>1029</v>
      </c>
      <c r="J46" s="10">
        <v>262</v>
      </c>
      <c r="K46" s="11" t="s">
        <v>1030</v>
      </c>
      <c r="L46" s="3"/>
      <c r="M46" s="3"/>
      <c r="N46" s="8" t="s">
        <v>1293</v>
      </c>
      <c r="O46" s="3" t="s">
        <v>2466</v>
      </c>
      <c r="P46" s="3" t="s">
        <v>2467</v>
      </c>
      <c r="Q46" s="3"/>
      <c r="R46" s="3"/>
      <c r="S46" s="3"/>
      <c r="T46" s="3"/>
      <c r="U46" s="3"/>
      <c r="V46" s="3"/>
      <c r="W46" s="3"/>
      <c r="X46" s="3"/>
      <c r="Y46" s="3"/>
      <c r="Z46" s="3"/>
      <c r="AA46" s="3"/>
      <c r="AB46" s="3"/>
      <c r="AC46" s="3"/>
    </row>
    <row r="47" spans="1:29" ht="28.5">
      <c r="A47" t="s">
        <v>332</v>
      </c>
      <c r="B47" t="s">
        <v>333</v>
      </c>
      <c r="C47" t="s">
        <v>334</v>
      </c>
      <c r="D47" t="s">
        <v>838</v>
      </c>
      <c r="E47" t="s">
        <v>1816</v>
      </c>
      <c r="F47">
        <v>410</v>
      </c>
      <c r="G47" t="s">
        <v>1817</v>
      </c>
      <c r="H47" s="3"/>
      <c r="I47" s="10" t="s">
        <v>1031</v>
      </c>
      <c r="J47" s="10">
        <v>208</v>
      </c>
      <c r="K47" s="11" t="s">
        <v>1032</v>
      </c>
      <c r="L47" s="3"/>
      <c r="M47" s="3"/>
      <c r="N47" s="8" t="s">
        <v>1344</v>
      </c>
      <c r="O47" s="3" t="s">
        <v>2468</v>
      </c>
      <c r="P47" s="3" t="s">
        <v>2469</v>
      </c>
      <c r="Q47" s="3"/>
      <c r="R47" s="3"/>
      <c r="S47" s="3"/>
      <c r="T47" s="3"/>
      <c r="U47" s="3"/>
      <c r="V47" s="3"/>
      <c r="W47" s="3"/>
      <c r="X47" s="3"/>
      <c r="Y47" s="3"/>
      <c r="Z47" s="3"/>
      <c r="AA47" s="3"/>
      <c r="AB47" s="3"/>
      <c r="AC47" s="3"/>
    </row>
    <row r="48" spans="1:29" ht="28.5">
      <c r="A48" s="3" t="s">
        <v>150</v>
      </c>
      <c r="B48" s="3" t="s">
        <v>151</v>
      </c>
      <c r="C48" s="3" t="s">
        <v>152</v>
      </c>
      <c r="D48" s="3" t="s">
        <v>775</v>
      </c>
      <c r="E48" s="3" t="s">
        <v>1684</v>
      </c>
      <c r="F48" s="3">
        <v>188</v>
      </c>
      <c r="G48" s="3" t="s">
        <v>1685</v>
      </c>
      <c r="H48" s="3"/>
      <c r="I48" s="10" t="s">
        <v>1033</v>
      </c>
      <c r="J48" s="10">
        <v>214</v>
      </c>
      <c r="K48" s="11" t="s">
        <v>1034</v>
      </c>
      <c r="L48" s="3"/>
      <c r="M48" s="3"/>
      <c r="N48" s="8" t="s">
        <v>1324</v>
      </c>
      <c r="O48" s="3" t="s">
        <v>2470</v>
      </c>
      <c r="P48" s="3" t="s">
        <v>2471</v>
      </c>
      <c r="Q48" s="3"/>
      <c r="R48" s="3"/>
      <c r="S48" s="3"/>
      <c r="T48" s="3"/>
      <c r="U48" s="3"/>
      <c r="V48" s="3"/>
      <c r="W48" s="3"/>
      <c r="X48" s="3"/>
      <c r="Y48" s="3"/>
      <c r="Z48" s="3"/>
      <c r="AA48" s="3"/>
      <c r="AB48" s="3"/>
      <c r="AC48" s="3"/>
    </row>
    <row r="49" spans="1:29">
      <c r="A49" s="3" t="s">
        <v>709</v>
      </c>
      <c r="B49" s="3" t="s">
        <v>153</v>
      </c>
      <c r="C49" s="3" t="s">
        <v>154</v>
      </c>
      <c r="D49" s="3" t="s">
        <v>776</v>
      </c>
      <c r="E49" s="3" t="s">
        <v>1686</v>
      </c>
      <c r="F49" s="3">
        <v>952</v>
      </c>
      <c r="G49" s="3" t="s">
        <v>1687</v>
      </c>
      <c r="H49" s="3"/>
      <c r="I49" s="10" t="s">
        <v>1680</v>
      </c>
      <c r="J49" s="10">
        <v>12</v>
      </c>
      <c r="K49" s="11" t="s">
        <v>1681</v>
      </c>
      <c r="L49" s="3"/>
      <c r="M49" s="3"/>
      <c r="N49" s="8" t="s">
        <v>1303</v>
      </c>
      <c r="O49" s="3" t="s">
        <v>2472</v>
      </c>
      <c r="P49" s="3" t="s">
        <v>2473</v>
      </c>
      <c r="Q49" s="3"/>
      <c r="R49" s="3"/>
      <c r="S49" s="3"/>
      <c r="T49" s="3"/>
      <c r="U49" s="3"/>
      <c r="V49" s="3"/>
      <c r="W49" s="3"/>
      <c r="X49" s="3"/>
      <c r="Y49" s="3"/>
      <c r="Z49" s="3"/>
      <c r="AA49" s="3"/>
      <c r="AB49" s="3"/>
      <c r="AC49" s="3"/>
    </row>
    <row r="50" spans="1:29">
      <c r="A50" s="3" t="s">
        <v>155</v>
      </c>
      <c r="B50" s="3" t="s">
        <v>156</v>
      </c>
      <c r="C50" s="3" t="s">
        <v>157</v>
      </c>
      <c r="D50" s="3" t="s">
        <v>777</v>
      </c>
      <c r="E50" s="3" t="s">
        <v>1065</v>
      </c>
      <c r="F50" s="3">
        <v>191</v>
      </c>
      <c r="G50" s="3" t="s">
        <v>2086</v>
      </c>
      <c r="H50" s="3"/>
      <c r="I50" s="10" t="s">
        <v>1037</v>
      </c>
      <c r="J50" s="10">
        <v>818</v>
      </c>
      <c r="K50" s="11" t="s">
        <v>1038</v>
      </c>
      <c r="L50" s="3"/>
      <c r="M50" s="3"/>
      <c r="N50" s="8" t="s">
        <v>1321</v>
      </c>
      <c r="O50" s="3" t="s">
        <v>2474</v>
      </c>
      <c r="P50" s="3" t="s">
        <v>2475</v>
      </c>
      <c r="Q50" s="3"/>
      <c r="R50" s="3"/>
      <c r="S50" s="3"/>
      <c r="T50" s="3"/>
      <c r="U50" s="3"/>
      <c r="V50" s="3"/>
      <c r="W50" s="3"/>
      <c r="X50" s="3"/>
      <c r="Y50" s="3"/>
      <c r="Z50" s="3"/>
      <c r="AA50" s="3"/>
      <c r="AB50" s="3"/>
      <c r="AC50" s="3"/>
    </row>
    <row r="51" spans="1:29">
      <c r="A51" s="3" t="s">
        <v>158</v>
      </c>
      <c r="B51" s="3" t="s">
        <v>159</v>
      </c>
      <c r="C51" s="3" t="s">
        <v>160</v>
      </c>
      <c r="D51" s="3" t="s">
        <v>778</v>
      </c>
      <c r="E51" s="3" t="s">
        <v>1690</v>
      </c>
      <c r="F51" s="3">
        <v>931</v>
      </c>
      <c r="G51" s="3" t="s">
        <v>1691</v>
      </c>
      <c r="H51" s="3"/>
      <c r="I51" s="10" t="s">
        <v>1039</v>
      </c>
      <c r="J51" s="10">
        <v>232</v>
      </c>
      <c r="K51" s="11" t="s">
        <v>1040</v>
      </c>
      <c r="L51" s="3"/>
      <c r="M51" s="3"/>
      <c r="N51" s="8" t="s">
        <v>1312</v>
      </c>
      <c r="O51" s="3" t="s">
        <v>2476</v>
      </c>
      <c r="P51" s="3" t="s">
        <v>2477</v>
      </c>
      <c r="Q51" s="3"/>
      <c r="R51" s="3"/>
      <c r="S51" s="3"/>
      <c r="T51" s="3"/>
      <c r="U51" s="3"/>
      <c r="V51" s="3"/>
      <c r="W51" s="3"/>
      <c r="X51" s="3"/>
      <c r="Y51" s="3"/>
      <c r="Z51" s="3"/>
      <c r="AA51" s="3"/>
      <c r="AB51" s="3"/>
      <c r="AC51" s="3"/>
    </row>
    <row r="52" spans="1:29" ht="28.5">
      <c r="A52" s="3" t="s">
        <v>167</v>
      </c>
      <c r="B52" s="3" t="s">
        <v>168</v>
      </c>
      <c r="C52" s="3" t="s">
        <v>169</v>
      </c>
      <c r="D52" s="3" t="s">
        <v>781</v>
      </c>
      <c r="E52" s="3" t="s">
        <v>1698</v>
      </c>
      <c r="F52" s="3">
        <v>208</v>
      </c>
      <c r="G52" s="3" t="s">
        <v>1699</v>
      </c>
      <c r="H52" s="3"/>
      <c r="I52" s="10" t="s">
        <v>1041</v>
      </c>
      <c r="J52" s="10">
        <v>230</v>
      </c>
      <c r="K52" s="11" t="s">
        <v>1042</v>
      </c>
      <c r="L52" s="3"/>
      <c r="M52" s="3"/>
      <c r="N52" s="8" t="s">
        <v>1323</v>
      </c>
      <c r="O52" s="3" t="s">
        <v>2530</v>
      </c>
      <c r="P52" s="3" t="s">
        <v>2531</v>
      </c>
      <c r="Q52" s="3"/>
      <c r="R52" s="3"/>
      <c r="S52" s="3"/>
      <c r="T52" s="3"/>
      <c r="U52" s="3"/>
      <c r="V52" s="3"/>
      <c r="W52" s="3"/>
      <c r="X52" s="3"/>
      <c r="Y52" s="3"/>
      <c r="Z52" s="3"/>
      <c r="AA52" s="3"/>
      <c r="AB52" s="3"/>
      <c r="AC52" s="3"/>
    </row>
    <row r="53" spans="1:29">
      <c r="A53" s="3" t="s">
        <v>2084</v>
      </c>
      <c r="B53" s="3" t="s">
        <v>92</v>
      </c>
      <c r="C53" s="3" t="s">
        <v>93</v>
      </c>
      <c r="D53" s="3" t="s">
        <v>754</v>
      </c>
      <c r="E53" s="3" t="s">
        <v>1654</v>
      </c>
      <c r="F53" s="3">
        <v>96</v>
      </c>
      <c r="G53" s="3" t="s">
        <v>1655</v>
      </c>
      <c r="H53" s="3"/>
      <c r="I53" s="10" t="s">
        <v>1688</v>
      </c>
      <c r="J53" s="10">
        <v>978</v>
      </c>
      <c r="K53" s="11" t="s">
        <v>1689</v>
      </c>
      <c r="L53" s="3"/>
      <c r="M53" s="3"/>
      <c r="N53" s="8" t="s">
        <v>1347</v>
      </c>
      <c r="O53" s="3" t="s">
        <v>2478</v>
      </c>
      <c r="P53" s="3" t="s">
        <v>2479</v>
      </c>
      <c r="Q53" s="3"/>
      <c r="R53" s="3"/>
      <c r="S53" s="3"/>
      <c r="T53" s="3"/>
      <c r="U53" s="3"/>
      <c r="V53" s="3"/>
      <c r="W53" s="3"/>
      <c r="X53" s="3"/>
      <c r="Y53" s="3"/>
      <c r="Z53" s="3"/>
      <c r="AA53" s="3"/>
      <c r="AB53" s="3"/>
      <c r="AC53" s="3"/>
    </row>
    <row r="54" spans="1:29">
      <c r="A54" s="3" t="s">
        <v>170</v>
      </c>
      <c r="B54" s="3" t="s">
        <v>171</v>
      </c>
      <c r="C54" s="3" t="s">
        <v>172</v>
      </c>
      <c r="D54" s="3" t="s">
        <v>782</v>
      </c>
      <c r="E54" s="3" t="s">
        <v>1700</v>
      </c>
      <c r="F54" s="3">
        <v>262</v>
      </c>
      <c r="G54" s="3" t="s">
        <v>1701</v>
      </c>
      <c r="H54" s="3"/>
      <c r="I54" s="10" t="s">
        <v>1045</v>
      </c>
      <c r="J54" s="10">
        <v>242</v>
      </c>
      <c r="K54" s="11" t="s">
        <v>1186</v>
      </c>
      <c r="L54" s="3"/>
      <c r="M54" s="3"/>
      <c r="N54" s="8" t="s">
        <v>1338</v>
      </c>
      <c r="O54" s="3" t="s">
        <v>2480</v>
      </c>
      <c r="P54" s="3" t="s">
        <v>2481</v>
      </c>
      <c r="Q54" s="3"/>
      <c r="R54" s="3"/>
      <c r="S54" s="3"/>
      <c r="T54" s="3"/>
      <c r="U54" s="3"/>
      <c r="V54" s="3"/>
      <c r="W54" s="3"/>
      <c r="X54" s="3"/>
      <c r="Y54" s="3"/>
      <c r="Z54" s="3"/>
      <c r="AA54" s="3"/>
      <c r="AB54" s="3"/>
      <c r="AC54" s="3"/>
    </row>
    <row r="55" spans="1:29" ht="28.5">
      <c r="A55" s="3" t="s">
        <v>173</v>
      </c>
      <c r="B55" s="3" t="s">
        <v>174</v>
      </c>
      <c r="C55" s="3" t="s">
        <v>175</v>
      </c>
      <c r="D55" s="3" t="s">
        <v>783</v>
      </c>
      <c r="E55" s="3" t="s">
        <v>1702</v>
      </c>
      <c r="F55" s="3">
        <v>951</v>
      </c>
      <c r="G55" s="3" t="s">
        <v>1703</v>
      </c>
      <c r="H55" s="3"/>
      <c r="I55" s="10" t="s">
        <v>1046</v>
      </c>
      <c r="J55" s="10">
        <v>238</v>
      </c>
      <c r="K55" s="11" t="s">
        <v>1047</v>
      </c>
      <c r="L55" s="3"/>
      <c r="M55" s="3"/>
      <c r="N55" s="8" t="s">
        <v>1288</v>
      </c>
      <c r="O55" s="3" t="s">
        <v>2482</v>
      </c>
      <c r="P55" s="3" t="s">
        <v>2483</v>
      </c>
      <c r="Q55" s="3"/>
      <c r="R55" s="3"/>
      <c r="S55" s="3"/>
      <c r="T55" s="3"/>
      <c r="U55" s="3"/>
      <c r="V55" s="3"/>
      <c r="W55" s="3"/>
      <c r="X55" s="3"/>
      <c r="Y55" s="3"/>
      <c r="Z55" s="3"/>
      <c r="AA55" s="3"/>
      <c r="AB55" s="3"/>
      <c r="AC55" s="3"/>
    </row>
    <row r="56" spans="1:29">
      <c r="A56" t="s">
        <v>182</v>
      </c>
      <c r="B56" t="s">
        <v>183</v>
      </c>
      <c r="C56" t="s">
        <v>184</v>
      </c>
      <c r="D56" t="s">
        <v>786</v>
      </c>
      <c r="E56" t="s">
        <v>1708</v>
      </c>
      <c r="F56">
        <v>818</v>
      </c>
      <c r="G56" t="s">
        <v>1709</v>
      </c>
      <c r="H56" s="3"/>
      <c r="I56" s="10" t="s">
        <v>1048</v>
      </c>
      <c r="J56" s="10">
        <v>826</v>
      </c>
      <c r="K56" s="11" t="s">
        <v>1049</v>
      </c>
      <c r="L56" s="3"/>
      <c r="M56" s="3"/>
      <c r="N56" s="8" t="s">
        <v>1291</v>
      </c>
      <c r="O56" s="3" t="s">
        <v>2484</v>
      </c>
      <c r="P56" s="3" t="s">
        <v>2485</v>
      </c>
      <c r="Q56" s="3"/>
      <c r="R56" s="3"/>
      <c r="S56" s="3"/>
      <c r="T56" s="3"/>
      <c r="U56" s="3"/>
      <c r="V56" s="3"/>
      <c r="W56" s="3"/>
      <c r="X56" s="3"/>
      <c r="Y56" s="3"/>
      <c r="Z56" s="3"/>
      <c r="AA56" s="3"/>
      <c r="AB56" s="3"/>
      <c r="AC56" s="3"/>
    </row>
    <row r="57" spans="1:29">
      <c r="A57" t="s">
        <v>660</v>
      </c>
      <c r="B57" t="s">
        <v>661</v>
      </c>
      <c r="C57" t="s">
        <v>662</v>
      </c>
      <c r="D57" t="s">
        <v>952</v>
      </c>
      <c r="E57" t="s">
        <v>2038</v>
      </c>
      <c r="F57">
        <v>784</v>
      </c>
      <c r="G57" t="s">
        <v>2039</v>
      </c>
      <c r="H57" s="3"/>
      <c r="I57" s="10" t="s">
        <v>1050</v>
      </c>
      <c r="J57" s="10">
        <v>981</v>
      </c>
      <c r="K57" s="11" t="s">
        <v>1051</v>
      </c>
      <c r="L57" s="3"/>
      <c r="M57" s="3"/>
      <c r="N57" s="8" t="s">
        <v>1315</v>
      </c>
      <c r="O57" s="3" t="s">
        <v>2486</v>
      </c>
      <c r="P57" s="3" t="s">
        <v>2487</v>
      </c>
      <c r="Q57" s="3"/>
      <c r="R57" s="3"/>
      <c r="S57" s="3"/>
      <c r="T57" s="3"/>
      <c r="U57" s="3"/>
      <c r="V57" s="3"/>
      <c r="W57" s="3"/>
      <c r="X57" s="3"/>
      <c r="Y57" s="3"/>
      <c r="Z57" s="3"/>
      <c r="AA57" s="3"/>
      <c r="AB57" s="3"/>
      <c r="AC57" s="3"/>
    </row>
    <row r="58" spans="1:29" ht="42.75">
      <c r="A58" t="s">
        <v>179</v>
      </c>
      <c r="B58" t="s">
        <v>180</v>
      </c>
      <c r="C58" t="s">
        <v>181</v>
      </c>
      <c r="D58" t="s">
        <v>785</v>
      </c>
      <c r="E58" t="s">
        <v>1706</v>
      </c>
      <c r="F58">
        <v>840</v>
      </c>
      <c r="G58" t="s">
        <v>1707</v>
      </c>
      <c r="H58" s="3"/>
      <c r="I58" s="10" t="s">
        <v>1187</v>
      </c>
      <c r="J58" s="10">
        <v>0</v>
      </c>
      <c r="K58" s="11" t="s">
        <v>1188</v>
      </c>
      <c r="L58" s="3"/>
      <c r="M58" s="3"/>
      <c r="N58" s="8" t="s">
        <v>1336</v>
      </c>
      <c r="O58" s="3" t="s">
        <v>2488</v>
      </c>
      <c r="P58" s="3" t="s">
        <v>2489</v>
      </c>
      <c r="Q58" s="3"/>
      <c r="R58" s="3"/>
      <c r="S58" s="3"/>
      <c r="T58" s="3"/>
      <c r="U58" s="3"/>
      <c r="V58" s="3"/>
      <c r="W58" s="3"/>
      <c r="X58" s="3"/>
      <c r="Y58" s="3"/>
      <c r="Z58" s="3"/>
      <c r="AA58" s="3"/>
      <c r="AB58" s="3"/>
      <c r="AC58" s="3"/>
    </row>
    <row r="59" spans="1:29">
      <c r="A59" t="s">
        <v>191</v>
      </c>
      <c r="B59" t="s">
        <v>192</v>
      </c>
      <c r="C59" t="s">
        <v>193</v>
      </c>
      <c r="D59" t="s">
        <v>789</v>
      </c>
      <c r="E59" t="s">
        <v>1714</v>
      </c>
      <c r="F59">
        <v>232</v>
      </c>
      <c r="G59" t="s">
        <v>1715</v>
      </c>
      <c r="H59" s="3"/>
      <c r="I59" s="10" t="s">
        <v>1052</v>
      </c>
      <c r="J59" s="10">
        <v>936</v>
      </c>
      <c r="K59" s="11" t="s">
        <v>1053</v>
      </c>
      <c r="L59" s="3"/>
      <c r="M59" s="3"/>
      <c r="N59" s="8" t="s">
        <v>1280</v>
      </c>
      <c r="O59" s="3" t="s">
        <v>2490</v>
      </c>
      <c r="P59" s="3" t="s">
        <v>2491</v>
      </c>
      <c r="Q59" s="3"/>
      <c r="R59" s="3"/>
      <c r="S59" s="3"/>
      <c r="T59" s="3"/>
      <c r="U59" s="3"/>
      <c r="V59" s="3"/>
      <c r="W59" s="3"/>
      <c r="X59" s="3"/>
      <c r="Y59" s="3"/>
      <c r="Z59" s="3"/>
      <c r="AA59" s="3"/>
      <c r="AB59" s="3"/>
      <c r="AC59" s="3"/>
    </row>
    <row r="60" spans="1:29">
      <c r="A60" t="s">
        <v>590</v>
      </c>
      <c r="B60" t="s">
        <v>591</v>
      </c>
      <c r="C60" t="s">
        <v>592</v>
      </c>
      <c r="D60" t="s">
        <v>927</v>
      </c>
      <c r="E60" t="s">
        <v>1994</v>
      </c>
      <c r="F60">
        <v>978</v>
      </c>
      <c r="G60" t="s">
        <v>1995</v>
      </c>
      <c r="H60" s="3"/>
      <c r="I60" s="10" t="s">
        <v>1054</v>
      </c>
      <c r="J60" s="10">
        <v>292</v>
      </c>
      <c r="K60" s="11" t="s">
        <v>1055</v>
      </c>
      <c r="L60" s="3"/>
      <c r="M60" s="3"/>
      <c r="N60" s="8" t="s">
        <v>1284</v>
      </c>
      <c r="O60" s="3" t="s">
        <v>2492</v>
      </c>
      <c r="P60" s="3" t="s">
        <v>2493</v>
      </c>
      <c r="Q60" s="3"/>
      <c r="R60" s="3"/>
      <c r="S60" s="3"/>
      <c r="T60" s="3"/>
      <c r="U60" s="3"/>
      <c r="V60" s="3"/>
      <c r="W60" s="3"/>
      <c r="X60" s="3"/>
      <c r="Y60" s="3"/>
      <c r="Z60" s="3"/>
      <c r="AA60" s="3"/>
      <c r="AB60" s="3"/>
      <c r="AC60" s="3"/>
    </row>
    <row r="61" spans="1:29">
      <c r="A61" t="s">
        <v>194</v>
      </c>
      <c r="B61" t="s">
        <v>195</v>
      </c>
      <c r="C61" t="s">
        <v>196</v>
      </c>
      <c r="D61" t="s">
        <v>790</v>
      </c>
      <c r="E61" t="s">
        <v>1718</v>
      </c>
      <c r="F61">
        <v>978</v>
      </c>
      <c r="G61" t="s">
        <v>1719</v>
      </c>
      <c r="H61" s="3"/>
      <c r="I61" s="10" t="s">
        <v>1056</v>
      </c>
      <c r="J61" s="10">
        <v>270</v>
      </c>
      <c r="K61" s="11" t="s">
        <v>1057</v>
      </c>
      <c r="L61" s="3"/>
      <c r="M61" s="3"/>
      <c r="N61" s="8" t="s">
        <v>1283</v>
      </c>
      <c r="O61" s="3" t="s">
        <v>2494</v>
      </c>
      <c r="P61" s="3" t="s">
        <v>2495</v>
      </c>
      <c r="Q61" s="3"/>
      <c r="R61" s="3"/>
      <c r="S61" s="3"/>
      <c r="T61" s="3"/>
      <c r="U61" s="3"/>
      <c r="V61" s="3"/>
      <c r="W61" s="3"/>
      <c r="X61" s="3"/>
      <c r="Y61" s="3"/>
      <c r="Z61" s="3"/>
      <c r="AA61" s="3"/>
      <c r="AB61" s="3"/>
      <c r="AC61" s="3"/>
    </row>
    <row r="62" spans="1:29">
      <c r="A62" t="s">
        <v>719</v>
      </c>
      <c r="B62" t="s">
        <v>605</v>
      </c>
      <c r="C62" t="s">
        <v>606</v>
      </c>
      <c r="D62" t="s">
        <v>932</v>
      </c>
      <c r="E62" t="s">
        <v>1144</v>
      </c>
      <c r="F62">
        <v>748</v>
      </c>
      <c r="G62" t="s">
        <v>1254</v>
      </c>
      <c r="I62" s="1" t="s">
        <v>1058</v>
      </c>
      <c r="J62" s="1">
        <v>324</v>
      </c>
      <c r="K62" s="2" t="s">
        <v>1059</v>
      </c>
      <c r="N62" s="8" t="s">
        <v>1326</v>
      </c>
      <c r="O62" s="3" t="s">
        <v>2496</v>
      </c>
      <c r="P62" s="3" t="s">
        <v>2497</v>
      </c>
      <c r="Q62" s="3"/>
      <c r="R62" s="3"/>
      <c r="S62" s="3"/>
    </row>
    <row r="63" spans="1:29" ht="28.5">
      <c r="A63" s="3" t="s">
        <v>666</v>
      </c>
      <c r="B63" s="3" t="s">
        <v>667</v>
      </c>
      <c r="C63" s="3" t="s">
        <v>668</v>
      </c>
      <c r="D63" s="3" t="s">
        <v>954</v>
      </c>
      <c r="E63" s="3" t="s">
        <v>1477</v>
      </c>
      <c r="F63" s="3">
        <v>840</v>
      </c>
      <c r="G63" s="3" t="s">
        <v>1161</v>
      </c>
      <c r="I63" s="1" t="s">
        <v>1060</v>
      </c>
      <c r="J63" s="1">
        <v>320</v>
      </c>
      <c r="K63" s="2" t="s">
        <v>1061</v>
      </c>
      <c r="N63" s="8" t="s">
        <v>1279</v>
      </c>
      <c r="O63" s="3" t="s">
        <v>2498</v>
      </c>
      <c r="P63" s="3" t="s">
        <v>2499</v>
      </c>
      <c r="Q63" s="3"/>
      <c r="R63" s="3"/>
      <c r="S63" s="3"/>
    </row>
    <row r="64" spans="1:29" ht="28.5">
      <c r="A64" t="s">
        <v>197</v>
      </c>
      <c r="B64" t="s">
        <v>198</v>
      </c>
      <c r="C64" t="s">
        <v>199</v>
      </c>
      <c r="D64" t="s">
        <v>791</v>
      </c>
      <c r="E64" t="s">
        <v>1720</v>
      </c>
      <c r="F64">
        <v>230</v>
      </c>
      <c r="G64" t="s">
        <v>1721</v>
      </c>
      <c r="I64" s="1" t="s">
        <v>1062</v>
      </c>
      <c r="J64" s="1">
        <v>328</v>
      </c>
      <c r="K64" s="2" t="s">
        <v>1189</v>
      </c>
      <c r="N64" s="8" t="s">
        <v>1281</v>
      </c>
      <c r="O64" s="3" t="s">
        <v>2500</v>
      </c>
      <c r="P64" s="3" t="s">
        <v>2501</v>
      </c>
      <c r="Q64" s="3"/>
      <c r="R64" s="3"/>
      <c r="S64" s="3"/>
    </row>
    <row r="65" spans="1:19" ht="28.5">
      <c r="A65" t="s">
        <v>518</v>
      </c>
      <c r="B65" t="s">
        <v>519</v>
      </c>
      <c r="C65" t="s">
        <v>520</v>
      </c>
      <c r="D65" t="s">
        <v>902</v>
      </c>
      <c r="E65" t="s">
        <v>1947</v>
      </c>
      <c r="F65">
        <v>643</v>
      </c>
      <c r="G65" t="s">
        <v>1948</v>
      </c>
      <c r="I65" s="1" t="s">
        <v>1063</v>
      </c>
      <c r="J65" s="1">
        <v>344</v>
      </c>
      <c r="K65" s="2" t="s">
        <v>1781</v>
      </c>
      <c r="N65" s="8" t="s">
        <v>1304</v>
      </c>
      <c r="O65" s="3" t="s">
        <v>2502</v>
      </c>
      <c r="P65" s="3" t="s">
        <v>2503</v>
      </c>
      <c r="Q65" s="3"/>
      <c r="R65" s="3"/>
      <c r="S65" s="3"/>
    </row>
    <row r="66" spans="1:19" ht="42.75">
      <c r="A66" t="s">
        <v>204</v>
      </c>
      <c r="B66" t="s">
        <v>205</v>
      </c>
      <c r="C66" t="s">
        <v>206</v>
      </c>
      <c r="D66" t="s">
        <v>794</v>
      </c>
      <c r="E66" t="s">
        <v>1726</v>
      </c>
      <c r="F66">
        <v>242</v>
      </c>
      <c r="G66" t="s">
        <v>1727</v>
      </c>
      <c r="I66" s="1" t="s">
        <v>1064</v>
      </c>
      <c r="J66" s="1">
        <v>340</v>
      </c>
      <c r="K66" s="2" t="s">
        <v>1190</v>
      </c>
      <c r="N66" s="8" t="s">
        <v>1308</v>
      </c>
      <c r="O66" s="3" t="s">
        <v>2504</v>
      </c>
      <c r="P66" s="3" t="s">
        <v>2505</v>
      </c>
      <c r="Q66" s="3"/>
      <c r="R66" s="3"/>
      <c r="S66" s="3"/>
    </row>
    <row r="67" spans="1:19" ht="28.5">
      <c r="A67" t="s">
        <v>207</v>
      </c>
      <c r="B67" t="s">
        <v>208</v>
      </c>
      <c r="C67" t="s">
        <v>209</v>
      </c>
      <c r="D67" t="s">
        <v>795</v>
      </c>
      <c r="E67" t="s">
        <v>1728</v>
      </c>
      <c r="F67">
        <v>978</v>
      </c>
      <c r="G67" t="s">
        <v>1729</v>
      </c>
      <c r="I67" s="1" t="s">
        <v>1716</v>
      </c>
      <c r="J67" s="1">
        <v>191</v>
      </c>
      <c r="K67" s="2" t="s">
        <v>1717</v>
      </c>
      <c r="N67" s="8" t="s">
        <v>1289</v>
      </c>
      <c r="O67" s="3" t="s">
        <v>2506</v>
      </c>
      <c r="P67" s="3" t="s">
        <v>2507</v>
      </c>
      <c r="Q67" s="3"/>
      <c r="R67" s="3"/>
      <c r="S67" s="3"/>
    </row>
    <row r="68" spans="1:19">
      <c r="A68" t="s">
        <v>210</v>
      </c>
      <c r="B68" t="s">
        <v>211</v>
      </c>
      <c r="C68" t="s">
        <v>212</v>
      </c>
      <c r="D68" t="s">
        <v>796</v>
      </c>
      <c r="E68" t="s">
        <v>1730</v>
      </c>
      <c r="F68">
        <v>978</v>
      </c>
      <c r="G68" t="s">
        <v>1731</v>
      </c>
      <c r="I68" s="1" t="s">
        <v>1066</v>
      </c>
      <c r="J68" s="1">
        <v>332</v>
      </c>
      <c r="K68" s="2" t="s">
        <v>1191</v>
      </c>
      <c r="N68" s="8" t="s">
        <v>1322</v>
      </c>
      <c r="O68" s="3" t="s">
        <v>2508</v>
      </c>
      <c r="P68" s="3" t="s">
        <v>2509</v>
      </c>
      <c r="Q68" s="3"/>
      <c r="R68" s="3"/>
      <c r="S68" s="3"/>
    </row>
    <row r="69" spans="1:19">
      <c r="A69" t="s">
        <v>222</v>
      </c>
      <c r="B69" t="s">
        <v>223</v>
      </c>
      <c r="C69" t="s">
        <v>224</v>
      </c>
      <c r="D69" t="s">
        <v>800</v>
      </c>
      <c r="E69" t="s">
        <v>1738</v>
      </c>
      <c r="F69">
        <v>950</v>
      </c>
      <c r="G69" t="s">
        <v>1739</v>
      </c>
      <c r="I69" s="1" t="s">
        <v>1067</v>
      </c>
      <c r="J69" s="1">
        <v>348</v>
      </c>
      <c r="K69" s="2" t="s">
        <v>1192</v>
      </c>
      <c r="N69" s="8" t="s">
        <v>1332</v>
      </c>
      <c r="O69" s="3" t="s">
        <v>2510</v>
      </c>
      <c r="P69" s="3" t="s">
        <v>2511</v>
      </c>
      <c r="Q69" s="3"/>
      <c r="R69" s="3"/>
      <c r="S69" s="3"/>
    </row>
    <row r="70" spans="1:19" ht="28.5">
      <c r="A70" t="s">
        <v>225</v>
      </c>
      <c r="B70" t="s">
        <v>226</v>
      </c>
      <c r="C70" t="s">
        <v>227</v>
      </c>
      <c r="D70" t="s">
        <v>801</v>
      </c>
      <c r="E70" t="s">
        <v>1740</v>
      </c>
      <c r="F70">
        <v>270</v>
      </c>
      <c r="G70" t="s">
        <v>1741</v>
      </c>
      <c r="I70" s="1" t="s">
        <v>1068</v>
      </c>
      <c r="J70" s="1">
        <v>360</v>
      </c>
      <c r="K70" s="2" t="s">
        <v>1193</v>
      </c>
      <c r="N70" s="8" t="s">
        <v>1337</v>
      </c>
      <c r="O70" s="3" t="s">
        <v>2512</v>
      </c>
      <c r="P70" s="3" t="s">
        <v>2513</v>
      </c>
      <c r="Q70" s="3"/>
      <c r="R70" s="3"/>
      <c r="S70" s="3"/>
    </row>
    <row r="71" spans="1:19">
      <c r="A71" t="s">
        <v>228</v>
      </c>
      <c r="B71" t="s">
        <v>229</v>
      </c>
      <c r="C71" t="s">
        <v>230</v>
      </c>
      <c r="D71" t="s">
        <v>802</v>
      </c>
      <c r="E71" t="s">
        <v>1742</v>
      </c>
      <c r="F71">
        <v>981</v>
      </c>
      <c r="G71" t="s">
        <v>1743</v>
      </c>
      <c r="I71" s="1" t="s">
        <v>1069</v>
      </c>
      <c r="J71" s="1">
        <v>376</v>
      </c>
      <c r="K71" s="2" t="s">
        <v>1194</v>
      </c>
      <c r="N71" s="8" t="s">
        <v>1319</v>
      </c>
      <c r="O71" s="3" t="s">
        <v>2514</v>
      </c>
      <c r="P71" s="3" t="s">
        <v>2515</v>
      </c>
      <c r="Q71" s="3"/>
      <c r="R71" s="3"/>
      <c r="S71" s="3"/>
    </row>
    <row r="72" spans="1:19" ht="28.5">
      <c r="A72" s="3" t="s">
        <v>584</v>
      </c>
      <c r="B72" t="s">
        <v>585</v>
      </c>
      <c r="C72" t="s">
        <v>586</v>
      </c>
      <c r="D72" t="s">
        <v>925</v>
      </c>
      <c r="I72" s="1" t="s">
        <v>1195</v>
      </c>
      <c r="J72" s="1">
        <v>0</v>
      </c>
      <c r="K72" s="2" t="s">
        <v>1196</v>
      </c>
      <c r="N72" s="8" t="s">
        <v>1320</v>
      </c>
      <c r="O72" s="3" t="s">
        <v>2516</v>
      </c>
      <c r="P72" s="3" t="s">
        <v>2517</v>
      </c>
      <c r="Q72" s="3"/>
      <c r="R72" s="3"/>
      <c r="S72" s="3"/>
    </row>
    <row r="73" spans="1:19">
      <c r="A73" t="s">
        <v>234</v>
      </c>
      <c r="B73" t="s">
        <v>235</v>
      </c>
      <c r="C73" t="s">
        <v>236</v>
      </c>
      <c r="D73" t="s">
        <v>804</v>
      </c>
      <c r="E73" t="s">
        <v>1746</v>
      </c>
      <c r="F73">
        <v>936</v>
      </c>
      <c r="G73" t="s">
        <v>1747</v>
      </c>
      <c r="I73" s="1" t="s">
        <v>1070</v>
      </c>
      <c r="J73" s="1">
        <v>356</v>
      </c>
      <c r="K73" s="2" t="s">
        <v>1197</v>
      </c>
      <c r="N73" s="8" t="s">
        <v>1316</v>
      </c>
      <c r="O73" s="3" t="s">
        <v>2518</v>
      </c>
      <c r="P73" s="3" t="s">
        <v>2519</v>
      </c>
      <c r="Q73" s="3"/>
      <c r="R73" s="3"/>
      <c r="S73" s="3"/>
    </row>
    <row r="74" spans="1:19" ht="42.75">
      <c r="A74" t="s">
        <v>237</v>
      </c>
      <c r="B74" t="s">
        <v>238</v>
      </c>
      <c r="C74" t="s">
        <v>239</v>
      </c>
      <c r="D74" t="s">
        <v>805</v>
      </c>
      <c r="E74" t="s">
        <v>1750</v>
      </c>
      <c r="F74">
        <v>292</v>
      </c>
      <c r="G74" t="s">
        <v>1751</v>
      </c>
      <c r="I74" s="1" t="s">
        <v>1071</v>
      </c>
      <c r="J74" s="1">
        <v>368</v>
      </c>
      <c r="K74" s="2" t="s">
        <v>1072</v>
      </c>
      <c r="N74" s="8">
        <v>7103</v>
      </c>
      <c r="O74" s="3" t="s">
        <v>2535</v>
      </c>
      <c r="P74" s="3" t="s">
        <v>2536</v>
      </c>
      <c r="Q74" s="3"/>
      <c r="R74" s="3"/>
      <c r="S74" s="3"/>
    </row>
    <row r="75" spans="1:19">
      <c r="A75" t="s">
        <v>240</v>
      </c>
      <c r="B75" t="s">
        <v>241</v>
      </c>
      <c r="C75" t="s">
        <v>242</v>
      </c>
      <c r="D75" t="s">
        <v>806</v>
      </c>
      <c r="E75" t="s">
        <v>1754</v>
      </c>
      <c r="F75">
        <v>978</v>
      </c>
      <c r="G75" t="s">
        <v>1755</v>
      </c>
      <c r="I75" s="1" t="s">
        <v>1073</v>
      </c>
      <c r="J75" s="1">
        <v>364</v>
      </c>
      <c r="K75" s="2" t="s">
        <v>1198</v>
      </c>
      <c r="N75" s="3"/>
      <c r="O75" s="3"/>
      <c r="P75" s="3"/>
      <c r="Q75" s="3"/>
      <c r="R75" s="3"/>
      <c r="S75" s="3"/>
    </row>
    <row r="76" spans="1:19">
      <c r="A76" t="s">
        <v>246</v>
      </c>
      <c r="B76" t="s">
        <v>247</v>
      </c>
      <c r="C76" t="s">
        <v>248</v>
      </c>
      <c r="D76" t="s">
        <v>808</v>
      </c>
      <c r="E76" t="s">
        <v>1758</v>
      </c>
      <c r="F76">
        <v>951</v>
      </c>
      <c r="G76" t="s">
        <v>1759</v>
      </c>
      <c r="I76" s="1" t="s">
        <v>1074</v>
      </c>
      <c r="J76" s="1">
        <v>352</v>
      </c>
      <c r="K76" s="2" t="s">
        <v>1075</v>
      </c>
      <c r="N76" s="3"/>
      <c r="O76" s="3"/>
      <c r="P76" s="3"/>
      <c r="Q76" s="3"/>
      <c r="R76" s="3"/>
      <c r="S76" s="3"/>
    </row>
    <row r="77" spans="1:19">
      <c r="A77" t="s">
        <v>243</v>
      </c>
      <c r="B77" t="s">
        <v>244</v>
      </c>
      <c r="C77" t="s">
        <v>245</v>
      </c>
      <c r="D77" t="s">
        <v>807</v>
      </c>
      <c r="E77" t="s">
        <v>1756</v>
      </c>
      <c r="F77">
        <v>208</v>
      </c>
      <c r="G77" t="s">
        <v>1757</v>
      </c>
      <c r="I77" s="1" t="s">
        <v>1199</v>
      </c>
      <c r="J77" s="1">
        <v>0</v>
      </c>
      <c r="K77" s="2" t="s">
        <v>1200</v>
      </c>
      <c r="N77" s="3"/>
      <c r="O77" s="3"/>
      <c r="P77" s="3"/>
    </row>
    <row r="78" spans="1:19">
      <c r="A78" t="s">
        <v>249</v>
      </c>
      <c r="B78" t="s">
        <v>250</v>
      </c>
      <c r="C78" t="s">
        <v>251</v>
      </c>
      <c r="D78" t="s">
        <v>809</v>
      </c>
      <c r="E78" t="s">
        <v>1760</v>
      </c>
      <c r="F78">
        <v>978</v>
      </c>
      <c r="G78" t="s">
        <v>1761</v>
      </c>
      <c r="I78" s="1" t="s">
        <v>1076</v>
      </c>
      <c r="J78" s="1">
        <v>388</v>
      </c>
      <c r="K78" s="2" t="s">
        <v>1201</v>
      </c>
    </row>
    <row r="79" spans="1:19">
      <c r="A79" t="s">
        <v>252</v>
      </c>
      <c r="B79" t="s">
        <v>253</v>
      </c>
      <c r="C79" t="s">
        <v>254</v>
      </c>
      <c r="D79" t="s">
        <v>810</v>
      </c>
      <c r="E79" t="s">
        <v>1764</v>
      </c>
      <c r="F79">
        <v>840</v>
      </c>
      <c r="G79" t="s">
        <v>1765</v>
      </c>
      <c r="I79" s="1" t="s">
        <v>1077</v>
      </c>
      <c r="J79" s="1">
        <v>400</v>
      </c>
      <c r="K79" s="2" t="s">
        <v>1202</v>
      </c>
    </row>
    <row r="80" spans="1:19">
      <c r="A80" t="s">
        <v>255</v>
      </c>
      <c r="B80" t="s">
        <v>256</v>
      </c>
      <c r="C80" t="s">
        <v>257</v>
      </c>
      <c r="D80" t="s">
        <v>811</v>
      </c>
      <c r="E80" t="s">
        <v>1766</v>
      </c>
      <c r="F80">
        <v>320</v>
      </c>
      <c r="G80" t="s">
        <v>1767</v>
      </c>
      <c r="I80" s="1" t="s">
        <v>1078</v>
      </c>
      <c r="J80" s="1">
        <v>392</v>
      </c>
      <c r="K80" s="2" t="s">
        <v>1203</v>
      </c>
    </row>
    <row r="81" spans="1:11">
      <c r="A81" t="s">
        <v>2087</v>
      </c>
      <c r="B81" t="s">
        <v>258</v>
      </c>
      <c r="C81" t="s">
        <v>259</v>
      </c>
      <c r="D81" t="s">
        <v>812</v>
      </c>
      <c r="E81" t="s">
        <v>1768</v>
      </c>
      <c r="F81">
        <v>0</v>
      </c>
      <c r="G81" t="s">
        <v>1769</v>
      </c>
      <c r="I81" s="1" t="s">
        <v>1079</v>
      </c>
      <c r="J81" s="1">
        <v>404</v>
      </c>
      <c r="K81" s="2" t="s">
        <v>1204</v>
      </c>
    </row>
    <row r="82" spans="1:11">
      <c r="A82" t="s">
        <v>260</v>
      </c>
      <c r="B82" t="s">
        <v>261</v>
      </c>
      <c r="C82" t="s">
        <v>262</v>
      </c>
      <c r="D82" t="s">
        <v>813</v>
      </c>
      <c r="E82" t="s">
        <v>1770</v>
      </c>
      <c r="F82">
        <v>324</v>
      </c>
      <c r="G82" t="s">
        <v>1771</v>
      </c>
      <c r="I82" s="1" t="s">
        <v>1080</v>
      </c>
      <c r="J82" s="1">
        <v>417</v>
      </c>
      <c r="K82" s="2" t="s">
        <v>1205</v>
      </c>
    </row>
    <row r="83" spans="1:11">
      <c r="A83" t="s">
        <v>188</v>
      </c>
      <c r="B83" t="s">
        <v>189</v>
      </c>
      <c r="C83" t="s">
        <v>190</v>
      </c>
      <c r="D83" t="s">
        <v>788</v>
      </c>
      <c r="E83" t="s">
        <v>1712</v>
      </c>
      <c r="F83">
        <v>950</v>
      </c>
      <c r="G83" t="s">
        <v>1713</v>
      </c>
      <c r="I83" s="1" t="s">
        <v>1748</v>
      </c>
      <c r="J83" s="1">
        <v>116</v>
      </c>
      <c r="K83" s="2" t="s">
        <v>1749</v>
      </c>
    </row>
    <row r="84" spans="1:11">
      <c r="A84" t="s">
        <v>263</v>
      </c>
      <c r="B84" t="s">
        <v>264</v>
      </c>
      <c r="C84" t="s">
        <v>265</v>
      </c>
      <c r="D84" t="s">
        <v>814</v>
      </c>
      <c r="E84" t="s">
        <v>1772</v>
      </c>
      <c r="F84">
        <v>952</v>
      </c>
      <c r="G84" t="s">
        <v>1773</v>
      </c>
      <c r="I84" s="1" t="s">
        <v>1752</v>
      </c>
      <c r="J84" s="1">
        <v>174</v>
      </c>
      <c r="K84" s="2" t="s">
        <v>1753</v>
      </c>
    </row>
    <row r="85" spans="1:11">
      <c r="A85" t="s">
        <v>266</v>
      </c>
      <c r="B85" t="s">
        <v>267</v>
      </c>
      <c r="C85" t="s">
        <v>268</v>
      </c>
      <c r="D85" t="s">
        <v>815</v>
      </c>
      <c r="E85" t="s">
        <v>1774</v>
      </c>
      <c r="F85">
        <v>328</v>
      </c>
      <c r="G85" t="s">
        <v>1775</v>
      </c>
      <c r="I85" s="1" t="s">
        <v>1083</v>
      </c>
      <c r="J85" s="1">
        <v>408</v>
      </c>
      <c r="K85" s="2" t="s">
        <v>1208</v>
      </c>
    </row>
    <row r="86" spans="1:11">
      <c r="A86" t="s">
        <v>213</v>
      </c>
      <c r="B86" t="s">
        <v>214</v>
      </c>
      <c r="C86" t="s">
        <v>215</v>
      </c>
      <c r="D86" t="s">
        <v>797</v>
      </c>
      <c r="E86" t="s">
        <v>1732</v>
      </c>
      <c r="F86">
        <v>978</v>
      </c>
      <c r="G86" t="s">
        <v>1733</v>
      </c>
      <c r="I86" s="1" t="s">
        <v>1084</v>
      </c>
      <c r="J86" s="1">
        <v>410</v>
      </c>
      <c r="K86" s="2" t="s">
        <v>1209</v>
      </c>
    </row>
    <row r="87" spans="1:11">
      <c r="A87" t="s">
        <v>269</v>
      </c>
      <c r="B87" t="s">
        <v>270</v>
      </c>
      <c r="C87" t="s">
        <v>271</v>
      </c>
      <c r="D87" t="s">
        <v>816</v>
      </c>
      <c r="E87" t="s">
        <v>1776</v>
      </c>
      <c r="F87">
        <v>332</v>
      </c>
      <c r="G87" t="s">
        <v>1777</v>
      </c>
      <c r="I87" s="1" t="s">
        <v>1085</v>
      </c>
      <c r="J87" s="1">
        <v>414</v>
      </c>
      <c r="K87" s="2" t="s">
        <v>2088</v>
      </c>
    </row>
    <row r="88" spans="1:11">
      <c r="A88" t="s">
        <v>276</v>
      </c>
      <c r="B88" t="s">
        <v>277</v>
      </c>
      <c r="C88" t="s">
        <v>278</v>
      </c>
      <c r="D88" t="s">
        <v>819</v>
      </c>
      <c r="E88" t="s">
        <v>1778</v>
      </c>
      <c r="F88">
        <v>340</v>
      </c>
      <c r="G88" t="s">
        <v>1779</v>
      </c>
      <c r="I88" s="1" t="s">
        <v>1762</v>
      </c>
      <c r="J88" s="1">
        <v>136</v>
      </c>
      <c r="K88" s="2" t="s">
        <v>1763</v>
      </c>
    </row>
    <row r="89" spans="1:11">
      <c r="A89" t="s">
        <v>703</v>
      </c>
      <c r="B89" t="s">
        <v>130</v>
      </c>
      <c r="C89" t="s">
        <v>131</v>
      </c>
      <c r="D89" t="s">
        <v>767</v>
      </c>
      <c r="E89" t="s">
        <v>1780</v>
      </c>
      <c r="F89">
        <v>344</v>
      </c>
      <c r="G89" t="s">
        <v>1781</v>
      </c>
      <c r="I89" s="1" t="s">
        <v>1087</v>
      </c>
      <c r="J89" s="1">
        <v>398</v>
      </c>
      <c r="K89" s="2" t="s">
        <v>1211</v>
      </c>
    </row>
    <row r="90" spans="1:11">
      <c r="A90" t="s">
        <v>279</v>
      </c>
      <c r="B90" t="s">
        <v>280</v>
      </c>
      <c r="C90" t="s">
        <v>281</v>
      </c>
      <c r="D90" t="s">
        <v>820</v>
      </c>
      <c r="E90" t="s">
        <v>1782</v>
      </c>
      <c r="F90">
        <v>348</v>
      </c>
      <c r="G90" t="s">
        <v>1783</v>
      </c>
      <c r="I90" s="1" t="s">
        <v>1088</v>
      </c>
      <c r="J90" s="1">
        <v>418</v>
      </c>
      <c r="K90" s="2" t="s">
        <v>1212</v>
      </c>
    </row>
    <row r="91" spans="1:11">
      <c r="A91" t="s">
        <v>299</v>
      </c>
      <c r="B91" t="s">
        <v>300</v>
      </c>
      <c r="C91" t="s">
        <v>301</v>
      </c>
      <c r="D91" t="s">
        <v>827</v>
      </c>
      <c r="E91" t="s">
        <v>1796</v>
      </c>
      <c r="F91">
        <v>0</v>
      </c>
      <c r="G91" t="s">
        <v>1797</v>
      </c>
      <c r="I91" s="1" t="s">
        <v>1089</v>
      </c>
      <c r="J91" s="1">
        <v>422</v>
      </c>
      <c r="K91" s="2" t="s">
        <v>1213</v>
      </c>
    </row>
    <row r="92" spans="1:11">
      <c r="A92" s="3" t="s">
        <v>134</v>
      </c>
      <c r="B92" s="3" t="s">
        <v>135</v>
      </c>
      <c r="C92" s="3" t="s">
        <v>136</v>
      </c>
      <c r="D92" s="3" t="s">
        <v>769</v>
      </c>
      <c r="E92" s="3" t="s">
        <v>1676</v>
      </c>
      <c r="F92" s="3">
        <v>36</v>
      </c>
      <c r="G92" s="3" t="s">
        <v>1677</v>
      </c>
      <c r="I92" s="1" t="s">
        <v>1090</v>
      </c>
      <c r="J92" s="1">
        <v>144</v>
      </c>
      <c r="K92" s="2" t="s">
        <v>1214</v>
      </c>
    </row>
    <row r="93" spans="1:11">
      <c r="A93" t="s">
        <v>2079</v>
      </c>
      <c r="B93" t="s">
        <v>202</v>
      </c>
      <c r="C93" t="s">
        <v>203</v>
      </c>
      <c r="D93" t="s">
        <v>793</v>
      </c>
      <c r="E93" t="s">
        <v>1724</v>
      </c>
      <c r="F93">
        <v>208</v>
      </c>
      <c r="G93" t="s">
        <v>1725</v>
      </c>
      <c r="I93" s="1" t="s">
        <v>1091</v>
      </c>
      <c r="J93" s="1">
        <v>430</v>
      </c>
      <c r="K93" s="2" t="s">
        <v>1215</v>
      </c>
    </row>
    <row r="94" spans="1:11">
      <c r="A94" t="s">
        <v>272</v>
      </c>
      <c r="B94" t="s">
        <v>273</v>
      </c>
      <c r="C94" t="s">
        <v>274</v>
      </c>
      <c r="D94" t="s">
        <v>817</v>
      </c>
      <c r="I94" s="1" t="s">
        <v>1092</v>
      </c>
      <c r="J94" s="1">
        <v>426</v>
      </c>
      <c r="K94" s="2" t="s">
        <v>1093</v>
      </c>
    </row>
    <row r="95" spans="1:11">
      <c r="A95" s="3" t="s">
        <v>137</v>
      </c>
      <c r="B95" s="3" t="s">
        <v>138</v>
      </c>
      <c r="C95" s="3" t="s">
        <v>139</v>
      </c>
      <c r="D95" s="3" t="s">
        <v>770</v>
      </c>
      <c r="E95" s="3" t="s">
        <v>1678</v>
      </c>
      <c r="F95" s="3">
        <v>36</v>
      </c>
      <c r="G95" s="3" t="s">
        <v>1679</v>
      </c>
      <c r="I95" s="1" t="s">
        <v>1094</v>
      </c>
      <c r="J95" s="1">
        <v>434</v>
      </c>
      <c r="K95" s="2" t="s">
        <v>1216</v>
      </c>
    </row>
    <row r="96" spans="1:11">
      <c r="A96" t="s">
        <v>465</v>
      </c>
      <c r="B96" t="s">
        <v>466</v>
      </c>
      <c r="C96" t="s">
        <v>467</v>
      </c>
      <c r="D96" t="s">
        <v>884</v>
      </c>
      <c r="E96" t="s">
        <v>1913</v>
      </c>
      <c r="F96">
        <v>840</v>
      </c>
      <c r="G96" t="s">
        <v>1914</v>
      </c>
      <c r="I96" s="1" t="s">
        <v>1095</v>
      </c>
      <c r="J96" s="1">
        <v>504</v>
      </c>
      <c r="K96" s="2" t="s">
        <v>1217</v>
      </c>
    </row>
    <row r="97" spans="1:11">
      <c r="A97" t="s">
        <v>386</v>
      </c>
      <c r="B97" t="s">
        <v>387</v>
      </c>
      <c r="C97" t="s">
        <v>388</v>
      </c>
      <c r="D97" t="s">
        <v>857</v>
      </c>
      <c r="E97" t="s">
        <v>1858</v>
      </c>
      <c r="F97">
        <v>840</v>
      </c>
      <c r="G97" t="s">
        <v>1859</v>
      </c>
      <c r="I97" s="1" t="s">
        <v>1096</v>
      </c>
      <c r="J97" s="1">
        <v>498</v>
      </c>
      <c r="K97" s="2" t="s">
        <v>1218</v>
      </c>
    </row>
    <row r="98" spans="1:11">
      <c r="A98" t="s">
        <v>462</v>
      </c>
      <c r="B98" t="s">
        <v>463</v>
      </c>
      <c r="C98" t="s">
        <v>464</v>
      </c>
      <c r="D98" t="s">
        <v>883</v>
      </c>
      <c r="I98" s="1" t="s">
        <v>1097</v>
      </c>
      <c r="J98" s="1">
        <v>969</v>
      </c>
      <c r="K98" s="2" t="s">
        <v>1219</v>
      </c>
    </row>
    <row r="99" spans="1:11">
      <c r="A99" s="3" t="s">
        <v>115</v>
      </c>
      <c r="B99" s="3" t="s">
        <v>116</v>
      </c>
      <c r="C99" s="3" t="s">
        <v>117</v>
      </c>
      <c r="D99" s="3" t="s">
        <v>762</v>
      </c>
      <c r="E99" s="3" t="s">
        <v>1086</v>
      </c>
      <c r="F99" s="3">
        <v>136</v>
      </c>
      <c r="G99" s="3" t="s">
        <v>1210</v>
      </c>
      <c r="I99" s="1" t="s">
        <v>367</v>
      </c>
      <c r="J99" s="1">
        <v>807</v>
      </c>
      <c r="K99" s="2" t="s">
        <v>1098</v>
      </c>
    </row>
    <row r="100" spans="1:11">
      <c r="A100" t="s">
        <v>575</v>
      </c>
      <c r="B100" t="s">
        <v>576</v>
      </c>
      <c r="C100" t="s">
        <v>577</v>
      </c>
      <c r="D100" t="s">
        <v>922</v>
      </c>
      <c r="E100" t="s">
        <v>1986</v>
      </c>
      <c r="F100">
        <v>90</v>
      </c>
      <c r="G100" t="s">
        <v>1987</v>
      </c>
      <c r="I100" s="1" t="s">
        <v>1099</v>
      </c>
      <c r="J100" s="1">
        <v>104</v>
      </c>
      <c r="K100" s="2" t="s">
        <v>1220</v>
      </c>
    </row>
    <row r="101" spans="1:11">
      <c r="A101" t="s">
        <v>602</v>
      </c>
      <c r="B101" t="s">
        <v>603</v>
      </c>
      <c r="C101" t="s">
        <v>604</v>
      </c>
      <c r="D101" t="s">
        <v>931</v>
      </c>
      <c r="I101" s="1" t="s">
        <v>1100</v>
      </c>
      <c r="J101" s="1">
        <v>496</v>
      </c>
      <c r="K101" s="2" t="s">
        <v>1221</v>
      </c>
    </row>
    <row r="102" spans="1:11">
      <c r="A102" t="s">
        <v>648</v>
      </c>
      <c r="B102" t="s">
        <v>649</v>
      </c>
      <c r="C102" t="s">
        <v>650</v>
      </c>
      <c r="D102" t="s">
        <v>948</v>
      </c>
      <c r="E102" t="s">
        <v>2030</v>
      </c>
      <c r="F102">
        <v>840</v>
      </c>
      <c r="G102" t="s">
        <v>2031</v>
      </c>
      <c r="I102" s="1" t="s">
        <v>1101</v>
      </c>
      <c r="J102" s="1">
        <v>446</v>
      </c>
      <c r="K102" s="2" t="s">
        <v>1272</v>
      </c>
    </row>
    <row r="103" spans="1:11">
      <c r="A103" s="3" t="s">
        <v>86</v>
      </c>
      <c r="B103" s="3" t="s">
        <v>87</v>
      </c>
      <c r="C103" s="3" t="s">
        <v>88</v>
      </c>
      <c r="D103" s="3" t="s">
        <v>752</v>
      </c>
      <c r="E103" s="3" t="s">
        <v>1650</v>
      </c>
      <c r="F103" s="3">
        <v>840</v>
      </c>
      <c r="G103" s="3" t="s">
        <v>1651</v>
      </c>
      <c r="I103" s="1" t="s">
        <v>1222</v>
      </c>
      <c r="J103" s="1">
        <v>478</v>
      </c>
      <c r="K103" s="2" t="s">
        <v>1223</v>
      </c>
    </row>
    <row r="104" spans="1:11">
      <c r="A104" t="s">
        <v>683</v>
      </c>
      <c r="B104" t="s">
        <v>684</v>
      </c>
      <c r="C104" t="s">
        <v>685</v>
      </c>
      <c r="D104" t="s">
        <v>960</v>
      </c>
      <c r="E104" t="s">
        <v>2054</v>
      </c>
      <c r="F104">
        <v>840</v>
      </c>
      <c r="G104" t="s">
        <v>2055</v>
      </c>
      <c r="I104" s="1" t="s">
        <v>1102</v>
      </c>
      <c r="J104" s="1">
        <v>480</v>
      </c>
      <c r="K104" s="2" t="s">
        <v>1224</v>
      </c>
    </row>
    <row r="105" spans="1:11">
      <c r="A105" t="s">
        <v>686</v>
      </c>
      <c r="B105" t="s">
        <v>687</v>
      </c>
      <c r="C105" t="s">
        <v>688</v>
      </c>
      <c r="D105" t="s">
        <v>961</v>
      </c>
      <c r="I105" s="1" t="s">
        <v>1103</v>
      </c>
      <c r="J105" s="1">
        <v>462</v>
      </c>
      <c r="K105" s="2" t="s">
        <v>1225</v>
      </c>
    </row>
    <row r="106" spans="1:11">
      <c r="A106" s="3" t="s">
        <v>2082</v>
      </c>
      <c r="B106" s="3" t="s">
        <v>3</v>
      </c>
      <c r="C106" s="3" t="s">
        <v>4</v>
      </c>
      <c r="D106" s="3" t="s">
        <v>724</v>
      </c>
      <c r="E106" s="3" t="s">
        <v>1043</v>
      </c>
      <c r="F106" s="3">
        <v>978</v>
      </c>
      <c r="G106" s="3" t="s">
        <v>1044</v>
      </c>
      <c r="I106" s="1" t="s">
        <v>1104</v>
      </c>
      <c r="J106" s="1">
        <v>454</v>
      </c>
      <c r="K106" s="2" t="s">
        <v>1105</v>
      </c>
    </row>
    <row r="107" spans="1:11">
      <c r="A107" t="s">
        <v>285</v>
      </c>
      <c r="B107" t="s">
        <v>286</v>
      </c>
      <c r="C107" t="s">
        <v>287</v>
      </c>
      <c r="D107" t="s">
        <v>822</v>
      </c>
      <c r="E107" t="s">
        <v>1786</v>
      </c>
      <c r="F107">
        <v>356</v>
      </c>
      <c r="G107" t="s">
        <v>1787</v>
      </c>
      <c r="I107" s="1" t="s">
        <v>1106</v>
      </c>
      <c r="J107" s="1">
        <v>484</v>
      </c>
      <c r="K107" s="2" t="s">
        <v>1226</v>
      </c>
    </row>
    <row r="108" spans="1:11">
      <c r="A108" t="s">
        <v>288</v>
      </c>
      <c r="B108" t="s">
        <v>289</v>
      </c>
      <c r="C108" t="s">
        <v>290</v>
      </c>
      <c r="D108" t="s">
        <v>823</v>
      </c>
      <c r="E108" t="s">
        <v>1788</v>
      </c>
      <c r="F108">
        <v>360</v>
      </c>
      <c r="G108" t="s">
        <v>1789</v>
      </c>
      <c r="I108" s="1" t="s">
        <v>1107</v>
      </c>
      <c r="J108" s="1">
        <v>458</v>
      </c>
      <c r="K108" s="2" t="s">
        <v>1227</v>
      </c>
    </row>
    <row r="109" spans="1:11">
      <c r="A109" t="s">
        <v>293</v>
      </c>
      <c r="B109" t="s">
        <v>294</v>
      </c>
      <c r="C109" t="s">
        <v>295</v>
      </c>
      <c r="D109" t="s">
        <v>825</v>
      </c>
      <c r="E109" t="s">
        <v>1792</v>
      </c>
      <c r="F109">
        <v>368</v>
      </c>
      <c r="G109" t="s">
        <v>1793</v>
      </c>
      <c r="I109" s="1" t="s">
        <v>1108</v>
      </c>
      <c r="J109" s="1">
        <v>943</v>
      </c>
      <c r="K109" s="2" t="s">
        <v>1228</v>
      </c>
    </row>
    <row r="110" spans="1:11">
      <c r="A110" t="s">
        <v>712</v>
      </c>
      <c r="B110" t="s">
        <v>291</v>
      </c>
      <c r="C110" t="s">
        <v>292</v>
      </c>
      <c r="D110" t="s">
        <v>824</v>
      </c>
      <c r="E110" t="s">
        <v>1790</v>
      </c>
      <c r="F110">
        <v>364</v>
      </c>
      <c r="G110" t="s">
        <v>1791</v>
      </c>
      <c r="I110" s="1" t="s">
        <v>1109</v>
      </c>
      <c r="J110" s="1">
        <v>516</v>
      </c>
      <c r="K110" s="2" t="s">
        <v>1229</v>
      </c>
    </row>
    <row r="111" spans="1:11">
      <c r="A111" t="s">
        <v>296</v>
      </c>
      <c r="B111" t="s">
        <v>297</v>
      </c>
      <c r="C111" t="s">
        <v>298</v>
      </c>
      <c r="D111" t="s">
        <v>826</v>
      </c>
      <c r="E111" t="s">
        <v>1794</v>
      </c>
      <c r="F111">
        <v>978</v>
      </c>
      <c r="G111" t="s">
        <v>1795</v>
      </c>
      <c r="I111" s="1" t="s">
        <v>1110</v>
      </c>
      <c r="J111" s="1">
        <v>566</v>
      </c>
      <c r="K111" s="2" t="s">
        <v>1230</v>
      </c>
    </row>
    <row r="112" spans="1:11">
      <c r="A112" t="s">
        <v>282</v>
      </c>
      <c r="B112" t="s">
        <v>283</v>
      </c>
      <c r="C112" t="s">
        <v>284</v>
      </c>
      <c r="D112" t="s">
        <v>821</v>
      </c>
      <c r="E112" t="s">
        <v>1784</v>
      </c>
      <c r="F112">
        <v>352</v>
      </c>
      <c r="G112" t="s">
        <v>1785</v>
      </c>
      <c r="I112" s="1" t="s">
        <v>1111</v>
      </c>
      <c r="J112" s="1">
        <v>558</v>
      </c>
      <c r="K112" s="2" t="s">
        <v>1231</v>
      </c>
    </row>
    <row r="113" spans="1:11">
      <c r="A113" t="s">
        <v>302</v>
      </c>
      <c r="B113" t="s">
        <v>303</v>
      </c>
      <c r="C113" t="s">
        <v>304</v>
      </c>
      <c r="D113" t="s">
        <v>828</v>
      </c>
      <c r="E113" t="s">
        <v>1798</v>
      </c>
      <c r="F113">
        <v>376</v>
      </c>
      <c r="G113" t="s">
        <v>1799</v>
      </c>
      <c r="I113" s="1" t="s">
        <v>1112</v>
      </c>
      <c r="J113" s="1">
        <v>578</v>
      </c>
      <c r="K113" s="2" t="s">
        <v>1232</v>
      </c>
    </row>
    <row r="114" spans="1:11">
      <c r="A114" t="s">
        <v>305</v>
      </c>
      <c r="B114" t="s">
        <v>306</v>
      </c>
      <c r="C114" t="s">
        <v>307</v>
      </c>
      <c r="D114" t="s">
        <v>829</v>
      </c>
      <c r="E114" t="s">
        <v>1800</v>
      </c>
      <c r="F114">
        <v>978</v>
      </c>
      <c r="G114" t="s">
        <v>1801</v>
      </c>
      <c r="I114" s="1" t="s">
        <v>1113</v>
      </c>
      <c r="J114" s="1">
        <v>524</v>
      </c>
      <c r="K114" s="2" t="s">
        <v>1233</v>
      </c>
    </row>
    <row r="115" spans="1:11">
      <c r="A115" t="s">
        <v>308</v>
      </c>
      <c r="B115" t="s">
        <v>309</v>
      </c>
      <c r="C115" t="s">
        <v>310</v>
      </c>
      <c r="D115" t="s">
        <v>830</v>
      </c>
      <c r="E115" t="s">
        <v>1802</v>
      </c>
      <c r="F115">
        <v>388</v>
      </c>
      <c r="G115" t="s">
        <v>1803</v>
      </c>
      <c r="I115" s="1" t="s">
        <v>1114</v>
      </c>
      <c r="J115" s="1">
        <v>554</v>
      </c>
      <c r="K115" s="2" t="s">
        <v>1234</v>
      </c>
    </row>
    <row r="116" spans="1:11">
      <c r="A116" t="s">
        <v>311</v>
      </c>
      <c r="B116" t="s">
        <v>312</v>
      </c>
      <c r="C116" t="s">
        <v>313</v>
      </c>
      <c r="D116" t="s">
        <v>831</v>
      </c>
      <c r="E116" t="s">
        <v>1804</v>
      </c>
      <c r="F116">
        <v>392</v>
      </c>
      <c r="G116" t="s">
        <v>1805</v>
      </c>
      <c r="I116" s="1" t="s">
        <v>1115</v>
      </c>
      <c r="J116" s="1">
        <v>512</v>
      </c>
      <c r="K116" s="2" t="s">
        <v>1235</v>
      </c>
    </row>
    <row r="117" spans="1:11">
      <c r="A117" t="s">
        <v>314</v>
      </c>
      <c r="B117" t="s">
        <v>315</v>
      </c>
      <c r="C117" t="s">
        <v>316</v>
      </c>
      <c r="D117" t="s">
        <v>832</v>
      </c>
      <c r="E117" t="s">
        <v>1806</v>
      </c>
      <c r="F117">
        <v>0</v>
      </c>
      <c r="G117" t="s">
        <v>1807</v>
      </c>
      <c r="I117" s="1" t="s">
        <v>1116</v>
      </c>
      <c r="J117" s="1">
        <v>590</v>
      </c>
      <c r="K117" s="2" t="s">
        <v>2075</v>
      </c>
    </row>
    <row r="118" spans="1:11">
      <c r="A118" t="s">
        <v>317</v>
      </c>
      <c r="B118" t="s">
        <v>318</v>
      </c>
      <c r="C118" t="s">
        <v>319</v>
      </c>
      <c r="D118" t="s">
        <v>833</v>
      </c>
      <c r="E118" t="s">
        <v>1808</v>
      </c>
      <c r="F118">
        <v>400</v>
      </c>
      <c r="G118" t="s">
        <v>1809</v>
      </c>
      <c r="I118" s="1" t="s">
        <v>1117</v>
      </c>
      <c r="J118" s="1">
        <v>604</v>
      </c>
      <c r="K118" s="2" t="s">
        <v>1118</v>
      </c>
    </row>
    <row r="119" spans="1:11">
      <c r="A119" t="s">
        <v>320</v>
      </c>
      <c r="B119" t="s">
        <v>321</v>
      </c>
      <c r="C119" t="s">
        <v>322</v>
      </c>
      <c r="D119" t="s">
        <v>834</v>
      </c>
      <c r="E119" t="s">
        <v>1810</v>
      </c>
      <c r="F119">
        <v>398</v>
      </c>
      <c r="G119" t="s">
        <v>1811</v>
      </c>
      <c r="I119" s="1" t="s">
        <v>1119</v>
      </c>
      <c r="J119" s="1">
        <v>598</v>
      </c>
      <c r="K119" s="2" t="s">
        <v>2080</v>
      </c>
    </row>
    <row r="120" spans="1:11">
      <c r="A120" t="s">
        <v>323</v>
      </c>
      <c r="B120" t="s">
        <v>324</v>
      </c>
      <c r="C120" t="s">
        <v>325</v>
      </c>
      <c r="D120" t="s">
        <v>835</v>
      </c>
      <c r="E120" t="s">
        <v>1812</v>
      </c>
      <c r="F120">
        <v>404</v>
      </c>
      <c r="G120" t="s">
        <v>1813</v>
      </c>
      <c r="I120" s="1" t="s">
        <v>1120</v>
      </c>
      <c r="J120" s="1">
        <v>608</v>
      </c>
      <c r="K120" s="2" t="s">
        <v>1236</v>
      </c>
    </row>
    <row r="121" spans="1:11">
      <c r="A121" t="s">
        <v>326</v>
      </c>
      <c r="B121" t="s">
        <v>327</v>
      </c>
      <c r="C121" t="s">
        <v>328</v>
      </c>
      <c r="D121" t="s">
        <v>836</v>
      </c>
      <c r="I121" s="1" t="s">
        <v>1121</v>
      </c>
      <c r="J121" s="1">
        <v>586</v>
      </c>
      <c r="K121" s="2" t="s">
        <v>1237</v>
      </c>
    </row>
    <row r="122" spans="1:11">
      <c r="A122" t="s">
        <v>1273</v>
      </c>
      <c r="B122" t="s">
        <v>1274</v>
      </c>
      <c r="C122" t="s">
        <v>1275</v>
      </c>
      <c r="D122" t="s">
        <v>1179</v>
      </c>
      <c r="E122" t="s">
        <v>1818</v>
      </c>
      <c r="F122">
        <v>978</v>
      </c>
      <c r="G122" t="s">
        <v>1819</v>
      </c>
      <c r="I122" s="1" t="s">
        <v>1122</v>
      </c>
      <c r="J122" s="1">
        <v>985</v>
      </c>
      <c r="K122" s="2" t="s">
        <v>1238</v>
      </c>
    </row>
    <row r="123" spans="1:11">
      <c r="A123" t="s">
        <v>2091</v>
      </c>
      <c r="B123" t="s">
        <v>335</v>
      </c>
      <c r="C123" t="s">
        <v>336</v>
      </c>
      <c r="D123" t="s">
        <v>839</v>
      </c>
      <c r="E123" t="s">
        <v>1820</v>
      </c>
      <c r="F123">
        <v>414</v>
      </c>
      <c r="G123" t="s">
        <v>2088</v>
      </c>
      <c r="I123" s="1" t="s">
        <v>1123</v>
      </c>
      <c r="J123" s="1">
        <v>600</v>
      </c>
      <c r="K123" s="2" t="s">
        <v>1124</v>
      </c>
    </row>
    <row r="124" spans="1:11">
      <c r="A124" t="s">
        <v>348</v>
      </c>
      <c r="B124" t="s">
        <v>349</v>
      </c>
      <c r="C124" t="s">
        <v>350</v>
      </c>
      <c r="D124" t="s">
        <v>844</v>
      </c>
      <c r="E124" t="s">
        <v>1829</v>
      </c>
      <c r="F124">
        <v>426</v>
      </c>
      <c r="G124" t="s">
        <v>1830</v>
      </c>
      <c r="I124" s="1" t="s">
        <v>1125</v>
      </c>
      <c r="J124" s="1">
        <v>634</v>
      </c>
      <c r="K124" s="2" t="s">
        <v>2089</v>
      </c>
    </row>
    <row r="125" spans="1:11">
      <c r="A125" t="s">
        <v>342</v>
      </c>
      <c r="B125" t="s">
        <v>343</v>
      </c>
      <c r="C125" t="s">
        <v>344</v>
      </c>
      <c r="D125" t="s">
        <v>842</v>
      </c>
      <c r="E125" t="s">
        <v>1825</v>
      </c>
      <c r="F125">
        <v>978</v>
      </c>
      <c r="G125" t="s">
        <v>1826</v>
      </c>
      <c r="I125" s="1" t="s">
        <v>1126</v>
      </c>
      <c r="J125" s="1">
        <v>946</v>
      </c>
      <c r="K125" s="2" t="s">
        <v>1239</v>
      </c>
    </row>
    <row r="126" spans="1:11">
      <c r="A126" t="s">
        <v>345</v>
      </c>
      <c r="B126" t="s">
        <v>346</v>
      </c>
      <c r="C126" t="s">
        <v>347</v>
      </c>
      <c r="D126" t="s">
        <v>843</v>
      </c>
      <c r="E126" t="s">
        <v>1827</v>
      </c>
      <c r="F126">
        <v>422</v>
      </c>
      <c r="G126" t="s">
        <v>1828</v>
      </c>
      <c r="I126" s="1" t="s">
        <v>1127</v>
      </c>
      <c r="J126" s="1">
        <v>941</v>
      </c>
      <c r="K126" s="2" t="s">
        <v>1240</v>
      </c>
    </row>
    <row r="127" spans="1:11">
      <c r="A127" t="s">
        <v>351</v>
      </c>
      <c r="B127" t="s">
        <v>352</v>
      </c>
      <c r="C127" t="s">
        <v>353</v>
      </c>
      <c r="D127" t="s">
        <v>845</v>
      </c>
      <c r="E127" t="s">
        <v>1831</v>
      </c>
      <c r="F127">
        <v>430</v>
      </c>
      <c r="G127" t="s">
        <v>1832</v>
      </c>
      <c r="I127" s="1" t="s">
        <v>1128</v>
      </c>
      <c r="J127" s="1">
        <v>643</v>
      </c>
      <c r="K127" s="2" t="s">
        <v>1241</v>
      </c>
    </row>
    <row r="128" spans="1:11">
      <c r="A128" t="s">
        <v>354</v>
      </c>
      <c r="B128" t="s">
        <v>355</v>
      </c>
      <c r="C128" t="s">
        <v>356</v>
      </c>
      <c r="D128" t="s">
        <v>846</v>
      </c>
      <c r="E128" t="s">
        <v>1833</v>
      </c>
      <c r="F128">
        <v>434</v>
      </c>
      <c r="G128" t="s">
        <v>1834</v>
      </c>
      <c r="I128" s="1" t="s">
        <v>1129</v>
      </c>
      <c r="J128" s="1">
        <v>646</v>
      </c>
      <c r="K128" s="2" t="s">
        <v>1242</v>
      </c>
    </row>
    <row r="129" spans="1:11">
      <c r="A129" t="s">
        <v>357</v>
      </c>
      <c r="B129" t="s">
        <v>358</v>
      </c>
      <c r="C129" t="s">
        <v>359</v>
      </c>
      <c r="D129" t="s">
        <v>847</v>
      </c>
      <c r="E129" t="s">
        <v>1835</v>
      </c>
      <c r="F129">
        <v>756</v>
      </c>
      <c r="G129" t="s">
        <v>1836</v>
      </c>
      <c r="I129" s="1" t="s">
        <v>1130</v>
      </c>
      <c r="J129" s="1">
        <v>682</v>
      </c>
      <c r="K129" s="2" t="s">
        <v>1243</v>
      </c>
    </row>
    <row r="130" spans="1:11">
      <c r="A130" t="s">
        <v>360</v>
      </c>
      <c r="B130" t="s">
        <v>361</v>
      </c>
      <c r="C130" t="s">
        <v>362</v>
      </c>
      <c r="D130" t="s">
        <v>848</v>
      </c>
      <c r="E130" t="s">
        <v>1837</v>
      </c>
      <c r="F130">
        <v>978</v>
      </c>
      <c r="G130" t="s">
        <v>1838</v>
      </c>
      <c r="I130" s="1" t="s">
        <v>1131</v>
      </c>
      <c r="J130" s="1">
        <v>90</v>
      </c>
      <c r="K130" s="2" t="s">
        <v>1244</v>
      </c>
    </row>
    <row r="131" spans="1:11">
      <c r="A131" t="s">
        <v>363</v>
      </c>
      <c r="B131" t="s">
        <v>364</v>
      </c>
      <c r="C131" t="s">
        <v>365</v>
      </c>
      <c r="D131" t="s">
        <v>849</v>
      </c>
      <c r="E131" t="s">
        <v>1839</v>
      </c>
      <c r="F131">
        <v>978</v>
      </c>
      <c r="G131" t="s">
        <v>1840</v>
      </c>
      <c r="I131" s="1" t="s">
        <v>1132</v>
      </c>
      <c r="J131" s="1">
        <v>690</v>
      </c>
      <c r="K131" s="2" t="s">
        <v>1245</v>
      </c>
    </row>
    <row r="132" spans="1:11">
      <c r="A132" t="s">
        <v>704</v>
      </c>
      <c r="B132" t="s">
        <v>132</v>
      </c>
      <c r="C132" t="s">
        <v>133</v>
      </c>
      <c r="D132" t="s">
        <v>768</v>
      </c>
      <c r="E132" t="s">
        <v>1841</v>
      </c>
      <c r="F132">
        <v>446</v>
      </c>
      <c r="G132" t="s">
        <v>1842</v>
      </c>
      <c r="I132" s="1" t="s">
        <v>1133</v>
      </c>
      <c r="J132" s="1">
        <v>938</v>
      </c>
      <c r="K132" s="2" t="s">
        <v>1246</v>
      </c>
    </row>
    <row r="133" spans="1:11">
      <c r="A133" t="s">
        <v>714</v>
      </c>
      <c r="B133" t="s">
        <v>366</v>
      </c>
      <c r="C133" t="s">
        <v>1843</v>
      </c>
      <c r="D133" t="s">
        <v>850</v>
      </c>
      <c r="E133" t="s">
        <v>1844</v>
      </c>
      <c r="F133">
        <v>807</v>
      </c>
      <c r="G133" t="s">
        <v>1845</v>
      </c>
      <c r="I133" s="1" t="s">
        <v>1134</v>
      </c>
      <c r="J133" s="1">
        <v>752</v>
      </c>
      <c r="K133" s="2" t="s">
        <v>1247</v>
      </c>
    </row>
    <row r="134" spans="1:11">
      <c r="A134" t="s">
        <v>368</v>
      </c>
      <c r="B134" t="s">
        <v>369</v>
      </c>
      <c r="C134" t="s">
        <v>370</v>
      </c>
      <c r="D134" t="s">
        <v>851</v>
      </c>
      <c r="E134" t="s">
        <v>1846</v>
      </c>
      <c r="F134">
        <v>969</v>
      </c>
      <c r="G134" t="s">
        <v>1847</v>
      </c>
      <c r="I134" s="1" t="s">
        <v>1135</v>
      </c>
      <c r="J134" s="1">
        <v>702</v>
      </c>
      <c r="K134" s="2" t="s">
        <v>1248</v>
      </c>
    </row>
    <row r="135" spans="1:11">
      <c r="A135" t="s">
        <v>374</v>
      </c>
      <c r="B135" t="s">
        <v>375</v>
      </c>
      <c r="C135" t="s">
        <v>376</v>
      </c>
      <c r="D135" t="s">
        <v>853</v>
      </c>
      <c r="E135" t="s">
        <v>1850</v>
      </c>
      <c r="F135">
        <v>458</v>
      </c>
      <c r="G135" t="s">
        <v>1851</v>
      </c>
      <c r="I135" s="1" t="s">
        <v>1136</v>
      </c>
      <c r="J135" s="1">
        <v>654</v>
      </c>
      <c r="K135" s="2" t="s">
        <v>1249</v>
      </c>
    </row>
    <row r="136" spans="1:11">
      <c r="A136" t="s">
        <v>371</v>
      </c>
      <c r="B136" t="s">
        <v>372</v>
      </c>
      <c r="C136" t="s">
        <v>373</v>
      </c>
      <c r="D136" t="s">
        <v>852</v>
      </c>
      <c r="E136" t="s">
        <v>1848</v>
      </c>
      <c r="F136">
        <v>454</v>
      </c>
      <c r="G136" t="s">
        <v>1849</v>
      </c>
      <c r="I136" s="1" t="s">
        <v>1137</v>
      </c>
      <c r="J136" s="1">
        <v>694</v>
      </c>
      <c r="K136" s="2" t="s">
        <v>1138</v>
      </c>
    </row>
    <row r="137" spans="1:11">
      <c r="A137" t="s">
        <v>377</v>
      </c>
      <c r="B137" t="s">
        <v>378</v>
      </c>
      <c r="C137" t="s">
        <v>379</v>
      </c>
      <c r="D137" t="s">
        <v>854</v>
      </c>
      <c r="E137" t="s">
        <v>1852</v>
      </c>
      <c r="F137">
        <v>462</v>
      </c>
      <c r="G137" t="s">
        <v>1853</v>
      </c>
      <c r="I137" s="1" t="s">
        <v>1139</v>
      </c>
      <c r="J137" s="1">
        <v>706</v>
      </c>
      <c r="K137" s="2" t="s">
        <v>1989</v>
      </c>
    </row>
    <row r="138" spans="1:11">
      <c r="A138" t="s">
        <v>380</v>
      </c>
      <c r="B138" t="s">
        <v>381</v>
      </c>
      <c r="C138" t="s">
        <v>382</v>
      </c>
      <c r="D138" t="s">
        <v>855</v>
      </c>
      <c r="E138" t="s">
        <v>1854</v>
      </c>
      <c r="F138">
        <v>952</v>
      </c>
      <c r="G138" t="s">
        <v>1855</v>
      </c>
      <c r="I138" s="1" t="s">
        <v>1140</v>
      </c>
      <c r="J138" s="1">
        <v>968</v>
      </c>
      <c r="K138" s="2" t="s">
        <v>1141</v>
      </c>
    </row>
    <row r="139" spans="1:11">
      <c r="A139" t="s">
        <v>710</v>
      </c>
      <c r="B139" t="s">
        <v>200</v>
      </c>
      <c r="C139" t="s">
        <v>201</v>
      </c>
      <c r="D139" t="s">
        <v>792</v>
      </c>
      <c r="E139" t="s">
        <v>1722</v>
      </c>
      <c r="F139">
        <v>238</v>
      </c>
      <c r="G139" t="s">
        <v>1723</v>
      </c>
      <c r="I139" s="1" t="s">
        <v>1142</v>
      </c>
      <c r="J139" s="1">
        <v>728</v>
      </c>
      <c r="K139" s="2" t="s">
        <v>1250</v>
      </c>
    </row>
    <row r="140" spans="1:11">
      <c r="A140" t="s">
        <v>383</v>
      </c>
      <c r="B140" t="s">
        <v>384</v>
      </c>
      <c r="C140" t="s">
        <v>385</v>
      </c>
      <c r="D140" t="s">
        <v>856</v>
      </c>
      <c r="E140" t="s">
        <v>1856</v>
      </c>
      <c r="F140">
        <v>978</v>
      </c>
      <c r="G140" t="s">
        <v>1857</v>
      </c>
      <c r="I140" s="1" t="s">
        <v>1251</v>
      </c>
      <c r="J140" s="1">
        <v>678</v>
      </c>
      <c r="K140" s="2" t="s">
        <v>1252</v>
      </c>
    </row>
    <row r="141" spans="1:11">
      <c r="A141" t="s">
        <v>420</v>
      </c>
      <c r="B141" t="s">
        <v>421</v>
      </c>
      <c r="C141" t="s">
        <v>422</v>
      </c>
      <c r="D141" t="s">
        <v>869</v>
      </c>
      <c r="E141" t="s">
        <v>1884</v>
      </c>
      <c r="F141">
        <v>504</v>
      </c>
      <c r="G141" t="s">
        <v>1885</v>
      </c>
      <c r="I141" s="1" t="s">
        <v>1143</v>
      </c>
      <c r="J141" s="1">
        <v>760</v>
      </c>
      <c r="K141" s="2" t="s">
        <v>1253</v>
      </c>
    </row>
    <row r="142" spans="1:11">
      <c r="A142" t="s">
        <v>389</v>
      </c>
      <c r="B142" t="s">
        <v>390</v>
      </c>
      <c r="C142" t="s">
        <v>391</v>
      </c>
      <c r="D142" t="s">
        <v>858</v>
      </c>
      <c r="E142" t="s">
        <v>1860</v>
      </c>
      <c r="F142">
        <v>978</v>
      </c>
      <c r="G142" t="s">
        <v>1861</v>
      </c>
      <c r="I142" s="1" t="s">
        <v>1868</v>
      </c>
      <c r="J142" s="1">
        <v>748</v>
      </c>
      <c r="K142" s="2" t="s">
        <v>1869</v>
      </c>
    </row>
    <row r="143" spans="1:11">
      <c r="A143" t="s">
        <v>395</v>
      </c>
      <c r="B143" t="s">
        <v>396</v>
      </c>
      <c r="C143" t="s">
        <v>397</v>
      </c>
      <c r="D143" t="s">
        <v>860</v>
      </c>
      <c r="E143" t="s">
        <v>1864</v>
      </c>
      <c r="F143">
        <v>480</v>
      </c>
      <c r="G143" t="s">
        <v>1865</v>
      </c>
      <c r="I143" s="1" t="s">
        <v>1145</v>
      </c>
      <c r="J143" s="1">
        <v>764</v>
      </c>
      <c r="K143" s="2" t="s">
        <v>1255</v>
      </c>
    </row>
    <row r="144" spans="1:11">
      <c r="A144" t="s">
        <v>392</v>
      </c>
      <c r="B144" t="s">
        <v>393</v>
      </c>
      <c r="C144" t="s">
        <v>394</v>
      </c>
      <c r="D144" t="s">
        <v>859</v>
      </c>
      <c r="E144" t="s">
        <v>1862</v>
      </c>
      <c r="F144">
        <v>478</v>
      </c>
      <c r="G144" t="s">
        <v>1863</v>
      </c>
      <c r="I144" s="1" t="s">
        <v>1146</v>
      </c>
      <c r="J144" s="1">
        <v>972</v>
      </c>
      <c r="K144" s="2" t="s">
        <v>617</v>
      </c>
    </row>
    <row r="145" spans="1:11">
      <c r="A145" t="s">
        <v>398</v>
      </c>
      <c r="B145" t="s">
        <v>399</v>
      </c>
      <c r="C145" t="s">
        <v>400</v>
      </c>
      <c r="D145" t="s">
        <v>861</v>
      </c>
      <c r="E145" t="s">
        <v>1866</v>
      </c>
      <c r="F145">
        <v>978</v>
      </c>
      <c r="G145" t="s">
        <v>1867</v>
      </c>
      <c r="I145" s="1" t="s">
        <v>1147</v>
      </c>
      <c r="J145" s="1">
        <v>934</v>
      </c>
      <c r="K145" s="2" t="s">
        <v>1256</v>
      </c>
    </row>
    <row r="146" spans="1:11">
      <c r="A146" t="s">
        <v>401</v>
      </c>
      <c r="B146" t="s">
        <v>402</v>
      </c>
      <c r="C146" t="s">
        <v>403</v>
      </c>
      <c r="D146" t="s">
        <v>862</v>
      </c>
      <c r="E146" t="s">
        <v>1870</v>
      </c>
      <c r="F146">
        <v>484</v>
      </c>
      <c r="G146" t="s">
        <v>1871</v>
      </c>
      <c r="I146" s="1" t="s">
        <v>1148</v>
      </c>
      <c r="J146" s="1">
        <v>788</v>
      </c>
      <c r="K146" s="2" t="s">
        <v>1149</v>
      </c>
    </row>
    <row r="147" spans="1:11">
      <c r="A147" t="s">
        <v>715</v>
      </c>
      <c r="B147" t="s">
        <v>404</v>
      </c>
      <c r="C147" t="s">
        <v>405</v>
      </c>
      <c r="D147" t="s">
        <v>863</v>
      </c>
      <c r="E147" t="s">
        <v>1872</v>
      </c>
      <c r="F147">
        <v>840</v>
      </c>
      <c r="G147" t="s">
        <v>1873</v>
      </c>
      <c r="I147" s="1" t="s">
        <v>1150</v>
      </c>
      <c r="J147" s="1">
        <v>776</v>
      </c>
      <c r="K147" s="2" t="s">
        <v>1257</v>
      </c>
    </row>
    <row r="148" spans="1:11">
      <c r="A148" t="s">
        <v>406</v>
      </c>
      <c r="B148" t="s">
        <v>407</v>
      </c>
      <c r="C148" t="s">
        <v>408</v>
      </c>
      <c r="D148" t="s">
        <v>864</v>
      </c>
      <c r="E148" t="s">
        <v>1874</v>
      </c>
      <c r="F148">
        <v>498</v>
      </c>
      <c r="G148" t="s">
        <v>1875</v>
      </c>
      <c r="I148" s="1" t="s">
        <v>1151</v>
      </c>
      <c r="J148" s="1">
        <v>949</v>
      </c>
      <c r="K148" s="2" t="s">
        <v>1152</v>
      </c>
    </row>
    <row r="149" spans="1:11">
      <c r="A149" t="s">
        <v>409</v>
      </c>
      <c r="B149" t="s">
        <v>410</v>
      </c>
      <c r="C149" t="s">
        <v>411</v>
      </c>
      <c r="D149" t="s">
        <v>865</v>
      </c>
      <c r="E149" t="s">
        <v>1876</v>
      </c>
      <c r="F149">
        <v>978</v>
      </c>
      <c r="G149" t="s">
        <v>1877</v>
      </c>
      <c r="I149" s="1" t="s">
        <v>1153</v>
      </c>
      <c r="J149" s="1">
        <v>780</v>
      </c>
      <c r="K149" s="2" t="s">
        <v>1258</v>
      </c>
    </row>
    <row r="150" spans="1:11">
      <c r="A150" t="s">
        <v>412</v>
      </c>
      <c r="B150" t="s">
        <v>413</v>
      </c>
      <c r="C150" t="s">
        <v>414</v>
      </c>
      <c r="D150" t="s">
        <v>866</v>
      </c>
      <c r="E150" t="s">
        <v>1878</v>
      </c>
      <c r="F150">
        <v>496</v>
      </c>
      <c r="G150" t="s">
        <v>1879</v>
      </c>
      <c r="I150" s="1" t="s">
        <v>1259</v>
      </c>
      <c r="J150" s="1">
        <v>0</v>
      </c>
      <c r="K150" s="2" t="s">
        <v>1260</v>
      </c>
    </row>
    <row r="151" spans="1:11">
      <c r="A151" t="s">
        <v>2090</v>
      </c>
      <c r="B151" t="s">
        <v>415</v>
      </c>
      <c r="C151" t="s">
        <v>416</v>
      </c>
      <c r="D151" t="s">
        <v>867</v>
      </c>
      <c r="E151" t="s">
        <v>1880</v>
      </c>
      <c r="F151">
        <v>978</v>
      </c>
      <c r="G151" t="s">
        <v>1881</v>
      </c>
      <c r="I151" s="1" t="s">
        <v>1154</v>
      </c>
      <c r="J151" s="1">
        <v>901</v>
      </c>
      <c r="K151" s="2" t="s">
        <v>1155</v>
      </c>
    </row>
    <row r="152" spans="1:11">
      <c r="A152" t="s">
        <v>417</v>
      </c>
      <c r="B152" t="s">
        <v>418</v>
      </c>
      <c r="C152" t="s">
        <v>419</v>
      </c>
      <c r="D152" t="s">
        <v>868</v>
      </c>
      <c r="E152" t="s">
        <v>1882</v>
      </c>
      <c r="F152">
        <v>951</v>
      </c>
      <c r="G152" t="s">
        <v>1883</v>
      </c>
      <c r="I152" s="1" t="s">
        <v>1156</v>
      </c>
      <c r="J152" s="1">
        <v>834</v>
      </c>
      <c r="K152" s="2" t="s">
        <v>1157</v>
      </c>
    </row>
    <row r="153" spans="1:11">
      <c r="A153" t="s">
        <v>423</v>
      </c>
      <c r="B153" t="s">
        <v>424</v>
      </c>
      <c r="C153" t="s">
        <v>425</v>
      </c>
      <c r="D153" t="s">
        <v>870</v>
      </c>
      <c r="E153" t="s">
        <v>1886</v>
      </c>
      <c r="F153">
        <v>943</v>
      </c>
      <c r="G153" t="s">
        <v>1887</v>
      </c>
      <c r="I153" s="1" t="s">
        <v>1158</v>
      </c>
      <c r="J153" s="1">
        <v>980</v>
      </c>
      <c r="K153" s="2" t="s">
        <v>1261</v>
      </c>
    </row>
    <row r="154" spans="1:11">
      <c r="A154" t="s">
        <v>426</v>
      </c>
      <c r="B154" t="s">
        <v>427</v>
      </c>
      <c r="C154" t="s">
        <v>428</v>
      </c>
      <c r="D154" t="s">
        <v>871</v>
      </c>
      <c r="E154" t="s">
        <v>1888</v>
      </c>
      <c r="F154">
        <v>104</v>
      </c>
      <c r="G154" t="s">
        <v>1889</v>
      </c>
      <c r="I154" s="1" t="s">
        <v>1159</v>
      </c>
      <c r="J154" s="1">
        <v>800</v>
      </c>
      <c r="K154" s="2" t="s">
        <v>1160</v>
      </c>
    </row>
    <row r="155" spans="1:11">
      <c r="A155" t="s">
        <v>429</v>
      </c>
      <c r="B155" t="s">
        <v>430</v>
      </c>
      <c r="C155" t="s">
        <v>431</v>
      </c>
      <c r="D155" t="s">
        <v>872</v>
      </c>
      <c r="E155" t="s">
        <v>1890</v>
      </c>
      <c r="F155">
        <v>516</v>
      </c>
      <c r="G155" t="s">
        <v>1891</v>
      </c>
      <c r="I155" s="1" t="s">
        <v>1894</v>
      </c>
      <c r="J155" s="1">
        <v>840</v>
      </c>
      <c r="K155" s="2" t="s">
        <v>1895</v>
      </c>
    </row>
    <row r="156" spans="1:11">
      <c r="A156" t="s">
        <v>432</v>
      </c>
      <c r="B156" t="s">
        <v>433</v>
      </c>
      <c r="C156" t="s">
        <v>434</v>
      </c>
      <c r="D156" t="s">
        <v>873</v>
      </c>
      <c r="I156" s="1" t="s">
        <v>1898</v>
      </c>
      <c r="J156" s="1"/>
      <c r="K156" s="2"/>
    </row>
    <row r="157" spans="1:11">
      <c r="A157" t="s">
        <v>435</v>
      </c>
      <c r="B157" t="s">
        <v>436</v>
      </c>
      <c r="C157" t="s">
        <v>437</v>
      </c>
      <c r="D157" t="s">
        <v>874</v>
      </c>
      <c r="E157" t="s">
        <v>1892</v>
      </c>
      <c r="F157">
        <v>524</v>
      </c>
      <c r="G157" t="s">
        <v>1893</v>
      </c>
      <c r="I157" s="1" t="s">
        <v>1162</v>
      </c>
      <c r="J157" s="1">
        <v>858</v>
      </c>
      <c r="K157" s="2" t="s">
        <v>1262</v>
      </c>
    </row>
    <row r="158" spans="1:11">
      <c r="A158" t="s">
        <v>450</v>
      </c>
      <c r="B158" t="s">
        <v>451</v>
      </c>
      <c r="C158" t="s">
        <v>452</v>
      </c>
      <c r="D158" t="s">
        <v>879</v>
      </c>
      <c r="E158" t="s">
        <v>1903</v>
      </c>
      <c r="F158">
        <v>558</v>
      </c>
      <c r="G158" t="s">
        <v>1904</v>
      </c>
      <c r="I158" s="1" t="s">
        <v>1163</v>
      </c>
      <c r="J158" s="1">
        <v>860</v>
      </c>
      <c r="K158" s="2" t="s">
        <v>2045</v>
      </c>
    </row>
    <row r="159" spans="1:11">
      <c r="A159" t="s">
        <v>453</v>
      </c>
      <c r="B159" t="s">
        <v>454</v>
      </c>
      <c r="C159" t="s">
        <v>455</v>
      </c>
      <c r="D159" t="s">
        <v>880</v>
      </c>
      <c r="E159" t="s">
        <v>1905</v>
      </c>
      <c r="F159">
        <v>952</v>
      </c>
      <c r="G159" t="s">
        <v>1906</v>
      </c>
      <c r="I159" s="1" t="s">
        <v>1164</v>
      </c>
      <c r="J159" s="1">
        <v>937</v>
      </c>
      <c r="K159" s="2" t="s">
        <v>2081</v>
      </c>
    </row>
    <row r="160" spans="1:11">
      <c r="A160" t="s">
        <v>456</v>
      </c>
      <c r="B160" t="s">
        <v>457</v>
      </c>
      <c r="C160" t="s">
        <v>458</v>
      </c>
      <c r="D160" t="s">
        <v>881</v>
      </c>
      <c r="E160" t="s">
        <v>1907</v>
      </c>
      <c r="F160">
        <v>566</v>
      </c>
      <c r="G160" t="s">
        <v>1908</v>
      </c>
      <c r="I160" s="1" t="s">
        <v>1165</v>
      </c>
      <c r="J160" s="1">
        <v>704</v>
      </c>
      <c r="K160" s="2" t="s">
        <v>1263</v>
      </c>
    </row>
    <row r="161" spans="1:11">
      <c r="A161" t="s">
        <v>459</v>
      </c>
      <c r="B161" t="s">
        <v>460</v>
      </c>
      <c r="C161" t="s">
        <v>461</v>
      </c>
      <c r="D161" t="s">
        <v>882</v>
      </c>
      <c r="I161" s="1" t="s">
        <v>1166</v>
      </c>
      <c r="J161" s="1">
        <v>548</v>
      </c>
      <c r="K161" s="2" t="s">
        <v>1264</v>
      </c>
    </row>
    <row r="162" spans="1:11">
      <c r="A162" t="s">
        <v>468</v>
      </c>
      <c r="B162" t="s">
        <v>469</v>
      </c>
      <c r="C162" t="s">
        <v>470</v>
      </c>
      <c r="D162" t="s">
        <v>885</v>
      </c>
      <c r="E162" t="s">
        <v>1917</v>
      </c>
      <c r="F162">
        <v>578</v>
      </c>
      <c r="G162" t="s">
        <v>1918</v>
      </c>
      <c r="I162" s="1" t="s">
        <v>1167</v>
      </c>
      <c r="J162" s="1">
        <v>882</v>
      </c>
      <c r="K162" s="2" t="s">
        <v>1168</v>
      </c>
    </row>
    <row r="163" spans="1:11">
      <c r="A163" t="s">
        <v>444</v>
      </c>
      <c r="B163" t="s">
        <v>445</v>
      </c>
      <c r="C163" t="s">
        <v>446</v>
      </c>
      <c r="D163" t="s">
        <v>877</v>
      </c>
      <c r="I163" s="1" t="s">
        <v>1909</v>
      </c>
      <c r="J163" s="1">
        <v>950</v>
      </c>
      <c r="K163" s="2" t="s">
        <v>1910</v>
      </c>
    </row>
    <row r="164" spans="1:11">
      <c r="A164" t="s">
        <v>447</v>
      </c>
      <c r="B164" t="s">
        <v>448</v>
      </c>
      <c r="C164" t="s">
        <v>449</v>
      </c>
      <c r="D164" t="s">
        <v>878</v>
      </c>
      <c r="E164" t="s">
        <v>1901</v>
      </c>
      <c r="F164">
        <v>554</v>
      </c>
      <c r="G164" t="s">
        <v>1902</v>
      </c>
      <c r="I164" s="1" t="s">
        <v>1911</v>
      </c>
      <c r="J164" s="1">
        <v>951</v>
      </c>
      <c r="K164" s="2" t="s">
        <v>1912</v>
      </c>
    </row>
    <row r="165" spans="1:11">
      <c r="A165" t="s">
        <v>471</v>
      </c>
      <c r="B165" t="s">
        <v>472</v>
      </c>
      <c r="C165" t="s">
        <v>473</v>
      </c>
      <c r="D165" t="s">
        <v>886</v>
      </c>
      <c r="E165" t="s">
        <v>1919</v>
      </c>
      <c r="F165">
        <v>512</v>
      </c>
      <c r="G165" t="s">
        <v>1920</v>
      </c>
      <c r="I165" s="1" t="s">
        <v>1915</v>
      </c>
      <c r="J165" s="1">
        <v>952</v>
      </c>
      <c r="K165" s="2" t="s">
        <v>1916</v>
      </c>
    </row>
    <row r="166" spans="1:11">
      <c r="A166" t="s">
        <v>654</v>
      </c>
      <c r="B166" t="s">
        <v>655</v>
      </c>
      <c r="C166" t="s">
        <v>656</v>
      </c>
      <c r="D166" t="s">
        <v>950</v>
      </c>
      <c r="E166" t="s">
        <v>2034</v>
      </c>
      <c r="F166">
        <v>800</v>
      </c>
      <c r="G166" t="s">
        <v>2035</v>
      </c>
      <c r="I166" s="1" t="s">
        <v>1173</v>
      </c>
      <c r="J166" s="1">
        <v>886</v>
      </c>
      <c r="K166" s="2" t="s">
        <v>1266</v>
      </c>
    </row>
    <row r="167" spans="1:11">
      <c r="A167" t="s">
        <v>672</v>
      </c>
      <c r="B167" t="s">
        <v>673</v>
      </c>
      <c r="C167" t="s">
        <v>674</v>
      </c>
      <c r="D167" t="s">
        <v>956</v>
      </c>
      <c r="E167" t="s">
        <v>2044</v>
      </c>
      <c r="F167">
        <v>860</v>
      </c>
      <c r="G167" t="s">
        <v>2045</v>
      </c>
      <c r="I167" s="1" t="s">
        <v>1174</v>
      </c>
      <c r="J167" s="1">
        <v>710</v>
      </c>
      <c r="K167" s="2" t="s">
        <v>1267</v>
      </c>
    </row>
    <row r="168" spans="1:11">
      <c r="A168" t="s">
        <v>474</v>
      </c>
      <c r="B168" t="s">
        <v>475</v>
      </c>
      <c r="C168" t="s">
        <v>476</v>
      </c>
      <c r="D168" t="s">
        <v>887</v>
      </c>
      <c r="E168" t="s">
        <v>1921</v>
      </c>
      <c r="F168">
        <v>586</v>
      </c>
      <c r="G168" t="s">
        <v>1922</v>
      </c>
      <c r="I168" s="1" t="s">
        <v>1175</v>
      </c>
      <c r="J168" s="1">
        <v>967</v>
      </c>
      <c r="K168" s="2" t="s">
        <v>1268</v>
      </c>
    </row>
    <row r="169" spans="1:11">
      <c r="A169" t="s">
        <v>477</v>
      </c>
      <c r="B169" t="s">
        <v>478</v>
      </c>
      <c r="C169" t="s">
        <v>479</v>
      </c>
      <c r="D169" t="s">
        <v>888</v>
      </c>
      <c r="E169" t="s">
        <v>1923</v>
      </c>
      <c r="F169">
        <v>840</v>
      </c>
      <c r="G169" t="s">
        <v>1924</v>
      </c>
    </row>
    <row r="170" spans="1:11">
      <c r="A170" t="s">
        <v>483</v>
      </c>
      <c r="B170" t="s">
        <v>484</v>
      </c>
      <c r="C170" t="s">
        <v>485</v>
      </c>
      <c r="D170" t="s">
        <v>890</v>
      </c>
      <c r="E170" t="s">
        <v>1925</v>
      </c>
      <c r="F170">
        <v>590</v>
      </c>
      <c r="G170" t="s">
        <v>2075</v>
      </c>
    </row>
    <row r="171" spans="1:11">
      <c r="A171" t="s">
        <v>486</v>
      </c>
      <c r="B171" t="s">
        <v>487</v>
      </c>
      <c r="C171" t="s">
        <v>488</v>
      </c>
      <c r="D171" t="s">
        <v>891</v>
      </c>
      <c r="E171" t="s">
        <v>1926</v>
      </c>
      <c r="F171">
        <v>598</v>
      </c>
      <c r="G171" t="s">
        <v>2080</v>
      </c>
    </row>
    <row r="172" spans="1:11">
      <c r="A172" t="s">
        <v>489</v>
      </c>
      <c r="B172" t="s">
        <v>490</v>
      </c>
      <c r="C172" t="s">
        <v>491</v>
      </c>
      <c r="D172" t="s">
        <v>892</v>
      </c>
      <c r="E172" t="s">
        <v>1927</v>
      </c>
      <c r="F172">
        <v>600</v>
      </c>
      <c r="G172" t="s">
        <v>1928</v>
      </c>
    </row>
    <row r="173" spans="1:11">
      <c r="A173" t="s">
        <v>438</v>
      </c>
      <c r="B173" t="s">
        <v>439</v>
      </c>
      <c r="C173" t="s">
        <v>440</v>
      </c>
      <c r="D173" t="s">
        <v>875</v>
      </c>
      <c r="E173" t="s">
        <v>1896</v>
      </c>
      <c r="F173">
        <v>978</v>
      </c>
      <c r="G173" t="s">
        <v>1897</v>
      </c>
    </row>
    <row r="174" spans="1:11">
      <c r="A174" t="s">
        <v>492</v>
      </c>
      <c r="B174" t="s">
        <v>493</v>
      </c>
      <c r="C174" t="s">
        <v>494</v>
      </c>
      <c r="D174" t="s">
        <v>893</v>
      </c>
      <c r="E174" t="s">
        <v>1929</v>
      </c>
      <c r="F174">
        <v>604</v>
      </c>
      <c r="G174" t="s">
        <v>1930</v>
      </c>
    </row>
    <row r="175" spans="1:11">
      <c r="A175" t="s">
        <v>495</v>
      </c>
      <c r="B175" t="s">
        <v>496</v>
      </c>
      <c r="C175" t="s">
        <v>497</v>
      </c>
      <c r="D175" t="s">
        <v>894</v>
      </c>
      <c r="E175" t="s">
        <v>1931</v>
      </c>
      <c r="F175">
        <v>608</v>
      </c>
      <c r="G175" t="s">
        <v>1932</v>
      </c>
    </row>
    <row r="176" spans="1:11">
      <c r="A176" t="s">
        <v>498</v>
      </c>
      <c r="B176" t="s">
        <v>499</v>
      </c>
      <c r="C176" t="s">
        <v>500</v>
      </c>
      <c r="D176" t="s">
        <v>895</v>
      </c>
    </row>
    <row r="177" spans="1:7">
      <c r="A177" t="s">
        <v>501</v>
      </c>
      <c r="B177" t="s">
        <v>502</v>
      </c>
      <c r="C177" t="s">
        <v>503</v>
      </c>
      <c r="D177" t="s">
        <v>896</v>
      </c>
      <c r="E177" t="s">
        <v>1933</v>
      </c>
      <c r="F177">
        <v>985</v>
      </c>
      <c r="G177" t="s">
        <v>1934</v>
      </c>
    </row>
    <row r="178" spans="1:7">
      <c r="A178" t="s">
        <v>216</v>
      </c>
      <c r="B178" t="s">
        <v>217</v>
      </c>
      <c r="C178" t="s">
        <v>218</v>
      </c>
      <c r="D178" t="s">
        <v>798</v>
      </c>
      <c r="E178" t="s">
        <v>1734</v>
      </c>
      <c r="F178">
        <v>978</v>
      </c>
      <c r="G178" t="s">
        <v>1735</v>
      </c>
    </row>
    <row r="179" spans="1:7">
      <c r="A179" t="s">
        <v>507</v>
      </c>
      <c r="B179" t="s">
        <v>508</v>
      </c>
      <c r="C179" t="s">
        <v>509</v>
      </c>
      <c r="D179" t="s">
        <v>898</v>
      </c>
      <c r="E179" t="s">
        <v>1937</v>
      </c>
      <c r="F179">
        <v>840</v>
      </c>
      <c r="G179" t="s">
        <v>1938</v>
      </c>
    </row>
    <row r="180" spans="1:7">
      <c r="A180" t="s">
        <v>504</v>
      </c>
      <c r="B180" t="s">
        <v>505</v>
      </c>
      <c r="C180" t="s">
        <v>506</v>
      </c>
      <c r="D180" t="s">
        <v>897</v>
      </c>
      <c r="E180" t="s">
        <v>1935</v>
      </c>
      <c r="F180">
        <v>978</v>
      </c>
      <c r="G180" t="s">
        <v>1936</v>
      </c>
    </row>
    <row r="181" spans="1:7">
      <c r="A181" t="s">
        <v>510</v>
      </c>
      <c r="B181" t="s">
        <v>511</v>
      </c>
      <c r="C181" t="s">
        <v>512</v>
      </c>
      <c r="D181" t="s">
        <v>899</v>
      </c>
      <c r="E181" t="s">
        <v>1939</v>
      </c>
      <c r="F181">
        <v>634</v>
      </c>
      <c r="G181" t="s">
        <v>1940</v>
      </c>
    </row>
    <row r="182" spans="1:7">
      <c r="A182" s="3" t="s">
        <v>118</v>
      </c>
      <c r="B182" s="3" t="s">
        <v>119</v>
      </c>
      <c r="C182" s="3" t="s">
        <v>120</v>
      </c>
      <c r="D182" s="3" t="s">
        <v>763</v>
      </c>
      <c r="E182" s="3" t="s">
        <v>1667</v>
      </c>
      <c r="F182" s="3">
        <v>950</v>
      </c>
      <c r="G182" s="3" t="s">
        <v>1668</v>
      </c>
    </row>
    <row r="183" spans="1:7" ht="28.5">
      <c r="A183" s="3" t="s">
        <v>706</v>
      </c>
      <c r="B183" s="3" t="s">
        <v>148</v>
      </c>
      <c r="C183" s="3" t="s">
        <v>149</v>
      </c>
      <c r="D183" s="3" t="s">
        <v>774</v>
      </c>
      <c r="E183" s="3" t="s">
        <v>1696</v>
      </c>
      <c r="F183" s="3">
        <v>976</v>
      </c>
      <c r="G183" s="3" t="s">
        <v>1697</v>
      </c>
    </row>
    <row r="184" spans="1:7">
      <c r="A184" t="s">
        <v>176</v>
      </c>
      <c r="B184" t="s">
        <v>177</v>
      </c>
      <c r="C184" t="s">
        <v>178</v>
      </c>
      <c r="D184" t="s">
        <v>784</v>
      </c>
      <c r="E184" t="s">
        <v>1704</v>
      </c>
      <c r="F184">
        <v>214</v>
      </c>
      <c r="G184" t="s">
        <v>1705</v>
      </c>
    </row>
    <row r="185" spans="1:7">
      <c r="A185" t="s">
        <v>705</v>
      </c>
      <c r="B185" t="s">
        <v>146</v>
      </c>
      <c r="C185" t="s">
        <v>147</v>
      </c>
      <c r="D185" t="s">
        <v>773</v>
      </c>
      <c r="E185" t="s">
        <v>1941</v>
      </c>
      <c r="F185">
        <v>950</v>
      </c>
      <c r="G185" t="s">
        <v>1942</v>
      </c>
    </row>
    <row r="186" spans="1:7">
      <c r="A186" t="s">
        <v>713</v>
      </c>
      <c r="B186" t="s">
        <v>337</v>
      </c>
      <c r="C186" t="s">
        <v>338</v>
      </c>
      <c r="D186" t="s">
        <v>840</v>
      </c>
      <c r="E186" t="s">
        <v>1821</v>
      </c>
      <c r="F186">
        <v>417</v>
      </c>
      <c r="G186" t="s">
        <v>1822</v>
      </c>
    </row>
    <row r="187" spans="1:7">
      <c r="A187" s="3" t="s">
        <v>164</v>
      </c>
      <c r="B187" s="3" t="s">
        <v>165</v>
      </c>
      <c r="C187" s="3" t="s">
        <v>166</v>
      </c>
      <c r="D187" s="3" t="s">
        <v>780</v>
      </c>
      <c r="E187" s="3" t="s">
        <v>1694</v>
      </c>
      <c r="F187" s="3">
        <v>203</v>
      </c>
      <c r="G187" s="3" t="s">
        <v>1695</v>
      </c>
    </row>
    <row r="188" spans="1:7">
      <c r="A188" t="s">
        <v>707</v>
      </c>
      <c r="B188" t="s">
        <v>513</v>
      </c>
      <c r="C188" t="s">
        <v>514</v>
      </c>
      <c r="D188" t="s">
        <v>900</v>
      </c>
      <c r="E188" t="s">
        <v>1943</v>
      </c>
      <c r="F188">
        <v>978</v>
      </c>
      <c r="G188" t="s">
        <v>1944</v>
      </c>
    </row>
    <row r="189" spans="1:7">
      <c r="A189" t="s">
        <v>515</v>
      </c>
      <c r="B189" t="s">
        <v>516</v>
      </c>
      <c r="C189" t="s">
        <v>517</v>
      </c>
      <c r="D189" t="s">
        <v>901</v>
      </c>
      <c r="E189" t="s">
        <v>1945</v>
      </c>
      <c r="F189">
        <v>946</v>
      </c>
      <c r="G189" t="s">
        <v>1946</v>
      </c>
    </row>
    <row r="190" spans="1:7">
      <c r="A190" t="s">
        <v>663</v>
      </c>
      <c r="B190" t="s">
        <v>664</v>
      </c>
      <c r="C190" t="s">
        <v>665</v>
      </c>
      <c r="D190" t="s">
        <v>953</v>
      </c>
      <c r="E190" t="s">
        <v>2040</v>
      </c>
      <c r="F190">
        <v>826</v>
      </c>
      <c r="G190" t="s">
        <v>2041</v>
      </c>
    </row>
    <row r="191" spans="1:7">
      <c r="A191" t="s">
        <v>339</v>
      </c>
      <c r="B191" t="s">
        <v>340</v>
      </c>
      <c r="C191" t="s">
        <v>341</v>
      </c>
      <c r="D191" t="s">
        <v>841</v>
      </c>
      <c r="E191" t="s">
        <v>1823</v>
      </c>
      <c r="F191">
        <v>418</v>
      </c>
      <c r="G191" t="s">
        <v>1824</v>
      </c>
    </row>
    <row r="192" spans="1:7">
      <c r="A192" t="s">
        <v>521</v>
      </c>
      <c r="B192" t="s">
        <v>522</v>
      </c>
      <c r="C192" t="s">
        <v>523</v>
      </c>
      <c r="D192" t="s">
        <v>903</v>
      </c>
      <c r="E192" t="s">
        <v>1949</v>
      </c>
      <c r="F192">
        <v>646</v>
      </c>
      <c r="G192" t="s">
        <v>1950</v>
      </c>
    </row>
    <row r="193" spans="1:7">
      <c r="A193" t="s">
        <v>689</v>
      </c>
      <c r="B193" t="s">
        <v>690</v>
      </c>
      <c r="C193" t="s">
        <v>691</v>
      </c>
      <c r="D193" t="s">
        <v>962</v>
      </c>
    </row>
    <row r="194" spans="1:7">
      <c r="A194" t="s">
        <v>526</v>
      </c>
      <c r="B194" t="s">
        <v>527</v>
      </c>
      <c r="C194" t="s">
        <v>528</v>
      </c>
      <c r="D194" t="s">
        <v>905</v>
      </c>
      <c r="E194" t="s">
        <v>1951</v>
      </c>
      <c r="F194">
        <v>654</v>
      </c>
      <c r="G194" t="s">
        <v>1952</v>
      </c>
    </row>
    <row r="195" spans="1:7">
      <c r="A195" t="s">
        <v>529</v>
      </c>
      <c r="B195" t="s">
        <v>530</v>
      </c>
      <c r="C195" t="s">
        <v>531</v>
      </c>
      <c r="D195" t="s">
        <v>906</v>
      </c>
      <c r="E195" t="s">
        <v>1953</v>
      </c>
      <c r="F195">
        <v>951</v>
      </c>
      <c r="G195" t="s">
        <v>1954</v>
      </c>
    </row>
    <row r="196" spans="1:7">
      <c r="A196" t="s">
        <v>545</v>
      </c>
      <c r="B196" t="s">
        <v>546</v>
      </c>
      <c r="C196" t="s">
        <v>547</v>
      </c>
      <c r="D196" t="s">
        <v>912</v>
      </c>
      <c r="E196" t="s">
        <v>1967</v>
      </c>
      <c r="F196">
        <v>978</v>
      </c>
      <c r="G196" t="s">
        <v>1968</v>
      </c>
    </row>
    <row r="197" spans="1:7">
      <c r="A197" t="s">
        <v>537</v>
      </c>
      <c r="B197" t="s">
        <v>538</v>
      </c>
      <c r="C197" t="s">
        <v>539</v>
      </c>
      <c r="D197" t="s">
        <v>909</v>
      </c>
      <c r="E197" t="s">
        <v>1957</v>
      </c>
      <c r="F197">
        <v>978</v>
      </c>
      <c r="G197" t="s">
        <v>1958</v>
      </c>
    </row>
    <row r="198" spans="1:7">
      <c r="A198" t="s">
        <v>2078</v>
      </c>
      <c r="B198" t="s">
        <v>540</v>
      </c>
      <c r="C198" t="s">
        <v>541</v>
      </c>
      <c r="D198" t="s">
        <v>910</v>
      </c>
      <c r="E198" t="s">
        <v>1959</v>
      </c>
      <c r="F198">
        <v>951</v>
      </c>
      <c r="G198" t="s">
        <v>1960</v>
      </c>
    </row>
    <row r="199" spans="1:7">
      <c r="A199" t="s">
        <v>708</v>
      </c>
      <c r="B199" t="s">
        <v>524</v>
      </c>
      <c r="C199" t="s">
        <v>525</v>
      </c>
      <c r="D199" t="s">
        <v>904</v>
      </c>
      <c r="E199" t="s">
        <v>1961</v>
      </c>
      <c r="F199">
        <v>978</v>
      </c>
      <c r="G199" t="s">
        <v>1962</v>
      </c>
    </row>
    <row r="200" spans="1:7">
      <c r="A200" t="s">
        <v>532</v>
      </c>
      <c r="B200" t="s">
        <v>533</v>
      </c>
      <c r="C200" t="s">
        <v>534</v>
      </c>
      <c r="D200" t="s">
        <v>907</v>
      </c>
      <c r="E200" t="s">
        <v>1955</v>
      </c>
      <c r="F200">
        <v>951</v>
      </c>
      <c r="G200" t="s">
        <v>1956</v>
      </c>
    </row>
    <row r="201" spans="1:7">
      <c r="A201" t="s">
        <v>716</v>
      </c>
      <c r="B201" t="s">
        <v>535</v>
      </c>
      <c r="C201" t="s">
        <v>536</v>
      </c>
      <c r="D201" t="s">
        <v>908</v>
      </c>
      <c r="E201" t="s">
        <v>1963</v>
      </c>
      <c r="F201">
        <v>978</v>
      </c>
      <c r="G201" t="s">
        <v>1964</v>
      </c>
    </row>
    <row r="202" spans="1:7">
      <c r="A202" t="s">
        <v>185</v>
      </c>
      <c r="B202" t="s">
        <v>186</v>
      </c>
      <c r="C202" t="s">
        <v>187</v>
      </c>
      <c r="D202" t="s">
        <v>787</v>
      </c>
      <c r="E202" t="s">
        <v>1710</v>
      </c>
      <c r="F202">
        <v>840</v>
      </c>
      <c r="G202" t="s">
        <v>1711</v>
      </c>
    </row>
    <row r="203" spans="1:7">
      <c r="A203" t="s">
        <v>542</v>
      </c>
      <c r="B203" t="s">
        <v>543</v>
      </c>
      <c r="C203" t="s">
        <v>544</v>
      </c>
      <c r="D203" t="s">
        <v>911</v>
      </c>
      <c r="E203" t="s">
        <v>1965</v>
      </c>
      <c r="F203">
        <v>882</v>
      </c>
      <c r="G203" t="s">
        <v>1966</v>
      </c>
    </row>
    <row r="204" spans="1:7">
      <c r="A204" s="3" t="s">
        <v>11</v>
      </c>
      <c r="B204" s="3" t="s">
        <v>12</v>
      </c>
      <c r="C204" s="3" t="s">
        <v>13</v>
      </c>
      <c r="D204" s="3" t="s">
        <v>727</v>
      </c>
      <c r="E204" s="3" t="s">
        <v>1509</v>
      </c>
      <c r="F204" s="3">
        <v>840</v>
      </c>
      <c r="G204" s="3" t="s">
        <v>1510</v>
      </c>
    </row>
    <row r="205" spans="1:7">
      <c r="A205" t="s">
        <v>548</v>
      </c>
      <c r="B205" t="s">
        <v>549</v>
      </c>
      <c r="C205" t="s">
        <v>550</v>
      </c>
      <c r="D205" t="s">
        <v>913</v>
      </c>
      <c r="E205" t="s">
        <v>1969</v>
      </c>
      <c r="F205">
        <v>678</v>
      </c>
      <c r="G205" t="s">
        <v>1970</v>
      </c>
    </row>
    <row r="206" spans="1:7">
      <c r="A206" t="s">
        <v>554</v>
      </c>
      <c r="B206" t="s">
        <v>555</v>
      </c>
      <c r="C206" t="s">
        <v>556</v>
      </c>
      <c r="D206" t="s">
        <v>915</v>
      </c>
      <c r="E206" t="s">
        <v>1973</v>
      </c>
      <c r="F206">
        <v>952</v>
      </c>
      <c r="G206" t="s">
        <v>1974</v>
      </c>
    </row>
    <row r="207" spans="1:7">
      <c r="A207" t="s">
        <v>557</v>
      </c>
      <c r="B207" t="s">
        <v>558</v>
      </c>
      <c r="C207" t="s">
        <v>559</v>
      </c>
      <c r="D207" t="s">
        <v>916</v>
      </c>
      <c r="E207" t="s">
        <v>1975</v>
      </c>
      <c r="F207">
        <v>941</v>
      </c>
      <c r="G207" t="s">
        <v>1976</v>
      </c>
    </row>
    <row r="208" spans="1:7">
      <c r="A208" t="s">
        <v>560</v>
      </c>
      <c r="B208" t="s">
        <v>561</v>
      </c>
      <c r="C208" t="s">
        <v>562</v>
      </c>
      <c r="D208" t="s">
        <v>917</v>
      </c>
      <c r="E208" t="s">
        <v>1977</v>
      </c>
      <c r="F208">
        <v>690</v>
      </c>
      <c r="G208" t="s">
        <v>2076</v>
      </c>
    </row>
    <row r="209" spans="1:7">
      <c r="A209" t="s">
        <v>563</v>
      </c>
      <c r="B209" t="s">
        <v>564</v>
      </c>
      <c r="C209" t="s">
        <v>565</v>
      </c>
      <c r="D209" t="s">
        <v>918</v>
      </c>
      <c r="E209" t="s">
        <v>1978</v>
      </c>
      <c r="F209">
        <v>694</v>
      </c>
      <c r="G209" t="s">
        <v>1979</v>
      </c>
    </row>
    <row r="210" spans="1:7">
      <c r="A210" t="s">
        <v>566</v>
      </c>
      <c r="B210" t="s">
        <v>567</v>
      </c>
      <c r="C210" t="s">
        <v>568</v>
      </c>
      <c r="D210" t="s">
        <v>919</v>
      </c>
      <c r="E210" t="s">
        <v>1980</v>
      </c>
      <c r="F210">
        <v>702</v>
      </c>
      <c r="G210" t="s">
        <v>1981</v>
      </c>
    </row>
    <row r="211" spans="1:7">
      <c r="A211" t="s">
        <v>569</v>
      </c>
      <c r="B211" t="s">
        <v>570</v>
      </c>
      <c r="C211" t="s">
        <v>571</v>
      </c>
      <c r="D211" t="s">
        <v>920</v>
      </c>
      <c r="E211" t="s">
        <v>1982</v>
      </c>
      <c r="F211">
        <v>978</v>
      </c>
      <c r="G211" t="s">
        <v>1983</v>
      </c>
    </row>
    <row r="212" spans="1:7">
      <c r="A212" t="s">
        <v>572</v>
      </c>
      <c r="B212" t="s">
        <v>573</v>
      </c>
      <c r="C212" t="s">
        <v>574</v>
      </c>
      <c r="D212" t="s">
        <v>921</v>
      </c>
      <c r="E212" t="s">
        <v>1984</v>
      </c>
      <c r="F212">
        <v>978</v>
      </c>
      <c r="G212" t="s">
        <v>1985</v>
      </c>
    </row>
    <row r="213" spans="1:7">
      <c r="A213" t="s">
        <v>578</v>
      </c>
      <c r="B213" t="s">
        <v>579</v>
      </c>
      <c r="C213" t="s">
        <v>580</v>
      </c>
      <c r="D213" t="s">
        <v>923</v>
      </c>
      <c r="E213" t="s">
        <v>1988</v>
      </c>
      <c r="F213">
        <v>706</v>
      </c>
      <c r="G213" t="s">
        <v>1989</v>
      </c>
    </row>
    <row r="214" spans="1:7">
      <c r="A214" t="s">
        <v>596</v>
      </c>
      <c r="B214" t="s">
        <v>597</v>
      </c>
      <c r="C214" t="s">
        <v>598</v>
      </c>
      <c r="D214" t="s">
        <v>929</v>
      </c>
      <c r="E214" t="s">
        <v>1998</v>
      </c>
      <c r="F214">
        <v>938</v>
      </c>
      <c r="G214" t="s">
        <v>1999</v>
      </c>
    </row>
    <row r="215" spans="1:7">
      <c r="A215" t="s">
        <v>587</v>
      </c>
      <c r="B215" t="s">
        <v>588</v>
      </c>
      <c r="C215" t="s">
        <v>589</v>
      </c>
      <c r="D215" t="s">
        <v>926</v>
      </c>
      <c r="E215" t="s">
        <v>1992</v>
      </c>
      <c r="F215">
        <v>728</v>
      </c>
      <c r="G215" t="s">
        <v>1993</v>
      </c>
    </row>
    <row r="216" spans="1:7">
      <c r="A216" t="s">
        <v>593</v>
      </c>
      <c r="B216" t="s">
        <v>594</v>
      </c>
      <c r="C216" t="s">
        <v>595</v>
      </c>
      <c r="D216" t="s">
        <v>928</v>
      </c>
      <c r="E216" t="s">
        <v>1996</v>
      </c>
      <c r="F216">
        <v>144</v>
      </c>
      <c r="G216" t="s">
        <v>1997</v>
      </c>
    </row>
    <row r="217" spans="1:7">
      <c r="A217" t="s">
        <v>607</v>
      </c>
      <c r="B217" t="s">
        <v>608</v>
      </c>
      <c r="C217" t="s">
        <v>609</v>
      </c>
      <c r="D217" t="s">
        <v>933</v>
      </c>
      <c r="E217" t="s">
        <v>2002</v>
      </c>
      <c r="F217">
        <v>752</v>
      </c>
      <c r="G217" t="s">
        <v>2003</v>
      </c>
    </row>
    <row r="218" spans="1:7">
      <c r="A218" t="s">
        <v>610</v>
      </c>
      <c r="B218" t="s">
        <v>611</v>
      </c>
      <c r="C218" t="s">
        <v>612</v>
      </c>
      <c r="D218" t="s">
        <v>934</v>
      </c>
      <c r="E218" t="s">
        <v>2004</v>
      </c>
      <c r="F218">
        <v>756</v>
      </c>
      <c r="G218" t="s">
        <v>2005</v>
      </c>
    </row>
    <row r="219" spans="1:7">
      <c r="A219" t="s">
        <v>599</v>
      </c>
      <c r="B219" t="s">
        <v>600</v>
      </c>
      <c r="C219" t="s">
        <v>601</v>
      </c>
      <c r="D219" t="s">
        <v>930</v>
      </c>
      <c r="E219" t="s">
        <v>2000</v>
      </c>
      <c r="F219">
        <v>968</v>
      </c>
      <c r="G219" t="s">
        <v>2001</v>
      </c>
    </row>
    <row r="220" spans="1:7">
      <c r="A220" t="s">
        <v>717</v>
      </c>
      <c r="B220" t="s">
        <v>613</v>
      </c>
      <c r="C220" t="s">
        <v>614</v>
      </c>
      <c r="D220" t="s">
        <v>935</v>
      </c>
      <c r="E220" t="s">
        <v>2006</v>
      </c>
      <c r="F220">
        <v>760</v>
      </c>
      <c r="G220" t="s">
        <v>2007</v>
      </c>
    </row>
    <row r="221" spans="1:7">
      <c r="A221" t="s">
        <v>617</v>
      </c>
      <c r="B221" t="s">
        <v>618</v>
      </c>
      <c r="C221" t="s">
        <v>619</v>
      </c>
      <c r="D221" t="s">
        <v>937</v>
      </c>
      <c r="E221" t="s">
        <v>2010</v>
      </c>
      <c r="F221">
        <v>972</v>
      </c>
      <c r="G221" t="s">
        <v>2011</v>
      </c>
    </row>
    <row r="222" spans="1:7">
      <c r="A222" t="s">
        <v>702</v>
      </c>
      <c r="B222" t="s">
        <v>615</v>
      </c>
      <c r="C222" t="s">
        <v>616</v>
      </c>
      <c r="D222" t="s">
        <v>936</v>
      </c>
      <c r="E222" t="s">
        <v>2008</v>
      </c>
      <c r="F222">
        <v>901</v>
      </c>
      <c r="G222" t="s">
        <v>2009</v>
      </c>
    </row>
    <row r="223" spans="1:7">
      <c r="A223" t="s">
        <v>701</v>
      </c>
      <c r="B223" t="s">
        <v>620</v>
      </c>
      <c r="C223" t="s">
        <v>621</v>
      </c>
      <c r="D223" t="s">
        <v>938</v>
      </c>
      <c r="E223" t="s">
        <v>2012</v>
      </c>
      <c r="F223">
        <v>834</v>
      </c>
      <c r="G223" t="s">
        <v>2013</v>
      </c>
    </row>
    <row r="224" spans="1:7">
      <c r="A224" s="3" t="s">
        <v>121</v>
      </c>
      <c r="B224" s="3" t="s">
        <v>122</v>
      </c>
      <c r="C224" s="3" t="s">
        <v>123</v>
      </c>
      <c r="D224" s="3" t="s">
        <v>764</v>
      </c>
      <c r="E224" s="3" t="s">
        <v>1671</v>
      </c>
      <c r="F224" s="3">
        <v>950</v>
      </c>
      <c r="G224" s="3" t="s">
        <v>1672</v>
      </c>
    </row>
    <row r="225" spans="1:7" ht="28.5">
      <c r="A225" s="3" t="s">
        <v>89</v>
      </c>
      <c r="B225" s="3" t="s">
        <v>90</v>
      </c>
      <c r="C225" s="3" t="s">
        <v>91</v>
      </c>
      <c r="D225" s="3" t="s">
        <v>753</v>
      </c>
      <c r="E225" s="3" t="s">
        <v>1646</v>
      </c>
      <c r="F225" s="3">
        <v>840</v>
      </c>
      <c r="G225" s="3" t="s">
        <v>1647</v>
      </c>
    </row>
    <row r="226" spans="1:7">
      <c r="A226" t="s">
        <v>480</v>
      </c>
      <c r="B226" t="s">
        <v>481</v>
      </c>
      <c r="C226" t="s">
        <v>482</v>
      </c>
      <c r="D226" t="s">
        <v>889</v>
      </c>
    </row>
    <row r="227" spans="1:7">
      <c r="A227" t="s">
        <v>219</v>
      </c>
      <c r="B227" t="s">
        <v>220</v>
      </c>
      <c r="C227" t="s">
        <v>221</v>
      </c>
      <c r="D227" t="s">
        <v>799</v>
      </c>
      <c r="E227" t="s">
        <v>1736</v>
      </c>
      <c r="F227">
        <v>978</v>
      </c>
      <c r="G227" t="s">
        <v>1737</v>
      </c>
    </row>
    <row r="228" spans="1:7">
      <c r="A228" t="s">
        <v>622</v>
      </c>
      <c r="B228" t="s">
        <v>623</v>
      </c>
      <c r="C228" t="s">
        <v>624</v>
      </c>
      <c r="D228" t="s">
        <v>939</v>
      </c>
      <c r="E228" t="s">
        <v>2014</v>
      </c>
      <c r="F228">
        <v>764</v>
      </c>
      <c r="G228" t="s">
        <v>2015</v>
      </c>
    </row>
    <row r="229" spans="1:7">
      <c r="A229" t="s">
        <v>625</v>
      </c>
      <c r="B229" t="s">
        <v>626</v>
      </c>
      <c r="C229" t="s">
        <v>627</v>
      </c>
      <c r="D229" t="s">
        <v>940</v>
      </c>
      <c r="E229" t="s">
        <v>2016</v>
      </c>
      <c r="F229">
        <v>840</v>
      </c>
      <c r="G229" t="s">
        <v>2017</v>
      </c>
    </row>
    <row r="230" spans="1:7">
      <c r="A230" t="s">
        <v>628</v>
      </c>
      <c r="B230" t="s">
        <v>629</v>
      </c>
      <c r="C230" t="s">
        <v>630</v>
      </c>
      <c r="D230" t="s">
        <v>941</v>
      </c>
      <c r="E230" t="s">
        <v>2018</v>
      </c>
      <c r="F230">
        <v>952</v>
      </c>
      <c r="G230" t="s">
        <v>2019</v>
      </c>
    </row>
    <row r="231" spans="1:7">
      <c r="A231" t="s">
        <v>631</v>
      </c>
      <c r="B231" t="s">
        <v>632</v>
      </c>
      <c r="C231" t="s">
        <v>633</v>
      </c>
      <c r="D231" t="s">
        <v>942</v>
      </c>
    </row>
    <row r="232" spans="1:7">
      <c r="A232" t="s">
        <v>634</v>
      </c>
      <c r="B232" t="s">
        <v>635</v>
      </c>
      <c r="C232" t="s">
        <v>636</v>
      </c>
      <c r="D232" t="s">
        <v>943</v>
      </c>
      <c r="E232" t="s">
        <v>2020</v>
      </c>
      <c r="F232">
        <v>776</v>
      </c>
      <c r="G232" t="s">
        <v>2021</v>
      </c>
    </row>
    <row r="233" spans="1:7">
      <c r="A233" t="s">
        <v>2077</v>
      </c>
      <c r="B233" t="s">
        <v>637</v>
      </c>
      <c r="C233" t="s">
        <v>638</v>
      </c>
      <c r="D233" t="s">
        <v>944</v>
      </c>
      <c r="E233" t="s">
        <v>2022</v>
      </c>
      <c r="F233">
        <v>780</v>
      </c>
      <c r="G233" t="s">
        <v>2023</v>
      </c>
    </row>
    <row r="234" spans="1:7">
      <c r="A234" t="s">
        <v>639</v>
      </c>
      <c r="B234" t="s">
        <v>640</v>
      </c>
      <c r="C234" t="s">
        <v>641</v>
      </c>
      <c r="D234" t="s">
        <v>945</v>
      </c>
      <c r="E234" t="s">
        <v>2024</v>
      </c>
      <c r="F234">
        <v>788</v>
      </c>
      <c r="G234" t="s">
        <v>2025</v>
      </c>
    </row>
    <row r="235" spans="1:7">
      <c r="A235" t="s">
        <v>645</v>
      </c>
      <c r="B235" t="s">
        <v>646</v>
      </c>
      <c r="C235" t="s">
        <v>647</v>
      </c>
      <c r="D235" t="s">
        <v>947</v>
      </c>
      <c r="E235" t="s">
        <v>2028</v>
      </c>
      <c r="F235">
        <v>934</v>
      </c>
      <c r="G235" t="s">
        <v>2029</v>
      </c>
    </row>
    <row r="236" spans="1:7">
      <c r="A236" t="s">
        <v>642</v>
      </c>
      <c r="B236" t="s">
        <v>643</v>
      </c>
      <c r="C236" t="s">
        <v>644</v>
      </c>
      <c r="D236" t="s">
        <v>946</v>
      </c>
      <c r="E236" t="s">
        <v>2026</v>
      </c>
      <c r="F236">
        <v>949</v>
      </c>
      <c r="G236" t="s">
        <v>2027</v>
      </c>
    </row>
    <row r="237" spans="1:7">
      <c r="A237" t="s">
        <v>651</v>
      </c>
      <c r="B237" t="s">
        <v>652</v>
      </c>
      <c r="C237" t="s">
        <v>653</v>
      </c>
      <c r="D237" t="s">
        <v>949</v>
      </c>
      <c r="E237" t="s">
        <v>2032</v>
      </c>
      <c r="F237">
        <v>0</v>
      </c>
      <c r="G237" t="s">
        <v>2033</v>
      </c>
    </row>
    <row r="238" spans="1:7">
      <c r="A238" t="s">
        <v>657</v>
      </c>
      <c r="B238" t="s">
        <v>658</v>
      </c>
      <c r="C238" t="s">
        <v>659</v>
      </c>
      <c r="D238" t="s">
        <v>951</v>
      </c>
      <c r="E238" t="s">
        <v>2036</v>
      </c>
      <c r="F238">
        <v>980</v>
      </c>
      <c r="G238" t="s">
        <v>2037</v>
      </c>
    </row>
    <row r="239" spans="1:7">
      <c r="A239" t="s">
        <v>669</v>
      </c>
      <c r="B239" t="s">
        <v>670</v>
      </c>
      <c r="C239" t="s">
        <v>671</v>
      </c>
      <c r="D239" t="s">
        <v>955</v>
      </c>
      <c r="E239" t="s">
        <v>2042</v>
      </c>
      <c r="F239">
        <v>858</v>
      </c>
      <c r="G239" t="s">
        <v>2043</v>
      </c>
    </row>
    <row r="240" spans="1:7">
      <c r="A240" t="s">
        <v>675</v>
      </c>
      <c r="B240" t="s">
        <v>676</v>
      </c>
      <c r="C240" t="s">
        <v>677</v>
      </c>
      <c r="D240" t="s">
        <v>957</v>
      </c>
      <c r="E240" t="s">
        <v>2046</v>
      </c>
      <c r="F240">
        <v>548</v>
      </c>
      <c r="G240" t="s">
        <v>2047</v>
      </c>
    </row>
    <row r="241" spans="1:7">
      <c r="A241" t="s">
        <v>711</v>
      </c>
      <c r="B241" t="s">
        <v>275</v>
      </c>
      <c r="C241" t="s">
        <v>2048</v>
      </c>
      <c r="D241" t="s">
        <v>818</v>
      </c>
      <c r="E241" t="s">
        <v>2049</v>
      </c>
      <c r="F241">
        <v>978</v>
      </c>
      <c r="G241" t="s">
        <v>2050</v>
      </c>
    </row>
    <row r="242" spans="1:7">
      <c r="A242" t="s">
        <v>718</v>
      </c>
      <c r="B242" t="s">
        <v>678</v>
      </c>
      <c r="C242" t="s">
        <v>679</v>
      </c>
      <c r="D242" t="s">
        <v>958</v>
      </c>
      <c r="E242" t="s">
        <v>2051</v>
      </c>
      <c r="F242">
        <v>937</v>
      </c>
      <c r="G242" t="s">
        <v>2081</v>
      </c>
    </row>
    <row r="243" spans="1:7">
      <c r="A243" t="s">
        <v>680</v>
      </c>
      <c r="B243" t="s">
        <v>681</v>
      </c>
      <c r="C243" t="s">
        <v>682</v>
      </c>
      <c r="D243" t="s">
        <v>959</v>
      </c>
      <c r="E243" t="s">
        <v>2052</v>
      </c>
      <c r="F243">
        <v>704</v>
      </c>
      <c r="G243" t="s">
        <v>2053</v>
      </c>
    </row>
    <row r="244" spans="1:7">
      <c r="A244" t="s">
        <v>692</v>
      </c>
      <c r="B244" t="s">
        <v>693</v>
      </c>
      <c r="C244" t="s">
        <v>694</v>
      </c>
      <c r="D244" t="s">
        <v>963</v>
      </c>
      <c r="E244" t="s">
        <v>2056</v>
      </c>
      <c r="F244">
        <v>886</v>
      </c>
      <c r="G244" t="s">
        <v>2057</v>
      </c>
    </row>
    <row r="245" spans="1:7">
      <c r="A245" t="s">
        <v>695</v>
      </c>
      <c r="B245" t="s">
        <v>696</v>
      </c>
      <c r="C245" t="s">
        <v>697</v>
      </c>
      <c r="D245" t="s">
        <v>964</v>
      </c>
      <c r="E245" t="s">
        <v>2058</v>
      </c>
      <c r="F245">
        <v>967</v>
      </c>
      <c r="G245" t="s">
        <v>2059</v>
      </c>
    </row>
    <row r="246" spans="1:7">
      <c r="A246" t="s">
        <v>698</v>
      </c>
      <c r="B246" t="s">
        <v>699</v>
      </c>
      <c r="C246" t="s">
        <v>700</v>
      </c>
      <c r="D246" t="s">
        <v>965</v>
      </c>
      <c r="E246" t="s">
        <v>2060</v>
      </c>
      <c r="F246">
        <v>840</v>
      </c>
      <c r="G246" t="s">
        <v>2061</v>
      </c>
    </row>
  </sheetData>
  <sheetProtection algorithmName="SHA-512" hashValue="zoQ512WdFpDc/dHg9PJlNwkbX+Vf1RZpAkVVmLsEeWmct8oM5he5gSIAUNNuNx5oTa1uTWpzGAjJKLuu1MLSMw==" saltValue="erYomEKjEpjEt0chKr03nQ==" spinCount="100000" sheet="1" objects="1" scenarios="1"/>
  <sortState xmlns:xlrd2="http://schemas.microsoft.com/office/spreadsheetml/2017/richdata2" ref="H10:J156">
    <sortCondition ref="H10:H156"/>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1" ma:contentTypeDescription="Create a new document." ma:contentTypeScope="" ma:versionID="8cda5e43355a178765403bf25fc62d8e">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0732ab638ef70049696dc25a7a2200f6"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5AF3EE-C7A5-4786-ADB9-446F04281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B73A9A-A04F-41FF-96F9-A7BAA5B16ED1}">
  <ds:schemaRefs>
    <ds:schemaRef ds:uri="0c958bcd-fe3d-4310-8463-0016d19558cc"/>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36538d5f-f7e1-46e7-b8e6-8d0f62ce9765"/>
    <ds:schemaRef ds:uri="http://www.w3.org/XML/1998/namespace"/>
    <ds:schemaRef ds:uri="http://purl.org/dc/dcmitype/"/>
  </ds:schemaRefs>
</ds:datastoreItem>
</file>

<file path=customXml/itemProps3.xml><?xml version="1.0" encoding="utf-8"?>
<ds:datastoreItem xmlns:ds="http://schemas.openxmlformats.org/officeDocument/2006/customXml" ds:itemID="{7BDA85FB-57D5-4A9F-A904-DAE491709832}">
  <ds:schemaRefs>
    <ds:schemaRef ds:uri="http://schemas.microsoft.com/DataMashup"/>
  </ds:schemaRefs>
</ds:datastoreItem>
</file>

<file path=customXml/itemProps4.xml><?xml version="1.0" encoding="utf-8"?>
<ds:datastoreItem xmlns:ds="http://schemas.openxmlformats.org/officeDocument/2006/customXml" ds:itemID="{D54F90D9-6E1E-43EA-AB01-9921EA13EC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15</vt:i4>
      </vt:variant>
    </vt:vector>
  </HeadingPairs>
  <TitlesOfParts>
    <vt:vector size="22" baseType="lpstr">
      <vt:lpstr>Introduction</vt:lpstr>
      <vt:lpstr>Partie 1 - Présentation</vt:lpstr>
      <vt:lpstr>Partie 2 - Liste de pointage</vt:lpstr>
      <vt:lpstr>Partie 3 - Entités déclarantes</vt:lpstr>
      <vt:lpstr>Partie 4 - Recettes de l’État</vt:lpstr>
      <vt:lpstr>Partie 5 - Données d’entreprise</vt:lpstr>
      <vt:lpstr>Listes</vt:lpstr>
      <vt:lpstr>Agency_type</vt:lpstr>
      <vt:lpstr>Commodities_list</vt:lpstr>
      <vt:lpstr>Commodity_names</vt:lpstr>
      <vt:lpstr>Companies_list</vt:lpstr>
      <vt:lpstr>Currency_code_list</vt:lpstr>
      <vt:lpstr>GFS_list</vt:lpstr>
      <vt:lpstr>Government_entities_list</vt:lpstr>
      <vt:lpstr>Project_phases_list</vt:lpstr>
      <vt:lpstr>Projectname</vt:lpstr>
      <vt:lpstr>Reporting_options_list</vt:lpstr>
      <vt:lpstr>Revenue_stream_list</vt:lpstr>
      <vt:lpstr>Sector_list</vt:lpstr>
      <vt:lpstr>Simple_options_list</vt:lpstr>
      <vt:lpstr>Total_reconciled</vt:lpstr>
      <vt:lpstr>Total_revenues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EITI International Secretariat</dc:creator>
  <cp:lastModifiedBy>sie rachid traore</cp:lastModifiedBy>
  <cp:lastPrinted>2019-01-03T11:51:23Z</cp:lastPrinted>
  <dcterms:created xsi:type="dcterms:W3CDTF">2018-04-20T09:16:43Z</dcterms:created>
  <dcterms:modified xsi:type="dcterms:W3CDTF">2026-05-06T14:58:43Z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ies>
</file>