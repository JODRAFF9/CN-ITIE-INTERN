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https://enerteamtn-my.sharepoint.com/personal/m_benmbarek_enerteam_tn/Documents/Bureau/Sénégal 2022/Sénégal 2022/Préfinal/Final transmis - 20-12-2023/"/>
    </mc:Choice>
  </mc:AlternateContent>
  <xr:revisionPtr revIDLastSave="4" documentId="13_ncr:1_{114510A1-0DA1-4390-84BA-4F1BBA93BBFB}" xr6:coauthVersionLast="47" xr6:coauthVersionMax="47" xr10:uidLastSave="{A84A6614-4DCE-4895-BA79-9A01C418FCD3}"/>
  <bookViews>
    <workbookView xWindow="-120" yWindow="-120" windowWidth="29040" windowHeight="15840" tabRatio="746" firstSheet="24" activeTab="35" xr2:uid="{00000000-000D-0000-FFFF-FFFF00000000}"/>
  </bookViews>
  <sheets>
    <sheet name="Sommaire" sheetId="69" r:id="rId1"/>
    <sheet name="Tableau 1" sheetId="1" r:id="rId2"/>
    <sheet name="Tableau 2" sheetId="3" r:id="rId3"/>
    <sheet name="Tableau 3" sheetId="2" r:id="rId4"/>
    <sheet name="Tableau 4" sheetId="4" r:id="rId5"/>
    <sheet name="Tableau 5" sheetId="5" r:id="rId6"/>
    <sheet name="Tableau 6" sheetId="6" r:id="rId7"/>
    <sheet name="Tableau 7" sheetId="7" r:id="rId8"/>
    <sheet name="Tableau 8" sheetId="8" r:id="rId9"/>
    <sheet name="Tableau 9" sheetId="9" r:id="rId10"/>
    <sheet name="Tableau 10" sheetId="10" r:id="rId11"/>
    <sheet name="Tableau 11" sheetId="11" r:id="rId12"/>
    <sheet name="Tableau 12" sheetId="12" r:id="rId13"/>
    <sheet name="Tableau 13" sheetId="13" r:id="rId14"/>
    <sheet name="Tableau 14" sheetId="14" r:id="rId15"/>
    <sheet name="Tableau 15" sheetId="15" r:id="rId16"/>
    <sheet name="Tableau 16" sheetId="16" r:id="rId17"/>
    <sheet name="Tableau 17" sheetId="17" r:id="rId18"/>
    <sheet name="Tableau 18" sheetId="18" r:id="rId19"/>
    <sheet name="Section 3.3" sheetId="20" r:id="rId20"/>
    <sheet name="Tableau 19" sheetId="19" r:id="rId21"/>
    <sheet name="Tableau 20" sheetId="21" r:id="rId22"/>
    <sheet name="Tableau 21" sheetId="22" r:id="rId23"/>
    <sheet name="Section 4.1.11" sheetId="24" r:id="rId24"/>
    <sheet name="Tableau 22" sheetId="23" r:id="rId25"/>
    <sheet name="Tableau 23" sheetId="25" r:id="rId26"/>
    <sheet name="Tableau 24" sheetId="26" r:id="rId27"/>
    <sheet name="Tableau 25" sheetId="27" r:id="rId28"/>
    <sheet name="Tableau 26" sheetId="28" r:id="rId29"/>
    <sheet name="Tableau 27" sheetId="29" r:id="rId30"/>
    <sheet name="Tableau 28" sheetId="30" r:id="rId31"/>
    <sheet name="Tableau 29" sheetId="31" r:id="rId32"/>
    <sheet name="Section 4.2.9" sheetId="32" r:id="rId33"/>
    <sheet name="Section 4.4.8" sheetId="33" r:id="rId34"/>
    <sheet name="Tableau 30" sheetId="34" r:id="rId35"/>
    <sheet name="Tableau 31" sheetId="35" r:id="rId36"/>
    <sheet name="Tableau 32" sheetId="36" r:id="rId37"/>
    <sheet name="Section 4.5.6" sheetId="37" r:id="rId38"/>
    <sheet name="Section 5.1.1" sheetId="38" r:id="rId39"/>
    <sheet name="Tableau 33" sheetId="39" r:id="rId40"/>
    <sheet name="Section 5.2.1" sheetId="40" r:id="rId41"/>
    <sheet name="Tableau 34" sheetId="41" r:id="rId42"/>
    <sheet name="Tableau 35" sheetId="42" r:id="rId43"/>
    <sheet name="Tableau 36" sheetId="43" r:id="rId44"/>
    <sheet name="Tableau 37" sheetId="44" r:id="rId45"/>
    <sheet name="Tableau 38" sheetId="45" r:id="rId46"/>
    <sheet name="Tableau 39" sheetId="46" r:id="rId47"/>
    <sheet name="Tableau 40" sheetId="47" r:id="rId48"/>
    <sheet name="Tableau 41" sheetId="48" r:id="rId49"/>
    <sheet name="Tableau 42" sheetId="49" r:id="rId50"/>
    <sheet name="Tableau 43" sheetId="50" r:id="rId51"/>
    <sheet name="Tableau 44" sheetId="51" r:id="rId52"/>
    <sheet name="Tableau 45" sheetId="52" r:id="rId53"/>
    <sheet name="Tableau 46" sheetId="53" r:id="rId54"/>
    <sheet name="Tableau 47" sheetId="54" r:id="rId55"/>
    <sheet name="Tableau 48" sheetId="55" r:id="rId56"/>
    <sheet name="Tableau 49" sheetId="56" r:id="rId57"/>
    <sheet name="Tableau 50" sheetId="57" r:id="rId58"/>
  </sheets>
  <definedNames>
    <definedName name="_ftn1" localSheetId="36">'Tableau 32'!#REF!</definedName>
    <definedName name="_ftnref1" localSheetId="36">'Tableau 32'!$I$5</definedName>
    <definedName name="_Hlk150444557" localSheetId="17">'Tableau 17'!$B$12</definedName>
    <definedName name="_Hlk45031232" localSheetId="16">'Tableau 16'!$B$6</definedName>
    <definedName name="_Toc153717100" localSheetId="14">'Tableau 14'!$B$2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 i="32" l="1"/>
  <c r="C11" i="32"/>
  <c r="D24" i="55"/>
  <c r="C24" i="55"/>
  <c r="E23" i="55"/>
  <c r="E22" i="55"/>
  <c r="E21" i="55"/>
  <c r="E20" i="55"/>
  <c r="E19" i="55"/>
  <c r="E18" i="55"/>
  <c r="E17" i="55"/>
  <c r="E16" i="55"/>
  <c r="E15" i="55"/>
  <c r="E14" i="55"/>
  <c r="E13" i="55"/>
  <c r="E12" i="55"/>
  <c r="E11" i="55"/>
  <c r="E10" i="55"/>
  <c r="E9" i="55"/>
  <c r="E24" i="55" s="1"/>
  <c r="E8" i="55"/>
  <c r="D8" i="55"/>
  <c r="D25" i="55" s="1"/>
  <c r="C8" i="55"/>
  <c r="C25" i="55" s="1"/>
  <c r="E7" i="55"/>
  <c r="E6" i="55"/>
  <c r="E5" i="55"/>
  <c r="I117" i="54"/>
  <c r="H117" i="54"/>
  <c r="G117" i="54"/>
  <c r="I115" i="54"/>
  <c r="H115" i="54"/>
  <c r="G115" i="54"/>
  <c r="I113" i="54"/>
  <c r="H113" i="54"/>
  <c r="G113" i="54"/>
  <c r="I110" i="54"/>
  <c r="H110" i="54"/>
  <c r="G110" i="54"/>
  <c r="I108" i="54"/>
  <c r="H108" i="54"/>
  <c r="G108" i="54"/>
  <c r="I105" i="54"/>
  <c r="H105" i="54"/>
  <c r="G105" i="54"/>
  <c r="I103" i="54"/>
  <c r="H103" i="54"/>
  <c r="G103" i="54"/>
  <c r="I100" i="54"/>
  <c r="H100" i="54"/>
  <c r="G100" i="54"/>
  <c r="I96" i="54"/>
  <c r="H96" i="54"/>
  <c r="G96" i="54"/>
  <c r="I91" i="54"/>
  <c r="H91" i="54"/>
  <c r="G91" i="54"/>
  <c r="I79" i="54"/>
  <c r="H79" i="54"/>
  <c r="G79" i="54"/>
  <c r="I69" i="54"/>
  <c r="H69" i="54"/>
  <c r="G69" i="54"/>
  <c r="I67" i="54"/>
  <c r="H67" i="54"/>
  <c r="G67" i="54"/>
  <c r="I64" i="54"/>
  <c r="H64" i="54"/>
  <c r="G64" i="54"/>
  <c r="I57" i="54"/>
  <c r="H57" i="54"/>
  <c r="G57" i="54"/>
  <c r="I53" i="54"/>
  <c r="H53" i="54"/>
  <c r="G53" i="54"/>
  <c r="I43" i="54"/>
  <c r="H43" i="54"/>
  <c r="G43" i="54"/>
  <c r="I29" i="54"/>
  <c r="H29" i="54"/>
  <c r="G29" i="54"/>
  <c r="I13" i="54"/>
  <c r="H13" i="54"/>
  <c r="G13" i="54"/>
  <c r="I10" i="54"/>
  <c r="H10" i="54"/>
  <c r="G10" i="54"/>
  <c r="I8" i="54"/>
  <c r="I118" i="54" s="1"/>
  <c r="H8" i="54"/>
  <c r="H118" i="54" s="1"/>
  <c r="G8" i="54"/>
  <c r="G59" i="53"/>
  <c r="F59" i="53"/>
  <c r="G57" i="53"/>
  <c r="F57" i="53"/>
  <c r="G55" i="53"/>
  <c r="F55" i="53"/>
  <c r="G52" i="53"/>
  <c r="F52" i="53"/>
  <c r="G49" i="53"/>
  <c r="F49" i="53"/>
  <c r="G47" i="53"/>
  <c r="F47" i="53"/>
  <c r="G45" i="53"/>
  <c r="F45" i="53"/>
  <c r="G43" i="53"/>
  <c r="F43" i="53"/>
  <c r="G41" i="53"/>
  <c r="F41" i="53"/>
  <c r="G39" i="53"/>
  <c r="F39" i="53"/>
  <c r="G37" i="53"/>
  <c r="F37" i="53"/>
  <c r="G31" i="53"/>
  <c r="F31" i="53"/>
  <c r="G29" i="53"/>
  <c r="F29" i="53"/>
  <c r="G27" i="53"/>
  <c r="F27" i="53"/>
  <c r="G24" i="53"/>
  <c r="F24" i="53"/>
  <c r="G22" i="53"/>
  <c r="F22" i="53"/>
  <c r="G20" i="53"/>
  <c r="F20" i="53"/>
  <c r="G16" i="53"/>
  <c r="F16" i="53"/>
  <c r="G14" i="53"/>
  <c r="F14" i="53"/>
  <c r="G11" i="53"/>
  <c r="F11" i="53"/>
  <c r="G8" i="53"/>
  <c r="F8" i="53"/>
  <c r="G5" i="52"/>
  <c r="C11" i="34"/>
  <c r="C7" i="33"/>
  <c r="C7" i="26"/>
  <c r="I117" i="11"/>
  <c r="H117" i="11"/>
  <c r="G117" i="11"/>
  <c r="I115" i="11"/>
  <c r="H115" i="11"/>
  <c r="G115" i="11"/>
  <c r="I113" i="11"/>
  <c r="H113" i="11"/>
  <c r="G113" i="11"/>
  <c r="I110" i="11"/>
  <c r="H110" i="11"/>
  <c r="G110" i="11"/>
  <c r="I108" i="11"/>
  <c r="H108" i="11"/>
  <c r="G108" i="11"/>
  <c r="I105" i="11"/>
  <c r="H105" i="11"/>
  <c r="G105" i="11"/>
  <c r="I103" i="11"/>
  <c r="H103" i="11"/>
  <c r="G103" i="11"/>
  <c r="I100" i="11"/>
  <c r="H100" i="11"/>
  <c r="G100" i="11"/>
  <c r="I96" i="11"/>
  <c r="H96" i="11"/>
  <c r="G96" i="11"/>
  <c r="I91" i="11"/>
  <c r="H91" i="11"/>
  <c r="G91" i="11"/>
  <c r="I79" i="11"/>
  <c r="H79" i="11"/>
  <c r="G79" i="11"/>
  <c r="I69" i="11"/>
  <c r="H69" i="11"/>
  <c r="G69" i="11"/>
  <c r="I67" i="11"/>
  <c r="H67" i="11"/>
  <c r="G67" i="11"/>
  <c r="I64" i="11"/>
  <c r="H64" i="11"/>
  <c r="G64" i="11"/>
  <c r="I57" i="11"/>
  <c r="H57" i="11"/>
  <c r="G57" i="11"/>
  <c r="I53" i="11"/>
  <c r="H53" i="11"/>
  <c r="G53" i="11"/>
  <c r="I43" i="11"/>
  <c r="H43" i="11"/>
  <c r="G43" i="11"/>
  <c r="I29" i="11"/>
  <c r="H29" i="11"/>
  <c r="G29" i="11"/>
  <c r="I13" i="11"/>
  <c r="H13" i="11"/>
  <c r="G13" i="11"/>
  <c r="I10" i="11"/>
  <c r="H10" i="11"/>
  <c r="G10" i="11"/>
  <c r="I8" i="11"/>
  <c r="I118" i="11" s="1"/>
  <c r="H8" i="11"/>
  <c r="H118" i="11" s="1"/>
  <c r="G8" i="11"/>
  <c r="G53" i="9"/>
  <c r="F53" i="9"/>
  <c r="G51" i="9"/>
  <c r="F51" i="9"/>
  <c r="G49" i="9"/>
  <c r="F49" i="9"/>
  <c r="G47" i="9"/>
  <c r="F47" i="9"/>
  <c r="G43" i="9"/>
  <c r="F43" i="9"/>
  <c r="G41" i="9"/>
  <c r="F41" i="9"/>
  <c r="G39" i="9"/>
  <c r="F39" i="9"/>
  <c r="G36" i="9"/>
  <c r="F36" i="9"/>
  <c r="G33" i="9"/>
  <c r="F33" i="9"/>
  <c r="G30" i="9"/>
  <c r="F30" i="9"/>
  <c r="G28" i="9"/>
  <c r="F28" i="9"/>
  <c r="G26" i="9"/>
  <c r="F26" i="9"/>
  <c r="G23" i="9"/>
  <c r="F23" i="9"/>
  <c r="G14" i="9"/>
  <c r="F14" i="9"/>
  <c r="G7" i="9"/>
  <c r="F7" i="9"/>
  <c r="E27" i="8"/>
  <c r="E25" i="55" l="1"/>
  <c r="G54" i="9"/>
</calcChain>
</file>

<file path=xl/sharedStrings.xml><?xml version="1.0" encoding="utf-8"?>
<sst xmlns="http://schemas.openxmlformats.org/spreadsheetml/2006/main" count="2789" uniqueCount="979">
  <si>
    <t>Revenus du secteur extractif 2022</t>
  </si>
  <si>
    <t>Montant
en Milliards de FCFA</t>
  </si>
  <si>
    <t>%</t>
  </si>
  <si>
    <t>Secteur minier</t>
  </si>
  <si>
    <t>Secteur des hydrocarbures</t>
  </si>
  <si>
    <t>Total paiements du secteur extractif (hors paiements sociaux,
environnementaux et garanties de la réhabilitation)</t>
  </si>
  <si>
    <t>Paiements sociaux</t>
  </si>
  <si>
    <t xml:space="preserve">     -Paiements sociaux du secteur minier</t>
  </si>
  <si>
    <t xml:space="preserve">     -Paiements sociaux du secteur des hydrocarbures</t>
  </si>
  <si>
    <t>Paiements environnementaux du secteur minier</t>
  </si>
  <si>
    <t xml:space="preserve">Total paiements sociaux et environnementaux </t>
  </si>
  <si>
    <t>Total garanties payées à la CDC au titre du fonds
de réhabilitation des sites miniers</t>
  </si>
  <si>
    <t>Total des revenus du secteur extractif 2022</t>
  </si>
  <si>
    <t>Total en Millions USD</t>
  </si>
  <si>
    <t>Tableau 1 : Total des revenus du secteur extractif par secteur en 2022</t>
  </si>
  <si>
    <t xml:space="preserve">En Milliards FCFA </t>
  </si>
  <si>
    <t xml:space="preserve">Sociétés Minières </t>
  </si>
  <si>
    <t xml:space="preserve">Sociétés Pétrolières </t>
  </si>
  <si>
    <t xml:space="preserve">Total secteur extractif </t>
  </si>
  <si>
    <t>Evolution annuelle</t>
  </si>
  <si>
    <t>Tableau 2 : Evolution des revenus (hors paiements sociaux, environnementaux et garanties de la réhabilitation) du secteur extractif 2017-2022</t>
  </si>
  <si>
    <t>Revenus du secteur extractif</t>
  </si>
  <si>
    <t>2022 en
Milliards de FCFA</t>
  </si>
  <si>
    <t>En %</t>
  </si>
  <si>
    <t>2021 en
Milliards de FCFA</t>
  </si>
  <si>
    <t>Revenus repris dans le budget de l'Etat</t>
  </si>
  <si>
    <t>Revenus reversés à l'UEMOA et à la CEDEAO</t>
  </si>
  <si>
    <t>Revenus encaissés par PETROSEN</t>
  </si>
  <si>
    <t>Revenus encaissés dans les fonds propres des organismes collecteurs</t>
  </si>
  <si>
    <t>Paiements sociaux &amp; environnementaux</t>
  </si>
  <si>
    <t>Revenus reversés au Conseil Sénégalais des Chargeurs (COSEC)</t>
  </si>
  <si>
    <t>Paiements au titre du fonds de réhabilitation des sites miniers (CDC)</t>
  </si>
  <si>
    <t>Total en Milliards de FCFA</t>
  </si>
  <si>
    <t>Tableau 3 : Affectation des revenus du secteur extractif 2021-2022</t>
  </si>
  <si>
    <t>Secteur</t>
  </si>
  <si>
    <t>Revenus reversés
au COSEC</t>
  </si>
  <si>
    <t>Paiements aux EP à
PETROSEN</t>
  </si>
  <si>
    <t>Paiements
sociaux &amp; environnementaux</t>
  </si>
  <si>
    <t>CSS</t>
  </si>
  <si>
    <t>IPRES</t>
  </si>
  <si>
    <t>CDC</t>
  </si>
  <si>
    <t>Total</t>
  </si>
  <si>
    <t>Sociétés privées du secteur des hydrocarbures</t>
  </si>
  <si>
    <t>-</t>
  </si>
  <si>
    <t>Sociétés privées du secteur minier</t>
  </si>
  <si>
    <t>PETROSEN</t>
  </si>
  <si>
    <t>Revenus repris dans
le budget de l'Etat</t>
  </si>
  <si>
    <t>Revenus reversés à l'UEMOA
et à la CEDEAO</t>
  </si>
  <si>
    <t>Fonds propres DGM, DEEC,
DEFCCS et Trésor</t>
  </si>
  <si>
    <t>Tableau 4 : Détail des revenus du secteur extractif par origine en 2022</t>
  </si>
  <si>
    <t>Flux</t>
  </si>
  <si>
    <t>Montant en milliards de FCFA</t>
  </si>
  <si>
    <t xml:space="preserve">Loyer superficiaire </t>
  </si>
  <si>
    <t>Appui à la promotion de la recherche et de l'exploitation</t>
  </si>
  <si>
    <t>Autres flux de paiements significatifs (&gt; 25 millions de  FCFA) (reconciliables)</t>
  </si>
  <si>
    <t>Redevance</t>
  </si>
  <si>
    <t>Tableau 5 : Revenus des Entreprises de l’Etat dans le secteur extractif en 2022</t>
  </si>
  <si>
    <t>Secteur des Hydrocarbures</t>
  </si>
  <si>
    <t>Montant en
milliards de FCFA</t>
  </si>
  <si>
    <t>Tableau 6 : Etat des recettes recouvrées sur le compte du Trésor 2021-2022</t>
  </si>
  <si>
    <t>Tableau 7 : État récapitulatif de la production du secteur des hydrocarbures par substance et par projet</t>
  </si>
  <si>
    <t>Opérateur</t>
  </si>
  <si>
    <t>Projet</t>
  </si>
  <si>
    <t>Produit</t>
  </si>
  <si>
    <t xml:space="preserve">    Unité</t>
  </si>
  <si>
    <t>Quantité</t>
  </si>
  <si>
    <t xml:space="preserve"> Valeur estimée
à la commercialisation
(en millions de FCFA)</t>
  </si>
  <si>
    <t>Fortesa</t>
  </si>
  <si>
    <t>Diender</t>
  </si>
  <si>
    <t>Gaz naturel</t>
  </si>
  <si>
    <t xml:space="preserve">      Nm3</t>
  </si>
  <si>
    <t>Produits</t>
  </si>
  <si>
    <t>Quantités
reportées</t>
  </si>
  <si>
    <t>Valeur estimée 
à la commercialisation</t>
  </si>
  <si>
    <t>Or</t>
  </si>
  <si>
    <t>TONNE</t>
  </si>
  <si>
    <t>CIMENT</t>
  </si>
  <si>
    <t>CLINKER</t>
  </si>
  <si>
    <t>ILMENITE 54</t>
  </si>
  <si>
    <t>PHOSPHATE</t>
  </si>
  <si>
    <t>PHOSPHATE NATUREL</t>
  </si>
  <si>
    <t>ZIRCON PREMIUM</t>
  </si>
  <si>
    <t>Basalte</t>
  </si>
  <si>
    <t>ZIRCON STANDARD</t>
  </si>
  <si>
    <t>ILMENITE 58</t>
  </si>
  <si>
    <t>CALCAIRE</t>
  </si>
  <si>
    <t>METRE CUBE</t>
  </si>
  <si>
    <t>ILMENITE 56</t>
  </si>
  <si>
    <t xml:space="preserve">ZIRCON SAND MEDIUM GRADE </t>
  </si>
  <si>
    <t>PHOSPHATE SEC CRIBLE</t>
  </si>
  <si>
    <t>LEUCOXENE</t>
  </si>
  <si>
    <t>RUTILE</t>
  </si>
  <si>
    <t>MARNO-CALCAIRE</t>
  </si>
  <si>
    <t>Argent</t>
  </si>
  <si>
    <t>LATERITE</t>
  </si>
  <si>
    <t>Argile</t>
  </si>
  <si>
    <t>NC</t>
  </si>
  <si>
    <t>Manganèse</t>
  </si>
  <si>
    <t xml:space="preserve">Total de la valeur estimé à la commercialisation </t>
  </si>
  <si>
    <t xml:space="preserve">Tableau 8 : État récapitulatif des productions du secteur minier par substance </t>
  </si>
  <si>
    <t>Tableau 9 : État récapitulatif des productions du secteur minier par société et par projet</t>
  </si>
  <si>
    <t>Unité</t>
  </si>
  <si>
    <t xml:space="preserve">Valeur estimée </t>
  </si>
  <si>
    <t>SGO</t>
  </si>
  <si>
    <t>Sabodala</t>
  </si>
  <si>
    <t>Total production de la société SGO</t>
  </si>
  <si>
    <t>SOCOCIM</t>
  </si>
  <si>
    <t>BARGNY</t>
  </si>
  <si>
    <t>POUT</t>
  </si>
  <si>
    <t>DIACK</t>
  </si>
  <si>
    <t>BANDIA</t>
  </si>
  <si>
    <t>Total production de la société SOCOCIM</t>
  </si>
  <si>
    <t>GCO</t>
  </si>
  <si>
    <t>DIOGO</t>
  </si>
  <si>
    <t>Total production de la société GCO</t>
  </si>
  <si>
    <t>PMC</t>
  </si>
  <si>
    <t>Mako</t>
  </si>
  <si>
    <t>Total production de la société PMC</t>
  </si>
  <si>
    <t>SOMIVA</t>
  </si>
  <si>
    <t>NDENDORY</t>
  </si>
  <si>
    <t>Total production de la société SOMIVA</t>
  </si>
  <si>
    <t>ICS</t>
  </si>
  <si>
    <t>Tobène</t>
  </si>
  <si>
    <t>Total production de la société ICS</t>
  </si>
  <si>
    <t xml:space="preserve">Dangote </t>
  </si>
  <si>
    <t>Total production de la société DANGOTE</t>
  </si>
  <si>
    <t>COGECA</t>
  </si>
  <si>
    <t>Total production de la société COGECA</t>
  </si>
  <si>
    <t>Gécamines</t>
  </si>
  <si>
    <t>Total production de la société GECAMINES</t>
  </si>
  <si>
    <t>Sephos / G-PHOS</t>
  </si>
  <si>
    <t>LAMLAM</t>
  </si>
  <si>
    <t>Total production de la société SEPHOS / G-PHOS</t>
  </si>
  <si>
    <t>SSPT</t>
  </si>
  <si>
    <t>Allou Kagne</t>
  </si>
  <si>
    <t>Total production de la société SSPT</t>
  </si>
  <si>
    <t>CDS</t>
  </si>
  <si>
    <t>Total production de la société CDS</t>
  </si>
  <si>
    <t>BMCC</t>
  </si>
  <si>
    <t>Total production de la société BMCC</t>
  </si>
  <si>
    <t>GH MINING</t>
  </si>
  <si>
    <t>Total production de la société GH MINING</t>
  </si>
  <si>
    <t>AFRIGOLD</t>
  </si>
  <si>
    <t>Total production de la société AFRIGOLD</t>
  </si>
  <si>
    <t>Total général</t>
  </si>
  <si>
    <t>Substance</t>
  </si>
  <si>
    <t>Poids</t>
  </si>
  <si>
    <t>Valeur
Total FCFA</t>
  </si>
  <si>
    <t>ACIDE PHOSPHORIQUE 52%</t>
  </si>
  <si>
    <t>Ciment</t>
  </si>
  <si>
    <t>Phosphate</t>
  </si>
  <si>
    <t xml:space="preserve">MEDIUM GRADE ZIRCON SAND </t>
  </si>
  <si>
    <t>Attapulgide</t>
  </si>
  <si>
    <t>DSP</t>
  </si>
  <si>
    <t>NPK</t>
  </si>
  <si>
    <t>BASALTE</t>
  </si>
  <si>
    <t>Onces</t>
  </si>
  <si>
    <t>Autres</t>
  </si>
  <si>
    <t>GYPSUM</t>
  </si>
  <si>
    <t>ACIDE SULFURIQUE</t>
  </si>
  <si>
    <t>Tableau 10 : État récapitulatif des exportations du secteur minier par substance</t>
  </si>
  <si>
    <t>Tableau 11 : État récapitulatif des exportations du secteur minier par substance et par pays</t>
  </si>
  <si>
    <t xml:space="preserve">Opérateur </t>
  </si>
  <si>
    <t>Pays
destinataire</t>
  </si>
  <si>
    <t>Valeur
Total USD (**)</t>
  </si>
  <si>
    <t>Suisse</t>
  </si>
  <si>
    <t>Australie</t>
  </si>
  <si>
    <t>Senegal</t>
  </si>
  <si>
    <t>TOTAL OR</t>
  </si>
  <si>
    <t>India</t>
  </si>
  <si>
    <t>TOTAL ACIDE PHOSPHORIQUE</t>
  </si>
  <si>
    <t>FRANCE</t>
  </si>
  <si>
    <t>NORWAY</t>
  </si>
  <si>
    <t>TOTAL ILMENITE 54</t>
  </si>
  <si>
    <t>Mali</t>
  </si>
  <si>
    <t>Gambie</t>
  </si>
  <si>
    <t>Dangote</t>
  </si>
  <si>
    <t>Mauritanie</t>
  </si>
  <si>
    <t>Guinée-Bissau</t>
  </si>
  <si>
    <t>Burkina Faso</t>
  </si>
  <si>
    <t>Guinée</t>
  </si>
  <si>
    <t>TOTAL CIMENT</t>
  </si>
  <si>
    <t>USA</t>
  </si>
  <si>
    <t>SPAIN</t>
  </si>
  <si>
    <t>China</t>
  </si>
  <si>
    <t>JAPAN</t>
  </si>
  <si>
    <t>ITALY</t>
  </si>
  <si>
    <t>TURKEY</t>
  </si>
  <si>
    <t>England</t>
  </si>
  <si>
    <t>Brazil</t>
  </si>
  <si>
    <t>NETHERLANDS</t>
  </si>
  <si>
    <t>GERMANY</t>
  </si>
  <si>
    <t>TOTAL ZIRCON PREMIUM</t>
  </si>
  <si>
    <t>TOTAL ZIRCON STANDARD</t>
  </si>
  <si>
    <t>SOUTH KOREA</t>
  </si>
  <si>
    <t>TOTAL ILMENITE 58</t>
  </si>
  <si>
    <t>Espagne</t>
  </si>
  <si>
    <t>El Salvador</t>
  </si>
  <si>
    <t>TOTAL PHOSPHATE</t>
  </si>
  <si>
    <t>TOTAL ZIRCON MEDIUM GRADE</t>
  </si>
  <si>
    <t>TOTAL ILMENITE 56</t>
  </si>
  <si>
    <t>Dubai</t>
  </si>
  <si>
    <t>SOUTH AFRICA</t>
  </si>
  <si>
    <t>TOTAL LEUCOXENE</t>
  </si>
  <si>
    <t>TAIWAN</t>
  </si>
  <si>
    <t>TOTAL RUTILE</t>
  </si>
  <si>
    <t>Angleterre</t>
  </si>
  <si>
    <t>Hollande</t>
  </si>
  <si>
    <t>Warrang</t>
  </si>
  <si>
    <t>TOTAL ATTAPULGIDE</t>
  </si>
  <si>
    <t>TOTAL DSP</t>
  </si>
  <si>
    <t>TOTAL NPK</t>
  </si>
  <si>
    <t>TOTAL BASALTE</t>
  </si>
  <si>
    <t>TOTAL ARGENT</t>
  </si>
  <si>
    <t>TOTAL CLINKER</t>
  </si>
  <si>
    <t>TOTAL GYPSUM</t>
  </si>
  <si>
    <t>TOTAL AUTRES</t>
  </si>
  <si>
    <t>TOTAL ACIDE SULFURIQUE</t>
  </si>
  <si>
    <t>Statistiques extractives</t>
  </si>
  <si>
    <t>Export</t>
  </si>
  <si>
    <t xml:space="preserve">Revenus </t>
  </si>
  <si>
    <t>PIB</t>
  </si>
  <si>
    <t>Emploi</t>
  </si>
  <si>
    <t>Tableau 12 : Contribution du secteur extractif dans l’économie</t>
  </si>
  <si>
    <t>Déclarations initiales</t>
  </si>
  <si>
    <t>En milliards de FCFA
(Déclaration initiale)</t>
  </si>
  <si>
    <t>Ajustement</t>
  </si>
  <si>
    <t>En milliards de FCFA
(Déclaration ajustée)</t>
  </si>
  <si>
    <t xml:space="preserve">Entreprises extractives </t>
  </si>
  <si>
    <t>État</t>
  </si>
  <si>
    <t>Écart initial</t>
  </si>
  <si>
    <t>% Écart initial</t>
  </si>
  <si>
    <t>Tableau 13 : État récapitulatif des écarts de rapprochement des flux de paiement en numéraire</t>
  </si>
  <si>
    <t>N°</t>
  </si>
  <si>
    <t>Société Pétrolière</t>
  </si>
  <si>
    <t>NINEA</t>
  </si>
  <si>
    <t>Enterprise de l’Etat</t>
  </si>
  <si>
    <t>Société des Pétroles du Sénégal (PETROSEN)</t>
  </si>
  <si>
    <t>Entreprises en exploitation</t>
  </si>
  <si>
    <t>Fortesa International Sénégal</t>
  </si>
  <si>
    <t>Entreprises en exploration</t>
  </si>
  <si>
    <t>Kosmos Energy Sénégal</t>
  </si>
  <si>
    <t>005251822 2G2</t>
  </si>
  <si>
    <t>Oranto Petroleum</t>
  </si>
  <si>
    <t>TOTAL E&amp;P Sénégal</t>
  </si>
  <si>
    <t>BP SENEGAL INVESTMENTS LIMITED</t>
  </si>
  <si>
    <t>006420509 2A2</t>
  </si>
  <si>
    <t>Woodside Energy Sénégal</t>
  </si>
  <si>
    <t>Tableau 14 : Liste des sociétés retenues dans le périmètre de rapprochement du secteur des hydrocarbures</t>
  </si>
  <si>
    <t>Tableau 14 : Liste des sociétés retenues dans le périmètre de rapprochement du secteur des hydrocarbures</t>
  </si>
  <si>
    <t>Société Minière</t>
  </si>
  <si>
    <t>Abréviation</t>
  </si>
  <si>
    <t>Entreprise d’Etat</t>
  </si>
  <si>
    <t>MIFERSO</t>
  </si>
  <si>
    <t>Fer</t>
  </si>
  <si>
    <t>0023896 2G3</t>
  </si>
  <si>
    <t>Entreprises titulaires d'une concession minière</t>
  </si>
  <si>
    <t>Société de Commercialisation du Ciment</t>
  </si>
  <si>
    <t>Calcaire/Marne</t>
  </si>
  <si>
    <t>0016627 2G3</t>
  </si>
  <si>
    <t>Sabodala Gold Operations</t>
  </si>
  <si>
    <t>2850023 2G3</t>
  </si>
  <si>
    <t>Ciments du Sahel</t>
  </si>
  <si>
    <t>Calcaire/Argile/Latérite</t>
  </si>
  <si>
    <t>0325995 2G3</t>
  </si>
  <si>
    <t>Grande Côte Opérations</t>
  </si>
  <si>
    <t xml:space="preserve"> Minéraux lourds</t>
  </si>
  <si>
    <t>002849258 2G3</t>
  </si>
  <si>
    <t>Société Sénégalaise des Phosphates de Thiès</t>
  </si>
  <si>
    <t>Attapulgites/Phosphates</t>
  </si>
  <si>
    <t>000028797 2G3</t>
  </si>
  <si>
    <t>Industries Chimiques du Sénégal</t>
  </si>
  <si>
    <t>Phosphates</t>
  </si>
  <si>
    <t>000022955/2G3</t>
  </si>
  <si>
    <t>Dangote Industries Sénégal SA</t>
  </si>
  <si>
    <t>DANGOTE</t>
  </si>
  <si>
    <t>Argile, Calcaire, Latérite</t>
  </si>
  <si>
    <t>002707208 2G3</t>
  </si>
  <si>
    <t>Petowal Mining Company (PMC) SA</t>
  </si>
  <si>
    <t>Or/Argent</t>
  </si>
  <si>
    <t>005844700 2G3</t>
  </si>
  <si>
    <t>Société Minière de la Vallée du fleuve Sénégal –SOMIVA</t>
  </si>
  <si>
    <t>004475142 2G3</t>
  </si>
  <si>
    <t>Société d'Exploration, d'Exploitation, d'Importation et de Commercialisation en Afrique (SORED MINES)</t>
  </si>
  <si>
    <t>SORED</t>
  </si>
  <si>
    <t>Entreprises titulaires de permis d'exploitation</t>
  </si>
  <si>
    <t xml:space="preserve">Iamgold BOTO </t>
  </si>
  <si>
    <t>Iamgold</t>
  </si>
  <si>
    <t>G-PHOS (a)</t>
  </si>
  <si>
    <t>G-PHOS</t>
  </si>
  <si>
    <t xml:space="preserve">Baobab Mining and Chemical Corp SA </t>
  </si>
  <si>
    <t>Entreprises titulaires de permis de recherche</t>
  </si>
  <si>
    <t>Agem Sénégal Exploration SUARL</t>
  </si>
  <si>
    <t>AGEM</t>
  </si>
  <si>
    <t>004151750 2G2</t>
  </si>
  <si>
    <t>Sabodala Mining Company</t>
  </si>
  <si>
    <t>SMC</t>
  </si>
  <si>
    <t>002464410 2G2</t>
  </si>
  <si>
    <t>BARRICK</t>
  </si>
  <si>
    <t>006378732 G2</t>
  </si>
  <si>
    <t>Entreprises titulaires de permis d'exploitation de petite mine</t>
  </si>
  <si>
    <t xml:space="preserve">Sephos Sénégal SA </t>
  </si>
  <si>
    <t>SEPHOS</t>
  </si>
  <si>
    <t>004013041 2G3</t>
  </si>
  <si>
    <t>AIG</t>
  </si>
  <si>
    <t>Phosphates / Minéraux lourds</t>
  </si>
  <si>
    <t>004507995 2G3</t>
  </si>
  <si>
    <t>AFRIGOLD SARL (b)</t>
  </si>
  <si>
    <t>Entreprises titulaires de permis d'exploitation de carrières</t>
  </si>
  <si>
    <t>Compagnie Générale d'Exploitation de Carrière</t>
  </si>
  <si>
    <t>Basalte/calcaire</t>
  </si>
  <si>
    <t>GECAMINES</t>
  </si>
  <si>
    <t>TALIX MINES</t>
  </si>
  <si>
    <t>Basaltes</t>
  </si>
  <si>
    <t>La Société des Mines de Fer du Sénégal Oriental (a)</t>
  </si>
  <si>
    <r>
      <t>BARRICK GOLD SENEGAL EX RANGOLD RESOURCES SENEGAL</t>
    </r>
    <r>
      <rPr>
        <b/>
        <i/>
        <sz val="9"/>
        <color rgb="FF46362E"/>
        <rFont val="Kohinoor Devanagari"/>
      </rPr>
      <t xml:space="preserve"> (a)</t>
    </r>
  </si>
  <si>
    <r>
      <t xml:space="preserve">African Investment Group SA </t>
    </r>
    <r>
      <rPr>
        <b/>
        <i/>
        <sz val="9"/>
        <color rgb="FF46362E"/>
        <rFont val="Kohinoor Devanagari"/>
      </rPr>
      <t>(a)</t>
    </r>
  </si>
  <si>
    <r>
      <t>TALIX MINES SARL EX TETA CAR</t>
    </r>
    <r>
      <rPr>
        <b/>
        <i/>
        <sz val="9"/>
        <color rgb="FF46362E"/>
        <rFont val="Kohinoor Devanagari"/>
      </rPr>
      <t xml:space="preserve"> (a)</t>
    </r>
  </si>
  <si>
    <t>Tableau 15 : Liste des sociétés retenues dans le périmètre de rapprochement du secteur minier</t>
  </si>
  <si>
    <t>Organismes Collecteurs</t>
  </si>
  <si>
    <t>A.</t>
  </si>
  <si>
    <t>Régies financières et entités gouvernementales</t>
  </si>
  <si>
    <t>Direction Générale des Impôts et des Domaines (DGID)</t>
  </si>
  <si>
    <r>
      <t>ü</t>
    </r>
    <r>
      <rPr>
        <sz val="7"/>
        <color rgb="FF46362E"/>
        <rFont val="Times New Roman"/>
        <family val="1"/>
      </rPr>
      <t xml:space="preserve">  </t>
    </r>
    <r>
      <rPr>
        <sz val="8"/>
        <color rgb="FF46362E"/>
        <rFont val="Kohinoor Devanagari"/>
      </rPr>
      <t> </t>
    </r>
  </si>
  <si>
    <t>Direction Générale des Douanes (DGD)</t>
  </si>
  <si>
    <t>Direction Générale des Mines (DGM)</t>
  </si>
  <si>
    <t>Direction Générale de la Comptabilité Publique et du Trésor (DGCPT)</t>
  </si>
  <si>
    <t>Direction de l'Environnement et des Etablissements Classés (DEEC)</t>
  </si>
  <si>
    <t>Direction des Eaux, Forêts, Chasses et Conservation des Sols (DEFCCS)</t>
  </si>
  <si>
    <t>Caisse de Sécurité Sociale (CSS)</t>
  </si>
  <si>
    <t>Institution de prévoyance retraite du Sénégal (IPRES)</t>
  </si>
  <si>
    <t>B.</t>
  </si>
  <si>
    <t>Entreprise d’État</t>
  </si>
  <si>
    <t>Tableau 16 : Liste des organismes collecteurs retenus dans le périmètre</t>
  </si>
  <si>
    <t>Secteur des
hydrocarbures</t>
  </si>
  <si>
    <r>
      <t>ü</t>
    </r>
    <r>
      <rPr>
        <sz val="10"/>
        <color rgb="FF46362E"/>
        <rFont val="Times New Roman"/>
        <family val="1"/>
      </rPr>
      <t xml:space="preserve">  </t>
    </r>
    <r>
      <rPr>
        <sz val="10"/>
        <color rgb="FF46362E"/>
        <rFont val="Kohinoor Devanagari"/>
      </rPr>
      <t> </t>
    </r>
  </si>
  <si>
    <r>
      <t>ü</t>
    </r>
    <r>
      <rPr>
        <sz val="10"/>
        <color rgb="FF404040"/>
        <rFont val="Times New Roman"/>
        <family val="1"/>
      </rPr>
      <t xml:space="preserve">  </t>
    </r>
    <r>
      <rPr>
        <sz val="10"/>
        <color rgb="FF404040"/>
        <rFont val="Kohinoor Devanagari"/>
      </rPr>
      <t> </t>
    </r>
  </si>
  <si>
    <t>Flux en nature</t>
  </si>
  <si>
    <t>Part de la production de l'État (Profit Oil État)</t>
  </si>
  <si>
    <t>Part de la production de PETROSEN (Profit Oil PETROSEN)</t>
  </si>
  <si>
    <t>Type de flux financiers</t>
  </si>
  <si>
    <t>Hydrocarbures</t>
  </si>
  <si>
    <t>Miniers</t>
  </si>
  <si>
    <t>Déclaration (R/U) (i)</t>
  </si>
  <si>
    <t>DGM</t>
  </si>
  <si>
    <t>Redevance minière</t>
  </si>
  <si>
    <t>R</t>
  </si>
  <si>
    <t>Appui institutionnel</t>
  </si>
  <si>
    <t>Droits d'entrée fixes</t>
  </si>
  <si>
    <t>Bonus</t>
  </si>
  <si>
    <t>Redevance superficiaire (iii)</t>
  </si>
  <si>
    <t>Appui à la formation</t>
  </si>
  <si>
    <t>Appui à l'équipement</t>
  </si>
  <si>
    <t>Revenus issus de la commercialisation de la part de la production de l'État</t>
  </si>
  <si>
    <t>Loyer superficiaire</t>
  </si>
  <si>
    <t>Pénalités versées à PETROSEN</t>
  </si>
  <si>
    <t>Achat de données sismiques</t>
  </si>
  <si>
    <t>DGID</t>
  </si>
  <si>
    <t>Taxe sur la valeur ajoutée reversée</t>
  </si>
  <si>
    <t>Retenues à la source sur salaires (IR, TRIMF et CFCE)</t>
  </si>
  <si>
    <t>Redressements fiscaux</t>
  </si>
  <si>
    <t>Impôt sur les sociétés</t>
  </si>
  <si>
    <t>Impôt sur les sociétés (bénéfices non pétroliers)</t>
  </si>
  <si>
    <t>Retenues à la source sur bénéfice non commercial</t>
  </si>
  <si>
    <t>Contribution spéciale sur les produits des mines et des carrières (CSMC)</t>
  </si>
  <si>
    <t>Retenue à la source sur sommes versées à des tiers</t>
  </si>
  <si>
    <t>Taxe sur la valeur ajoutée précomptée</t>
  </si>
  <si>
    <t>Impôt minimum forfaitaire</t>
  </si>
  <si>
    <t>Surtaxe foncière</t>
  </si>
  <si>
    <t>Impôt sur le revenu des valeurs mobilières</t>
  </si>
  <si>
    <t>Taxe spéciale sur le ciment</t>
  </si>
  <si>
    <t>Frais d'inscription d'une concession minière ou d'un permis d'exploitation</t>
  </si>
  <si>
    <t>Taxe sur le ciment</t>
  </si>
  <si>
    <t>DGD</t>
  </si>
  <si>
    <t>Taxe sur la valeur ajoutée</t>
  </si>
  <si>
    <t>Prélèvement communautaire solidaire UEMOA</t>
  </si>
  <si>
    <t>Redevance statistique UEMOA</t>
  </si>
  <si>
    <t>Droits de douane</t>
  </si>
  <si>
    <t>Prélèvement communautaire CEDEAO</t>
  </si>
  <si>
    <t>Prélèvement pour le Conseil Sénégalais des Chargeurs (COSEC)</t>
  </si>
  <si>
    <t>Taxe d'enregistrement des véhicules</t>
  </si>
  <si>
    <t>Prélèvement PROMAD</t>
  </si>
  <si>
    <t>Amendes, pénalités et redressements douaniers</t>
  </si>
  <si>
    <t>DGCPT</t>
  </si>
  <si>
    <t>Revenus issus de la commercialisation de la Part de la production de l'État</t>
  </si>
  <si>
    <t>Patente</t>
  </si>
  <si>
    <t>Contribution foncière des propriétés bâties (CFPB)</t>
  </si>
  <si>
    <t>Contribution foncière des propriétés non bâties (CFPNB)</t>
  </si>
  <si>
    <t>Appui institutionnel aux collectivités locales</t>
  </si>
  <si>
    <t>Impôt du minimum fiscal</t>
  </si>
  <si>
    <t>Dividendes versés à l'Etat</t>
  </si>
  <si>
    <t>Contribution économique locale (CEL VA et CEL VL)</t>
  </si>
  <si>
    <t>DEEC</t>
  </si>
  <si>
    <t>Taxe superficiaire</t>
  </si>
  <si>
    <t>Taxe à la pollution</t>
  </si>
  <si>
    <t>Appui Institutionnel (Fonds d'appui au Mini. De l'Env.)</t>
  </si>
  <si>
    <t>DEFC</t>
  </si>
  <si>
    <t>Taxes d'abattage</t>
  </si>
  <si>
    <t>Cotisations sociales (y compris les pénalités)</t>
  </si>
  <si>
    <t>Paiements sociaux obligatoires (ii)</t>
  </si>
  <si>
    <t>U</t>
  </si>
  <si>
    <t>Paiements sociaux volontaires (ii)</t>
  </si>
  <si>
    <t>Autres Paiements/Revenus significatifs</t>
  </si>
  <si>
    <r>
      <t>ü</t>
    </r>
    <r>
      <rPr>
        <sz val="9"/>
        <color rgb="FF3B3838"/>
        <rFont val="Times New Roman"/>
        <family val="1"/>
      </rPr>
      <t xml:space="preserve">  </t>
    </r>
    <r>
      <rPr>
        <sz val="9"/>
        <color rgb="FF46362E"/>
        <rFont val="Kohinoor Devanagari"/>
      </rPr>
      <t xml:space="preserve"> </t>
    </r>
  </si>
  <si>
    <r>
      <t>ü</t>
    </r>
    <r>
      <rPr>
        <sz val="9"/>
        <color rgb="FF46362E"/>
        <rFont val="Times New Roman"/>
        <family val="1"/>
      </rPr>
      <t xml:space="preserve">  </t>
    </r>
    <r>
      <rPr>
        <sz val="9"/>
        <color rgb="FF46362E"/>
        <rFont val="Kohinoor Devanagari"/>
      </rPr>
      <t> </t>
    </r>
  </si>
  <si>
    <t>Flux de paiements en nature :</t>
  </si>
  <si>
    <t>Flux de paiements en numéraire :</t>
  </si>
  <si>
    <t>Tableau 17 : Liste des flux de paiement retenus dans le périmètre</t>
  </si>
  <si>
    <t>Feuille n°</t>
  </si>
  <si>
    <t>Donnée / Information</t>
  </si>
  <si>
    <t>Entités déclarantes</t>
  </si>
  <si>
    <t>Entreprises Extractives</t>
  </si>
  <si>
    <t>Entreprises d’Etat</t>
  </si>
  <si>
    <t>Régies Financières</t>
  </si>
  <si>
    <t>Fiche signalétique</t>
  </si>
  <si>
    <t>Contribution Economique</t>
  </si>
  <si>
    <t>Formulaire de déclaration</t>
  </si>
  <si>
    <t>Le détail des paiements</t>
  </si>
  <si>
    <t>Production</t>
  </si>
  <si>
    <t>Exportations</t>
  </si>
  <si>
    <t>Structure du Capital</t>
  </si>
  <si>
    <t>Bénéficiaires Effectifs</t>
  </si>
  <si>
    <t>Participation Publique</t>
  </si>
  <si>
    <r>
      <t>DGM</t>
    </r>
    <r>
      <rPr>
        <sz val="8"/>
        <color rgb="FF46362E"/>
        <rFont val="Calibri"/>
        <family val="2"/>
      </rPr>
      <t xml:space="preserve"> / </t>
    </r>
    <r>
      <rPr>
        <sz val="8"/>
        <color rgb="FF46362E"/>
        <rFont val="Kohinoor Devanagari"/>
      </rPr>
      <t>DGCPT</t>
    </r>
  </si>
  <si>
    <t>Transferts infranationaux</t>
  </si>
  <si>
    <t>Transaction de troc/projets intégrés</t>
  </si>
  <si>
    <t></t>
  </si>
  <si>
    <t>Prêts et subventions</t>
  </si>
  <si>
    <t>Dépenses quasi-fiscales</t>
  </si>
  <si>
    <t>Profit Oil Etat</t>
  </si>
  <si>
    <t>Procédure d'attribution et de transfert des licences</t>
  </si>
  <si>
    <t>Achats/ventes des matières premières</t>
  </si>
  <si>
    <t>Tableau 18 : récapitulatif du formulaire de déclaration</t>
  </si>
  <si>
    <t>No.</t>
  </si>
  <si>
    <t>Sociétés </t>
  </si>
  <si>
    <t>Déclarations initialement reçues</t>
  </si>
  <si>
    <t>Ajustements</t>
  </si>
  <si>
    <t>Montants après ajustements</t>
  </si>
  <si>
    <t>Sociétés</t>
  </si>
  <si>
    <t>Gouvernement</t>
  </si>
  <si>
    <t>Différence</t>
  </si>
  <si>
    <t>Fortesa International Senegal</t>
  </si>
  <si>
    <t xml:space="preserve">Kosmos Energy Senegal </t>
  </si>
  <si>
    <t xml:space="preserve">Oranto Petroleum </t>
  </si>
  <si>
    <t xml:space="preserve">Total E&amp;P Sénégal </t>
  </si>
  <si>
    <t>BP Sénégal Investments Limited</t>
  </si>
  <si>
    <t xml:space="preserve">Woodside Energy Senegal </t>
  </si>
  <si>
    <t xml:space="preserve"> Total </t>
  </si>
  <si>
    <t>La Société des Mines de Fer du Sénégal Oriental (MIFERSO)</t>
  </si>
  <si>
    <t>Société de Commercialisation du Ciment (SOCOCIM)</t>
  </si>
  <si>
    <t>Sabodala Gold Operations (SGO)</t>
  </si>
  <si>
    <t>Ciments du Sahel (CDS)</t>
  </si>
  <si>
    <t>Grande Côte Opérations (GCO)</t>
  </si>
  <si>
    <t>Société Sénégalaise des Phosphates de Thiès (SSPT)</t>
  </si>
  <si>
    <t>Industries Chimiques du Sénégal (ICS)</t>
  </si>
  <si>
    <t>Dangote Industries Sénégal SA (DANGOTE)</t>
  </si>
  <si>
    <t>Société Minière de la Vallée du fleuve Sénégal (SOMIVA)</t>
  </si>
  <si>
    <t>SORED Mines</t>
  </si>
  <si>
    <t>Iamgold BOTO</t>
  </si>
  <si>
    <t>G-PHOS SA</t>
  </si>
  <si>
    <t>Baobab Mining and Chemical Corp SA</t>
  </si>
  <si>
    <t>Agem Sénégal Exploration SUARL (AGEM)</t>
  </si>
  <si>
    <t>Sabodala Mining Company (SMC)</t>
  </si>
  <si>
    <t>Barrick Gold</t>
  </si>
  <si>
    <t>Sephos Senegal SA (SEPHOS)</t>
  </si>
  <si>
    <t>African Investment Group SA (AIG)</t>
  </si>
  <si>
    <t>Compagnie Générale d'Exploitation de Carrière (COGECA)</t>
  </si>
  <si>
    <t>Gécamines (GECAMINES)</t>
  </si>
  <si>
    <t>Talix Mines</t>
  </si>
  <si>
    <t>Taxes</t>
  </si>
  <si>
    <t>DMG</t>
  </si>
  <si>
    <t xml:space="preserve">Redevance minière </t>
  </si>
  <si>
    <t>Bonus (DMG)</t>
  </si>
  <si>
    <t>Redevance superficiaire</t>
  </si>
  <si>
    <t xml:space="preserve">Appui à la formation </t>
  </si>
  <si>
    <t xml:space="preserve">Revenus issus de la commercialisation de la Part de la production de l'État </t>
  </si>
  <si>
    <t xml:space="preserve">Appui institutionnel aux collectivités locales </t>
  </si>
  <si>
    <t xml:space="preserve">Impôt du minimum fiscal </t>
  </si>
  <si>
    <t xml:space="preserve">Dividendes versés à l'Etat </t>
  </si>
  <si>
    <t xml:space="preserve">Contribution économique locale (CEL VA et CEL VL) </t>
  </si>
  <si>
    <t>Impôt sur les sociétés (bénéfices non pétroliers/miniers )</t>
  </si>
  <si>
    <t xml:space="preserve">Taxe sur la valeur ajoutée </t>
  </si>
  <si>
    <t xml:space="preserve">Prélèvement communautaire solidaire UEMOA </t>
  </si>
  <si>
    <t xml:space="preserve">Prélèvement communautaire CEDEAO </t>
  </si>
  <si>
    <t xml:space="preserve">Prélèvement pour le Conseil Sénégalais des Chargeurs (COSEC) </t>
  </si>
  <si>
    <t xml:space="preserve">Taxe d'enregistrement des véhicules </t>
  </si>
  <si>
    <t xml:space="preserve">Appui Institutionnel (DEEC) </t>
  </si>
  <si>
    <t>DEFCCS</t>
  </si>
  <si>
    <t xml:space="preserve">Appui Institutionnel (Fonds d'appui au Mini. De l'Env) </t>
  </si>
  <si>
    <t xml:space="preserve">Cotisations sociales (y compris les pénalités) </t>
  </si>
  <si>
    <t>Cotisations sociales (y compris les pénalités)(IPRES)</t>
  </si>
  <si>
    <t xml:space="preserve">Autres </t>
  </si>
  <si>
    <t xml:space="preserve">Ajustements sur les déclarations des Sociétés Extractives </t>
  </si>
  <si>
    <t xml:space="preserve"> Total en FCFA  </t>
  </si>
  <si>
    <t>Taxes payées non reportées</t>
  </si>
  <si>
    <t>Taxes hors périmètre de réconciliation</t>
  </si>
  <si>
    <t>Taxes payées hors période de réconciliation</t>
  </si>
  <si>
    <t>Erreur de reporting (montant et détail)</t>
  </si>
  <si>
    <t>Différence de change</t>
  </si>
  <si>
    <t>Taxes payées sous un autre NINEA</t>
  </si>
  <si>
    <t xml:space="preserve">Ajustements pour les sociétés extractives </t>
  </si>
  <si>
    <t xml:space="preserve">Taxes payées non reportées </t>
  </si>
  <si>
    <t>Société</t>
  </si>
  <si>
    <t xml:space="preserve"> (594 064 037)</t>
  </si>
  <si>
    <t xml:space="preserve"> Total ajustements </t>
  </si>
  <si>
    <t>Taxes payées hors
périmètre de réconciliation</t>
  </si>
  <si>
    <t xml:space="preserve">Taxes payées hors période de réconciliation </t>
  </si>
  <si>
    <t>Erreur de reporting</t>
  </si>
  <si>
    <t xml:space="preserve">Société de Commercialisation du Ciment (SOCOCIM) </t>
  </si>
  <si>
    <t xml:space="preserve">Petowal Mining Company (PMC) SA </t>
  </si>
  <si>
    <t xml:space="preserve">Grande Côte Opérations (GCO) </t>
  </si>
  <si>
    <t xml:space="preserve">Sephos Senegal SA (SEPHOS) </t>
  </si>
  <si>
    <t xml:space="preserve">Sabodala Gold Operations (SGO) </t>
  </si>
  <si>
    <t xml:space="preserve">Ajustements pour les régies financières </t>
  </si>
  <si>
    <t>Ajustements sur les déclarations des régies financières</t>
  </si>
  <si>
    <t xml:space="preserve"> Total FCFA </t>
  </si>
  <si>
    <t>Taxes perçues hors de la période de réconciliation</t>
  </si>
  <si>
    <t>Montant doublement déclaré</t>
  </si>
  <si>
    <r>
      <t xml:space="preserve"> Total en FCFA</t>
    </r>
    <r>
      <rPr>
        <sz val="9"/>
        <color rgb="FF000000"/>
        <rFont val="Times New Roman"/>
        <family val="1"/>
      </rPr>
      <t> </t>
    </r>
    <r>
      <rPr>
        <b/>
        <sz val="9"/>
        <color rgb="FFFFFFFF"/>
        <rFont val="Kohinoor Devanagari"/>
      </rPr>
      <t xml:space="preserve"> </t>
    </r>
  </si>
  <si>
    <r>
      <t>Grande Côte Opérations (GCO)</t>
    </r>
    <r>
      <rPr>
        <b/>
        <sz val="9"/>
        <color rgb="FF000000"/>
        <rFont val="Kohinoor Devanagari"/>
      </rPr>
      <t xml:space="preserve"> </t>
    </r>
  </si>
  <si>
    <r>
      <t>Société des Pétroles du Sénégal (PETROSEN)</t>
    </r>
    <r>
      <rPr>
        <b/>
        <sz val="9"/>
        <color rgb="FF000000"/>
        <rFont val="Kohinoor Devanagari"/>
      </rPr>
      <t xml:space="preserve"> </t>
    </r>
  </si>
  <si>
    <r>
      <t>Société Minière de la Vallée du fleuve Sénégal (SOMIVA)</t>
    </r>
    <r>
      <rPr>
        <b/>
        <sz val="9"/>
        <color rgb="FF000000"/>
        <rFont val="Kohinoor Devanagari"/>
      </rPr>
      <t xml:space="preserve"> </t>
    </r>
  </si>
  <si>
    <r>
      <t>Gécamines (GECAMINES)</t>
    </r>
    <r>
      <rPr>
        <b/>
        <sz val="9"/>
        <color rgb="FF000000"/>
        <rFont val="Kohinoor Devanagari"/>
      </rPr>
      <t xml:space="preserve"> </t>
    </r>
  </si>
  <si>
    <r>
      <t>Compagnie Générale d'Exploitation de Carrière (COGECA)</t>
    </r>
    <r>
      <rPr>
        <b/>
        <sz val="9"/>
        <color rgb="FF000000"/>
        <rFont val="Kohinoor Devanagari"/>
      </rPr>
      <t xml:space="preserve"> </t>
    </r>
  </si>
  <si>
    <r>
      <t xml:space="preserve">Taxes payées par la Ste sur un autre NINEA non reporté par l'Etat </t>
    </r>
    <r>
      <rPr>
        <b/>
        <sz val="9"/>
        <color rgb="FF000000"/>
        <rFont val="Kohinoor Devanagari"/>
      </rPr>
      <t>(a)</t>
    </r>
  </si>
  <si>
    <r>
      <t xml:space="preserve">Taxes perçues non reportées par l'Etat </t>
    </r>
    <r>
      <rPr>
        <b/>
        <sz val="9"/>
        <color rgb="FF000000"/>
        <rFont val="Kohinoor Devanagari"/>
      </rPr>
      <t>(b)</t>
    </r>
  </si>
  <si>
    <r>
      <t xml:space="preserve">Erreur de reporting (montant et détail) </t>
    </r>
    <r>
      <rPr>
        <b/>
        <sz val="9"/>
        <color rgb="FF000000"/>
        <rFont val="Kohinoor Devanagari"/>
      </rPr>
      <t>(c)</t>
    </r>
  </si>
  <si>
    <t>Taxes perçues non reportées par l'Etat</t>
  </si>
  <si>
    <t>Taxes perçues non
reportées par l'Etat</t>
  </si>
  <si>
    <t>(297 231 176)</t>
  </si>
  <si>
    <t>Company</t>
  </si>
  <si>
    <t>Ecarts non
rapprochés</t>
  </si>
  <si>
    <t>Raisons des différences</t>
  </si>
  <si>
    <t>FD non soumis par la Société</t>
  </si>
  <si>
    <t>Taxes non reportées par l'Entreprise Extractive</t>
  </si>
  <si>
    <t>Taxes non reportées par l'Etat</t>
  </si>
  <si>
    <t>Montants non reportés par l'Etat</t>
  </si>
  <si>
    <t>Montants non reportés par la société</t>
  </si>
  <si>
    <t>Non significatif &lt; 500 000 FCFA</t>
  </si>
  <si>
    <t>AFRIGOLD SARL</t>
  </si>
  <si>
    <t xml:space="preserve">Total </t>
  </si>
  <si>
    <r>
      <t xml:space="preserve">Sabodala Gold Operations (SGO) </t>
    </r>
    <r>
      <rPr>
        <b/>
        <sz val="9"/>
        <color rgb="FF000000"/>
        <rFont val="Kohinoor Devanagari"/>
      </rPr>
      <t>(1)</t>
    </r>
  </si>
  <si>
    <r>
      <t xml:space="preserve">Grande Côte Opérations (GCO) </t>
    </r>
    <r>
      <rPr>
        <b/>
        <sz val="9"/>
        <color rgb="FF000000"/>
        <rFont val="Kohinoor Devanagari"/>
      </rPr>
      <t>(2)</t>
    </r>
  </si>
  <si>
    <r>
      <t xml:space="preserve">BP Sénégal Investments Limited </t>
    </r>
    <r>
      <rPr>
        <b/>
        <sz val="9"/>
        <color rgb="FF000000"/>
        <rFont val="Kohinoor Devanagari"/>
      </rPr>
      <t>(3)</t>
    </r>
  </si>
  <si>
    <r>
      <t xml:space="preserve">Petowal Mining Company (PMC) SA </t>
    </r>
    <r>
      <rPr>
        <b/>
        <sz val="9"/>
        <color rgb="FF000000"/>
        <rFont val="Kohinoor Devanagari"/>
      </rPr>
      <t>(4)</t>
    </r>
  </si>
  <si>
    <t>Écarts non rapprochés</t>
  </si>
  <si>
    <t>Société FORTESA</t>
  </si>
  <si>
    <t>Ecart</t>
  </si>
  <si>
    <t>Valeur estimée à la commercialisation</t>
  </si>
  <si>
    <t>Nm3</t>
  </si>
  <si>
    <t>4 446 906</t>
  </si>
  <si>
    <t>876 975 000</t>
  </si>
  <si>
    <t>2 404 501</t>
  </si>
  <si>
    <t>2 042 405</t>
  </si>
  <si>
    <t>Rapprochement de la production</t>
  </si>
  <si>
    <t xml:space="preserve">Secteur des hydrocarbures </t>
  </si>
  <si>
    <t>Rapprochement des exportations</t>
  </si>
  <si>
    <t>Pays</t>
  </si>
  <si>
    <t>Valeur en FCFA</t>
  </si>
  <si>
    <t xml:space="preserve">Ecart </t>
  </si>
  <si>
    <t xml:space="preserve"> Or </t>
  </si>
  <si>
    <t xml:space="preserve"> PMC </t>
  </si>
  <si>
    <t xml:space="preserve">AUSTRALIE </t>
  </si>
  <si>
    <t xml:space="preserve">SUISSE </t>
  </si>
  <si>
    <t>Total PMC</t>
  </si>
  <si>
    <t xml:space="preserve"> SGO </t>
  </si>
  <si>
    <t xml:space="preserve"> SOREDMINES </t>
  </si>
  <si>
    <t>FD N.C</t>
  </si>
  <si>
    <t xml:space="preserve"> Argent </t>
  </si>
  <si>
    <t>(374 908 490)</t>
  </si>
  <si>
    <t>(143 623 609)</t>
  </si>
  <si>
    <t xml:space="preserve"> ICS </t>
  </si>
  <si>
    <t xml:space="preserve"> INDE </t>
  </si>
  <si>
    <t xml:space="preserve"> Ciment  </t>
  </si>
  <si>
    <t xml:space="preserve"> CDS </t>
  </si>
  <si>
    <t xml:space="preserve"> BURKINA FASO </t>
  </si>
  <si>
    <t xml:space="preserve"> GAMBIE </t>
  </si>
  <si>
    <t xml:space="preserve"> GUINEE </t>
  </si>
  <si>
    <t xml:space="preserve"> GUINEE-BISSAU </t>
  </si>
  <si>
    <t xml:space="preserve"> MALI </t>
  </si>
  <si>
    <t xml:space="preserve"> MAURITANIE </t>
  </si>
  <si>
    <t xml:space="preserve"> ROYAUME-UNI </t>
  </si>
  <si>
    <t>Total CDS</t>
  </si>
  <si>
    <t xml:space="preserve"> DANGOTE </t>
  </si>
  <si>
    <t xml:space="preserve"> GUINEE BISSAU </t>
  </si>
  <si>
    <t xml:space="preserve"> BERMUDES </t>
  </si>
  <si>
    <t>Total DANGOTE</t>
  </si>
  <si>
    <t xml:space="preserve"> SOCOCIM </t>
  </si>
  <si>
    <t xml:space="preserve"> Guinée-Bissau </t>
  </si>
  <si>
    <t xml:space="preserve"> Mali </t>
  </si>
  <si>
    <t xml:space="preserve"> Gambie </t>
  </si>
  <si>
    <t xml:space="preserve"> Guinée </t>
  </si>
  <si>
    <t xml:space="preserve"> Mauritanie </t>
  </si>
  <si>
    <t xml:space="preserve"> Gabon </t>
  </si>
  <si>
    <t>Total SOCOCIM</t>
  </si>
  <si>
    <t xml:space="preserve"> Acide Phosphoriques </t>
  </si>
  <si>
    <t>Type</t>
  </si>
  <si>
    <t>Nombre</t>
  </si>
  <si>
    <t>Autorisation d'exploitation de carrières privées temporaires (AECPT)</t>
  </si>
  <si>
    <t>Autorisation de prospection (AP)</t>
  </si>
  <si>
    <t>Autorisation d’exploitation semi-mécanisée (AEMSM)</t>
  </si>
  <si>
    <t>Permis de recherche (PR)</t>
  </si>
  <si>
    <t>Autorisation d’exploitation de Petite Mine (AEPM)</t>
  </si>
  <si>
    <t>Tableau 19 : Nombre des titres miniers et autorisations octroyés de 2022</t>
  </si>
  <si>
    <t>AECPP</t>
  </si>
  <si>
    <t>AECPT</t>
  </si>
  <si>
    <t>AEHTR</t>
  </si>
  <si>
    <t>AEMSM</t>
  </si>
  <si>
    <t>PR</t>
  </si>
  <si>
    <t>AP</t>
  </si>
  <si>
    <t>AEPM</t>
  </si>
  <si>
    <t>CM</t>
  </si>
  <si>
    <t>CO</t>
  </si>
  <si>
    <t>PE</t>
  </si>
  <si>
    <t>Autre</t>
  </si>
  <si>
    <t>Tableau 20 : Nombre des titres miniers en 2022</t>
  </si>
  <si>
    <t>% Participation au 31/12/2022</t>
  </si>
  <si>
    <t xml:space="preserve">Observation </t>
  </si>
  <si>
    <t>Entreprise publique</t>
  </si>
  <si>
    <t>Participation libérée. 1% des parts restantes sont au BRGM (Serem-BRGM Consortium)</t>
  </si>
  <si>
    <t>SOMISEN</t>
  </si>
  <si>
    <t>Participation de l'Etat supérieur à 50% pendant toute la durée de vie de la société</t>
  </si>
  <si>
    <t>Entreprises titulaires d'une Concession</t>
  </si>
  <si>
    <t xml:space="preserve">Participation gratuite </t>
  </si>
  <si>
    <t>Participation gratuite</t>
  </si>
  <si>
    <t>Pas encore mise en œuvre car la création de la société intégrant cette participation de l’État est en cours</t>
  </si>
  <si>
    <t>Petowal Mining Company</t>
  </si>
  <si>
    <t xml:space="preserve">SOMIVA </t>
  </si>
  <si>
    <t>SERPM et l'Etat détiennent des actions à hauteur de 10%.</t>
  </si>
  <si>
    <t>SENEGAL MINES</t>
  </si>
  <si>
    <t>Entreprise titulaire de permis d'exploitation</t>
  </si>
  <si>
    <t>G PHOS</t>
  </si>
  <si>
    <t>Sephos Senegal SA</t>
  </si>
  <si>
    <t>IAMGOLD BOTO</t>
  </si>
  <si>
    <t>Tableau 21 : Participations directes de l’Etat dans les sociétés minières au 31 décembre 2022</t>
  </si>
  <si>
    <t xml:space="preserve">Le volume des transactions effectuées avec des fournisseurs locaux au titre de l’année 2022 </t>
  </si>
  <si>
    <t xml:space="preserve">Société </t>
  </si>
  <si>
    <t xml:space="preserve"> Paiements en FCFA </t>
  </si>
  <si>
    <t>Total des paiements aux fournisseurs locaux</t>
  </si>
  <si>
    <t xml:space="preserve"> Paiements
en FCFA </t>
  </si>
  <si>
    <t xml:space="preserve">Le volume des transactions effectuées avec des fournisseurs étrangers au titre de l’année 2022 </t>
  </si>
  <si>
    <t>Total des paiements aux fournisseurs étrangers</t>
  </si>
  <si>
    <t>Tableau 22 : Total des paiements des taxes environnementales par les sociétés minières en 2022</t>
  </si>
  <si>
    <t>Total des taxes environnementaux</t>
  </si>
  <si>
    <t>Tableau 23 : Total des paiements environnementaux par les sociétés minières en 2022</t>
  </si>
  <si>
    <t>Montant</t>
  </si>
  <si>
    <t>Total général des paiements environnementaux</t>
  </si>
  <si>
    <r>
      <t>8</t>
    </r>
    <r>
      <rPr>
        <b/>
        <sz val="9"/>
        <color rgb="FFFFFFFF"/>
        <rFont val="Calibri"/>
        <family val="2"/>
      </rPr>
      <t> </t>
    </r>
    <r>
      <rPr>
        <b/>
        <sz val="9"/>
        <color rgb="FFFFFFFF"/>
        <rFont val="Kohinoor Devanagari"/>
      </rPr>
      <t>315</t>
    </r>
    <r>
      <rPr>
        <b/>
        <sz val="9"/>
        <color rgb="FFFFFFFF"/>
        <rFont val="Calibri"/>
        <family val="2"/>
      </rPr>
      <t> </t>
    </r>
    <r>
      <rPr>
        <b/>
        <sz val="9"/>
        <color rgb="FFFFFFFF"/>
        <rFont val="Kohinoor Devanagari"/>
      </rPr>
      <t>741 964</t>
    </r>
  </si>
  <si>
    <t xml:space="preserve"> Société de Commercialisation du Ciment (SOCOCIM) </t>
  </si>
  <si>
    <t xml:space="preserve"> Petowal Mining Company (PMC) SA </t>
  </si>
  <si>
    <t xml:space="preserve"> Total Paiements Garantie de réhabilitation (en FCFA)</t>
  </si>
  <si>
    <t>Garantie de réhabilitation
versée à la CDC en FCFA</t>
  </si>
  <si>
    <t>Tableau 24 : Total des paiements à la CDC par les sociétés minières en 2022</t>
  </si>
  <si>
    <t>Avant l’opération</t>
  </si>
  <si>
    <t>BP</t>
  </si>
  <si>
    <t>Kosmos Energy</t>
  </si>
  <si>
    <t>Timis Corporation</t>
  </si>
  <si>
    <t>Février 2017</t>
  </si>
  <si>
    <t>Avril 2017</t>
  </si>
  <si>
    <t>Tableau 25 : les intérêts effectifs dans les blocs pétroliers</t>
  </si>
  <si>
    <t>Contrat</t>
  </si>
  <si>
    <t>Accord</t>
  </si>
  <si>
    <t>Zone d’exploitation</t>
  </si>
  <si>
    <t>Reste de la zone contractuelle</t>
  </si>
  <si>
    <t xml:space="preserve"> Woodside Energy Sénégal </t>
  </si>
  <si>
    <t xml:space="preserve"> PETROSEN </t>
  </si>
  <si>
    <t>Tableau 26 : les nouveaux pourcentages dans l’Accord d’Association pétrolier</t>
  </si>
  <si>
    <t>Année 2022</t>
  </si>
  <si>
    <t>Année 2021</t>
  </si>
  <si>
    <t>Année 2020</t>
  </si>
  <si>
    <t>Année 2019</t>
  </si>
  <si>
    <t>Année 2018</t>
  </si>
  <si>
    <t>Année 2017</t>
  </si>
  <si>
    <t>Année 2016</t>
  </si>
  <si>
    <t>GAZ</t>
  </si>
  <si>
    <t xml:space="preserve">Tableau 27 : la production totale du gaz </t>
  </si>
  <si>
    <t xml:space="preserve">Tableau 28 : les droits et obligations pour les titres pétroliers </t>
  </si>
  <si>
    <t>Titres</t>
  </si>
  <si>
    <t>Code pétrolier 1998</t>
  </si>
  <si>
    <t>Code pétrolier 2019</t>
  </si>
  <si>
    <t>Durée</t>
  </si>
  <si>
    <t>Droits conférés</t>
  </si>
  <si>
    <t>Autorisation de prospection</t>
  </si>
  <si>
    <t> 2 ans</t>
  </si>
  <si>
    <t>L’autorisation de prospection confère à son titulaire, dans les limites de son périmètre, le droit non exclusif d’exécuter des travaux préliminaires de prospection d’hydrocarbures, notamment par l’utilisation de méthodes géophysiques, géologiques et géochimiques, à l’exclusion des forages d’une profondeur supérieure à deux cents mètres.</t>
  </si>
  <si>
    <t>2 ans</t>
  </si>
  <si>
    <t>L’autorisation de prospection confère à son titulaire, dans les limites de son périmètre, le droit non exclusif d’exécuter des travaux préliminaires de prospection d’hydrocarbures, notamment par l’utilisation de méthodes géophysiques, géologiques et géochimiques, à l’exclusion des forages d’une profondeur supérieure à deux cents mètres. </t>
  </si>
  <si>
    <t>Permis de recherche</t>
  </si>
  <si>
    <t>Le permis de recherche d’hydrocarbures confère à son titulaire, dans les limites de son périmètre, le droit exclusif d’exécuter tous les travaux, y compris le forage, ayant pour objet la recherche et la mise en évidence de gisements d’hydrocarbures, conformément aux stipulations de la convention attachée audit permis.</t>
  </si>
  <si>
    <t>N/a</t>
  </si>
  <si>
    <t>Autorisation d’exploration</t>
  </si>
  <si>
    <t>L’autorisation d’exploration d’hydrocarbures confère à son titulaire, dans les limites de sa zone, le droit exclusif d’exécuter tous les travaux, y compris le forage, ayant pour objet la recherche et la mise en évidence de gisements d’hydrocarbures, conformément aux termes du contrat pétrolier attaché à ladite autorisation</t>
  </si>
  <si>
    <t>Autorisation d’exploitation provisoire</t>
  </si>
  <si>
    <t>Accordée pendant la durée de vie d’un permis de recherche, elle confère à son titulaire la possibilité d’exploiter à titre provisoire les puits productifs.</t>
  </si>
  <si>
    <t>6 mois </t>
  </si>
  <si>
    <t>Pendant la durée de validité d’une autorisation d’exploration, son titulaire peut, sur sa demande, être autorisé à exploiter à titre provisoire les puits productifs pour une période maximale de six (6) mois, pendant laquelle il poursuit la délimitation et le développement du gisement, conformément aux dispositions de l’article 23 du Code.</t>
  </si>
  <si>
    <t>Autorisation d’exploitation exclusive</t>
  </si>
  <si>
    <t>Concession d’exploitation</t>
  </si>
  <si>
    <t>25 ans extensible de 10 ans renouvelable une seule fois</t>
  </si>
  <si>
    <t>Elle confère à son titulaire, dans les limites de son périmètre, le droit exclusif d’effectuer toutes les opérations pétrolières, suivant les stipulations de la convention qui lui est attachée.</t>
  </si>
  <si>
    <t>2ans renouvelables 
2 fois pour des périodes de 3 ans</t>
  </si>
  <si>
    <t>20 ans renouvelables 
deux fois par décret pour des périodes de 10 ans </t>
  </si>
  <si>
    <t>L’autorisation exclusive d’exploitation d’hydrocarbures confère à son titulaire, dans les limites de sa zone, le droit exclusif d’effectuer toutes les opérations pétrolières, suivant les stipulations du contrat de partage de production qui lui est attaché. 
Le titulaire de l’autorisation exclusive d’exploitation est assujetti au paiement d’un bonus de production, non recouvrable au titre des coûts pétroliers et de l’impôt sur les sociétés, dont les conditions et modalités sont fixées dans le contrat de partage de production.</t>
  </si>
  <si>
    <t>2ans renouvelables 
deux fois par décret pour des périodes de 3 ans </t>
  </si>
  <si>
    <t xml:space="preserve"> Montant en FCFA </t>
  </si>
  <si>
    <t xml:space="preserve">Remboursements Halliburton </t>
  </si>
  <si>
    <t>Tableau 29 : Les transferts des entreprises pétrolières à PETROSEN au titre de 2022</t>
  </si>
  <si>
    <t xml:space="preserve"> TOTAL E&amp;P Senegal </t>
  </si>
  <si>
    <t xml:space="preserve">Le volume des transactions effectuées avec des fournisseurs locaux au titre de 2022 - Hydrocarbures </t>
  </si>
  <si>
    <t xml:space="preserve">Le volume des transactions effectuées avec des fournisseurs étrangers au titre de 2022 - Hydrocarbures  </t>
  </si>
  <si>
    <t xml:space="preserve">TOTAL E&amp;P Senegal </t>
  </si>
  <si>
    <t xml:space="preserve">Les paiements effectués par les sociétés du secteur minier au titre du fonds de réhabilitation en 2022 </t>
  </si>
  <si>
    <t xml:space="preserve">La variation entre les paiements de 2022 &amp; 2021 et les protocoles signés en 2021 </t>
  </si>
  <si>
    <t xml:space="preserve">Sociétés </t>
  </si>
  <si>
    <t>Saboda Gold Opérations</t>
  </si>
  <si>
    <t>Convention
signé en 2021 pour</t>
  </si>
  <si>
    <t>Tableau 30 : Les paiements infranationaux dans le secteur minier en 2022</t>
  </si>
  <si>
    <t>Paiements 2022</t>
  </si>
  <si>
    <t>Montant en FCFA</t>
  </si>
  <si>
    <t>Patentes</t>
  </si>
  <si>
    <t>Détails</t>
  </si>
  <si>
    <t>Tableau 31 : Les protocoles signés (FADL) en 2022</t>
  </si>
  <si>
    <t>Nature</t>
  </si>
  <si>
    <t>SYPROM SA</t>
  </si>
  <si>
    <t>PROTOCOLE</t>
  </si>
  <si>
    <t>SEN HMC SUARL (AFRIG)</t>
  </si>
  <si>
    <t>TALIX MINES SARL DAKAR (TETACAR) PERIMETRE DE BANDIA</t>
  </si>
  <si>
    <t>SOCIETE INDUSTRIELLE ET MINIERE SIM</t>
  </si>
  <si>
    <t>GIE MBGS</t>
  </si>
  <si>
    <t>AVENANT</t>
  </si>
  <si>
    <t>VAPROM AFRICA SA</t>
  </si>
  <si>
    <t>GH MINING SA</t>
  </si>
  <si>
    <t>GECAMINES SA</t>
  </si>
  <si>
    <t>ENTREPRISE MAPATHE DIOUCK</t>
  </si>
  <si>
    <t>Tableau 32 : Évaluation du Cadre de Contrôle et d’Audit au Sénégal</t>
  </si>
  <si>
    <t xml:space="preserve">Comptes publiés </t>
  </si>
  <si>
    <t xml:space="preserve">Rapports d’audit publiés </t>
  </si>
  <si>
    <t>Auditeur externe</t>
  </si>
  <si>
    <t xml:space="preserve">Normes comptables appliquées </t>
  </si>
  <si>
    <t>Audit des comptes (fréquence)</t>
  </si>
  <si>
    <t xml:space="preserve">Audit effectif régulier </t>
  </si>
  <si>
    <t>Normes d’audit appliquées</t>
  </si>
  <si>
    <t>Non*</t>
  </si>
  <si>
    <t>Oui</t>
  </si>
  <si>
    <t>Règles Comptables de l’OHADA</t>
  </si>
  <si>
    <t>Annuelle</t>
  </si>
  <si>
    <t>Non vérifié</t>
  </si>
  <si>
    <t xml:space="preserve">Non </t>
  </si>
  <si>
    <t>Non</t>
  </si>
  <si>
    <t xml:space="preserve">Régies financières </t>
  </si>
  <si>
    <t>Directive DN°07/2009/CM/UEMOA portant règlement général sur la comptabilité publique au sein de L’UEMOA</t>
  </si>
  <si>
    <t xml:space="preserve">Annuelle </t>
  </si>
  <si>
    <t>Normes internationales de l’INTOSAI</t>
  </si>
  <si>
    <t>Normes Internationales ISA</t>
  </si>
  <si>
    <t>Faible</t>
  </si>
  <si>
    <t>Elevé</t>
  </si>
  <si>
    <t>Moyen</t>
  </si>
  <si>
    <t>FORTESA</t>
  </si>
  <si>
    <t>Non (*)</t>
  </si>
  <si>
    <t>Oui/Non</t>
  </si>
  <si>
    <t>Déclarations des organismes collecteurs</t>
  </si>
  <si>
    <t>Total recettes
(Milliards de FCFA)</t>
  </si>
  <si>
    <t>Contribution dans
les paiements (%)</t>
  </si>
  <si>
    <t>Evaluation
de l’assurance</t>
  </si>
  <si>
    <t>Élevé</t>
  </si>
  <si>
    <t xml:space="preserve">Déclaration non signée et non attestée </t>
  </si>
  <si>
    <t>Évaluation global</t>
  </si>
  <si>
    <t xml:space="preserve">Déclaration signée mais non attestée (*) </t>
  </si>
  <si>
    <t xml:space="preserve">Déclaration signée et attestée </t>
  </si>
  <si>
    <t>Evaluation global</t>
  </si>
  <si>
    <t>Entité publique</t>
  </si>
  <si>
    <t>Total recettes</t>
  </si>
  <si>
    <t>(en milliards de FCFA)</t>
  </si>
  <si>
    <t>Direction générale de la Comptabilité publique et du Trésor (DGCPT) (*)</t>
  </si>
  <si>
    <t>Direction Des Eaux Et Forêts, Chasses Et Conservation Des Sols (DEFCCS)</t>
  </si>
  <si>
    <t>Déclaration
ITIE certifiée</t>
  </si>
  <si>
    <t>Déclaration
ITIE signée</t>
  </si>
  <si>
    <t>Comptes 2022
certifiés Annexés</t>
  </si>
  <si>
    <t>Total
paiements</t>
  </si>
  <si>
    <t>Évaluation
de l’assurance</t>
  </si>
  <si>
    <t>Montant en Millions de FCFA</t>
  </si>
  <si>
    <t xml:space="preserve"> Total secteur extractif </t>
  </si>
  <si>
    <t xml:space="preserve">Recettes budgétaires par secteur </t>
  </si>
  <si>
    <t>Recettes budgétaires par sociétés - Hydrocarbures</t>
  </si>
  <si>
    <t xml:space="preserve"> Total  </t>
  </si>
  <si>
    <t>Autres flux</t>
  </si>
  <si>
    <t>Recettes budgétaires par flux - Hydrocarbures</t>
  </si>
  <si>
    <t>TVA reversée</t>
  </si>
  <si>
    <t>Retenues à la source sur salaire</t>
  </si>
  <si>
    <t>IRVM</t>
  </si>
  <si>
    <t>Recettes budgétaires par flux - Minier</t>
  </si>
  <si>
    <t>Recettes budgétaires par sociétés - Minier</t>
  </si>
  <si>
    <t>Tableau 33 : Revenus budgétaires par organisme collecteur</t>
  </si>
  <si>
    <t>Direction générale de la Comptabilité publique et du Trésor (DGCPT)</t>
  </si>
  <si>
    <t xml:space="preserve">Paiements des entreprises - par secteur </t>
  </si>
  <si>
    <t>Paiements des entreprises - Hydrocarbures</t>
  </si>
  <si>
    <t>Paiements des entreprises - Minier</t>
  </si>
  <si>
    <t>Paiements des entreprises - Hydrocarbures - par flux</t>
  </si>
  <si>
    <t>Montant en
Millions de FCFA</t>
  </si>
  <si>
    <t xml:space="preserve">Autres flux </t>
  </si>
  <si>
    <t>Paiements des entreprises - Minier - par flux</t>
  </si>
  <si>
    <t>Organisme collecteur</t>
  </si>
  <si>
    <t>Autres Bénéficiaires (Paiements environnementaux)</t>
  </si>
  <si>
    <t>Institution de Prévoyance Retraite du Sénégal (IPRES)</t>
  </si>
  <si>
    <t>Autres Bénéficiaires (Paiements sociaux volontaires)</t>
  </si>
  <si>
    <t>Autres Bénéficiaires (Paiements sociaux obligatoires)</t>
  </si>
  <si>
    <t>La Société des pétroles du Sénégal (PETROSEN)</t>
  </si>
  <si>
    <t>Caisse des dépôts et Consignations</t>
  </si>
  <si>
    <t>Tableau 34 : Revenus globaux par organisme collecteur</t>
  </si>
  <si>
    <t>Tableau 35 : Etat de suivi de Reporting par projet (secteur des hydrocarbures)</t>
  </si>
  <si>
    <t>Paiements</t>
  </si>
  <si>
    <t>Exportation</t>
  </si>
  <si>
    <t xml:space="preserve"> Société des Pétroles du Sénégal (PETROSEN) </t>
  </si>
  <si>
    <t>N/A</t>
  </si>
  <si>
    <t xml:space="preserve"> Fortesa International Sénégal </t>
  </si>
  <si>
    <t xml:space="preserve"> Kosmos Energy Sénégal  </t>
  </si>
  <si>
    <t xml:space="preserve"> Oranto Petroleum  </t>
  </si>
  <si>
    <t xml:space="preserve">  TOTAL E&amp;P Sénégal  </t>
  </si>
  <si>
    <t xml:space="preserve"> BP SENEGAL INVESTMENTS LIMITED </t>
  </si>
  <si>
    <t>En partie</t>
  </si>
  <si>
    <t xml:space="preserve"> Woodside Energy Sénégal  </t>
  </si>
  <si>
    <t>Tableau 36 : Etat de suivi de Reporting par projet (secteur minier)</t>
  </si>
  <si>
    <t xml:space="preserve"> La Société des Mines de Fer du Sénégal Oriental (MIFERSO) </t>
  </si>
  <si>
    <t>NA</t>
  </si>
  <si>
    <t xml:space="preserve"> Sabodala Gold Operations (SGO) </t>
  </si>
  <si>
    <t xml:space="preserve"> Ciments du Sahel (CDS) </t>
  </si>
  <si>
    <t xml:space="preserve"> Grande Côte Opérations (GCO) </t>
  </si>
  <si>
    <t xml:space="preserve"> Société Sénégalaise des Phosphates de Thiès (SSPT) </t>
  </si>
  <si>
    <t xml:space="preserve"> Industries Chimiques du Sénégal (ICS) </t>
  </si>
  <si>
    <t xml:space="preserve"> Dangote Industries Sénégal SA (DANGOTE) </t>
  </si>
  <si>
    <t xml:space="preserve"> Société Minière de la Vallée du fleuve Sénégal (SOMIVA) </t>
  </si>
  <si>
    <t xml:space="preserve"> SORED Mines </t>
  </si>
  <si>
    <t xml:space="preserve"> IAMGOLD BOTO SA </t>
  </si>
  <si>
    <t xml:space="preserve"> G-PHOS SA</t>
  </si>
  <si>
    <t xml:space="preserve"> Agem Sénégal Exploration SUARL (AGEM) </t>
  </si>
  <si>
    <t xml:space="preserve"> Sabodala Mining Company (SMC) </t>
  </si>
  <si>
    <t xml:space="preserve"> Sephos Sénégal SA (SEPHOS) </t>
  </si>
  <si>
    <t xml:space="preserve"> African Investment Group SA (AIG) </t>
  </si>
  <si>
    <t xml:space="preserve"> Compagnie Générale d’Exploitation de Carrière (COGECA) </t>
  </si>
  <si>
    <t xml:space="preserve"> Gécamines (GECAMINES)</t>
  </si>
  <si>
    <t xml:space="preserve"> Talix Mines </t>
  </si>
  <si>
    <t>Tableau 37 : Paiements par projet déclarés par les sociétés pétrolières du périmètre</t>
  </si>
  <si>
    <t>Paiements déclarés par projet en Millions de FCFA</t>
  </si>
  <si>
    <t>Total paiements déclarés en Millions de FCFA</t>
  </si>
  <si>
    <t>% déclaration par projet</t>
  </si>
  <si>
    <t>CAYAR ET ST LOUIS</t>
  </si>
  <si>
    <t>Cayar Ofshore Profond</t>
  </si>
  <si>
    <t>UDO North</t>
  </si>
  <si>
    <t>RSSD</t>
  </si>
  <si>
    <t>DIENDER</t>
  </si>
  <si>
    <t>Cayar Profond</t>
  </si>
  <si>
    <t>GTA</t>
  </si>
  <si>
    <t>DAORALA</t>
  </si>
  <si>
    <t>NOUMOUFOUKHA</t>
  </si>
  <si>
    <t>SENALA</t>
  </si>
  <si>
    <t>DIACK/BANDIA</t>
  </si>
  <si>
    <t>Boto</t>
  </si>
  <si>
    <t>MAKO</t>
  </si>
  <si>
    <t>Massawa</t>
  </si>
  <si>
    <t>DIALACOTO</t>
  </si>
  <si>
    <t>NGOUNDIANE</t>
  </si>
  <si>
    <t>RUFISQUE</t>
  </si>
  <si>
    <t>Non communiquée</t>
  </si>
  <si>
    <t>Tableau 38 : Paiements par projet déclarés par les sociétés minières</t>
  </si>
  <si>
    <t>Tableau 39 : Répartition des revenus budgétaires au Sénégal (2022)</t>
  </si>
  <si>
    <t>Indicateurs (En milliards de FCFA)</t>
  </si>
  <si>
    <t>Contribution en %</t>
  </si>
  <si>
    <t xml:space="preserve">Recettes totales </t>
  </si>
  <si>
    <t>Recettes fiscales</t>
  </si>
  <si>
    <t xml:space="preserve">Dont : </t>
  </si>
  <si>
    <t>Recettes fiscales du secteur extractif (*)</t>
  </si>
  <si>
    <t>Recettes fiscales hors secteur extractif</t>
  </si>
  <si>
    <t>Autres recettes fiscales</t>
  </si>
  <si>
    <t>Dons</t>
  </si>
  <si>
    <t>Autres recettes</t>
  </si>
  <si>
    <t>Tableau 40 : Contribution des revenus budgétaires du secteur extractif dans les recettes totales du pays</t>
  </si>
  <si>
    <t>Variation</t>
  </si>
  <si>
    <t>Revenus du secteur extractif encaissés au budget</t>
  </si>
  <si>
    <t xml:space="preserve">Recettes du secteur des hydrocarbures </t>
  </si>
  <si>
    <t xml:space="preserve">Recettes du secteur minier </t>
  </si>
  <si>
    <t>Contribution Secteur extractif</t>
  </si>
  <si>
    <t>Tableau 41 : Contribution des recettes budgétaires du secteur extractif dans le PIB</t>
  </si>
  <si>
    <t>Valeur ajoutée des industries extractives</t>
  </si>
  <si>
    <t xml:space="preserve">Contribution </t>
  </si>
  <si>
    <t>Tableau 42 : Contribution du secteur extractif dans les exportations du pays</t>
  </si>
  <si>
    <t>Contribution 2022 en %</t>
  </si>
  <si>
    <t>Contribution 2021 en %</t>
  </si>
  <si>
    <t>Exportations du secteur extractif</t>
  </si>
  <si>
    <t>Total des exportations pays</t>
  </si>
  <si>
    <t>Tableau 43 : Détail de l’emploi désagrégé par genre et par qualification</t>
  </si>
  <si>
    <t>Ressources humaines</t>
  </si>
  <si>
    <t>Qualification</t>
  </si>
  <si>
    <t>Effectifs</t>
  </si>
  <si>
    <t xml:space="preserve">des Nationaux </t>
  </si>
  <si>
    <t>Effectifs des</t>
  </si>
  <si>
    <t>Non nationaux</t>
  </si>
  <si>
    <t>Total Général</t>
  </si>
  <si>
    <t>H</t>
  </si>
  <si>
    <t>F</t>
  </si>
  <si>
    <t>Personnel de l'entreprise</t>
  </si>
  <si>
    <t>Cadres supérieurs</t>
  </si>
  <si>
    <t>Techniciens supérieurs et cadres moyens</t>
  </si>
  <si>
    <t>Techniciens, Agents de maitrise et ouvriers qualifiés</t>
  </si>
  <si>
    <t>Employés, manœuvres, ouvriers, apprentis</t>
  </si>
  <si>
    <t>Personnel Extérieur</t>
  </si>
  <si>
    <t>Permanent</t>
  </si>
  <si>
    <t>Contractuel</t>
  </si>
  <si>
    <t>Total Masse
Salariale (FCFA)</t>
  </si>
  <si>
    <t>Tableau 44 : Contribution du secteur extractif dans l’emploi</t>
  </si>
  <si>
    <t xml:space="preserve">Indicateurs </t>
  </si>
  <si>
    <t>Secteur des hydrocarbures (données ITIE)</t>
  </si>
  <si>
    <t>Secteur Minier (données ITIE)</t>
  </si>
  <si>
    <t>Total secteur extractif (*)</t>
  </si>
  <si>
    <t>% de contribution direct du secteur extractif</t>
  </si>
  <si>
    <t>Total population active 2022</t>
  </si>
  <si>
    <t>Tableau 45 : Détail des productions du secteur des hydrocarbures</t>
  </si>
  <si>
    <t>Tableau 46 : Détail des productions de 2022</t>
  </si>
  <si>
    <t>Tableau 47 : Détail des exportations et ventes locales du secteur minier</t>
  </si>
  <si>
    <t>Tableau 48 : Détail des dépenses sociales par société</t>
  </si>
  <si>
    <t>Paiements
sociaux obligatoires</t>
  </si>
  <si>
    <t>Paiements
sociaux volontaires</t>
  </si>
  <si>
    <t>Total des 
paiements sociaux</t>
  </si>
  <si>
    <t>Total des paiements sociaux</t>
  </si>
  <si>
    <t>Tableau 49 : Détail des dépenses environnementales par société</t>
  </si>
  <si>
    <t xml:space="preserve">Industries Chimiques du Sénégal (ICS) </t>
  </si>
  <si>
    <t>Tableau 50 :  Analyse des autres paiements/recettes significatifs</t>
  </si>
  <si>
    <t>Régie</t>
  </si>
  <si>
    <t>Paiement à la Caisse des Dépôts et Consignations (fonds de réhabilitation des sites miniers)
Ce fonds est destiné à couvrir les coûts de la mise en œuvre du plan de gestion environnemental</t>
  </si>
  <si>
    <t>La "TAXE D'EXHAURE" au Sénégal : c'est un impôt levé sur l'utilisation des ressources en eau, notamment pour les usagers du Fleuve Sénégal et du Lac de Guiers.
Cette taxe est utilisée pour financer la gestion des ressources en eau et leur utilisation – flux hors périmètre</t>
  </si>
  <si>
    <t>Il s’agit de droits d’enregistrement (payés à la DGID), relatif à l’enregistrement de conventions réglementées (contrat de cession) de SGO</t>
  </si>
  <si>
    <t>Remboursement PETROSEN / Halliburton</t>
  </si>
  <si>
    <t xml:space="preserve">Transaction pécuniaire </t>
  </si>
  <si>
    <t xml:space="preserve">Taxe Acompte BIC + taxe intérieur </t>
  </si>
  <si>
    <t>GECAMINE</t>
  </si>
  <si>
    <t>TSVPPM : La Taxe Spéciale sur les Voitures Particulières des Personnes Morales</t>
  </si>
  <si>
    <t>Taxe Acompte BIC</t>
  </si>
  <si>
    <t xml:space="preserve">Total E&amp;P </t>
  </si>
  <si>
    <t>Tableau 1 : Total des revenus du secteur extractif par secteur en 2022</t>
  </si>
  <si>
    <t>Tableau 2 : Evolution des revenus (hors paiements sociaux, environnementaux et garanties de la réhabilitation) du secteur extractif 2017-2022</t>
  </si>
  <si>
    <t>Tableau 3 : Affectation des revenus du secteur extractif 2021-2022</t>
  </si>
  <si>
    <t>Tableau 4 : Détail des revenus du secteur extractif par origine en 2022</t>
  </si>
  <si>
    <t>Tableau 5 : Revenus des Entreprises de l’Etat dans le secteur extractif en 2022</t>
  </si>
  <si>
    <t>Tableau 6 : Etat des recettes recouvrées sur le compte du Trésor 2021-2022</t>
  </si>
  <si>
    <t>Tableau 8 : État récapitulatif des productions du secteur minier par substance</t>
  </si>
  <si>
    <t>Tableau 12 : Contribution du secteur extractif dans l’économie</t>
  </si>
  <si>
    <t>Tableau 13 : État récapitulatif des écarts de rapprochement des flux de paiement en numéraire</t>
  </si>
  <si>
    <t>Tableau 15 : Liste des sociétés retenues dans le périmètre de rapprochement du secteur minier</t>
  </si>
  <si>
    <t>Tableau 16 : Liste des organismes collecteurs retenus dans le périmètre</t>
  </si>
  <si>
    <t>Tableau 27 : la production totale du gaz</t>
  </si>
  <si>
    <t>Tableau 28 : les droits et obligations pour les titres pétroliers</t>
  </si>
  <si>
    <t>Tableau 29 : Les transferts des entreprises pétrolières à PETROSEN au titre de 2022</t>
  </si>
  <si>
    <t>Tableau 30 : Les paiements infranationaux dans le secteur minier en 2022</t>
  </si>
  <si>
    <t>Tableau 31 : Les protocoles signés (FADL) en 2022</t>
  </si>
  <si>
    <t>Tableau 32 : Évaluation du Cadre de Contrôle et d’Audit au Sénégal</t>
  </si>
  <si>
    <t>Tableau 33 : Revenus budgétaires par organisme collecteur</t>
  </si>
  <si>
    <t>Tableau 34 : Revenus globaux par organisme collecteur</t>
  </si>
  <si>
    <t>Tableau 35 : Etat de suivi de Reporting par projet (secteur des hydrocarbures)</t>
  </si>
  <si>
    <t>Tableau 36 : Etat de suivi de Reporting par projet (secteur minier)</t>
  </si>
  <si>
    <t>Tableau 37 : Paiements par projet déclarés par les sociétés pétrolières du périmètre</t>
  </si>
  <si>
    <t>Tableau 38 : Paiements par projet déclarés par les sociétés minières</t>
  </si>
  <si>
    <t>Tableau 39 : Répartition des revenus budgétaires au Sénégal (2022)</t>
  </si>
  <si>
    <t>Tableau 40 : Contribution des revenus budgétaires du secteur extractif dans les recettes totales du pays</t>
  </si>
  <si>
    <t>Tableau 41 : Contribution des recettes budgétaires du secteur extractif dans le PIB</t>
  </si>
  <si>
    <t>Tableau 42 : Contribution du secteur extractif dans les exportations du pays</t>
  </si>
  <si>
    <t>Tableau 43 : Détail de l’emploi désagrégé par genre et par qualification</t>
  </si>
  <si>
    <t>Tableau 44 : Contribution du secteur extractif dans l’emploi</t>
  </si>
  <si>
    <t>Tableau 45 : Détail des productions du secteur des hydrocarbures</t>
  </si>
  <si>
    <t>Tableau 46 : Détail des productions de 2022</t>
  </si>
  <si>
    <t>Tableau 47 : Détail des exportations et ventes locales du secteur minier</t>
  </si>
  <si>
    <t>Tableau 48 : Détail des dépenses sociales par société</t>
  </si>
  <si>
    <t>Tableau 49 : Détail des dépenses environnementales par société</t>
  </si>
  <si>
    <t>Tableau 50 :  Analyse des autres paiements/recettes significatifs</t>
  </si>
  <si>
    <t>Section 3.3 : Résultats des travaux de rapprochement</t>
  </si>
  <si>
    <t>Section 4.1.11 : Dépenses sociales et contenu local</t>
  </si>
  <si>
    <t xml:space="preserve">Section 4.2.9 : Dépenses sociales et contenu local </t>
  </si>
  <si>
    <t>Section 4.4.8 : Affectation et transferts des revenus extractifs</t>
  </si>
  <si>
    <t>Section 4.5.6 : Exhaustivité et fiabilité des données reportées</t>
  </si>
  <si>
    <t xml:space="preserve">Section 5.1.1 : Revenus budgétaires par secteur </t>
  </si>
  <si>
    <t>Section 5.2.1 : Paiements des Entreprises par Secteur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</si>
</sst>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 #,##0.00_-;_-* &quot;-&quot;??_-;_-@_-"/>
    <numFmt numFmtId="164" formatCode="_-* #,##0_-;\-* #,##0_-;_-* &quot;-&quot;??_-;_-@_-"/>
    <numFmt numFmtId="165" formatCode="_-* #,##0.000_-;\-* #,##0.000_-;_-* &quot;-&quot;??_-;_-@_-"/>
    <numFmt numFmtId="166" formatCode="_-* #,##0.0000_-;\-* #,##0.0000_-;_-* &quot;-&quot;??_-;_-@_-"/>
    <numFmt numFmtId="167" formatCode="_(* #,##0.00_);_(* \(#,##0.00\);_(* &quot;-&quot;??_);_(@_)"/>
    <numFmt numFmtId="168" formatCode="#,##0_);\(&quot;&quot;#,##0\);_-* &quot;-&quot;??_-;_-@_-"/>
    <numFmt numFmtId="169" formatCode="#,##0_ ;[Red]\-#,##0\ "/>
    <numFmt numFmtId="170" formatCode="_-* #,##0\ _€_-;\-* #,##0\ _€_-;_-* &quot;-&quot;??\ _€_-;_-@_-"/>
    <numFmt numFmtId="171" formatCode="_(* #,##0_);_(* \(#,##0\);_(* &quot;-&quot;??_);_(@_)"/>
    <numFmt numFmtId="172" formatCode="_-* #,##0.000\ _€_-;\-* #,##0.000\ _€_-;_-* &quot;-&quot;??\ _€_-;_-@_-"/>
    <numFmt numFmtId="173" formatCode="_-* #,##0.0000_-;\(#,###.0000\);_-* &quot;-&quot;??_-;_-@_-"/>
    <numFmt numFmtId="174" formatCode="_-* #,##0_-;\(#,###\);_-* &quot;-&quot;??_-;_-@_-"/>
    <numFmt numFmtId="175" formatCode="_-* #,##0.0000\ _€_-;\-* #,##0.0000\ _€_-;_-* &quot;-&quot;??\ _€_-;_-@_-"/>
  </numFmts>
  <fonts count="54" x14ac:knownFonts="1">
    <font>
      <sz val="11"/>
      <color theme="1"/>
      <name val="Calibri"/>
      <family val="2"/>
      <scheme val="minor"/>
    </font>
    <font>
      <sz val="11"/>
      <color theme="1"/>
      <name val="Calibri"/>
      <family val="2"/>
      <scheme val="minor"/>
    </font>
    <font>
      <b/>
      <sz val="8"/>
      <color rgb="FFFFFFFF"/>
      <name val="Kohinoor Devanagari"/>
    </font>
    <font>
      <sz val="8"/>
      <color rgb="FF3B3838"/>
      <name val="Kohinoor Devanagari"/>
    </font>
    <font>
      <sz val="10"/>
      <name val="Arial"/>
      <family val="2"/>
    </font>
    <font>
      <b/>
      <sz val="10"/>
      <color rgb="FFFFFFFF"/>
      <name val="Kohinoor Devanagari"/>
    </font>
    <font>
      <sz val="10"/>
      <color theme="1"/>
      <name val="Kohinoor Devanagari"/>
    </font>
    <font>
      <b/>
      <sz val="9"/>
      <color rgb="FFFFFFFF"/>
      <name val="Kohinoor Devanagari"/>
    </font>
    <font>
      <sz val="9"/>
      <color theme="1"/>
      <name val="Kohinoor Devanagari"/>
    </font>
    <font>
      <sz val="9"/>
      <color rgb="FF3B3838"/>
      <name val="Kohinoor Devanagari"/>
    </font>
    <font>
      <i/>
      <sz val="9"/>
      <color rgb="FF3B3838"/>
      <name val="Kohinoor Devanagari"/>
    </font>
    <font>
      <sz val="8"/>
      <color theme="1"/>
      <name val="Kohinoor Devanagari"/>
    </font>
    <font>
      <b/>
      <u/>
      <sz val="9"/>
      <color theme="1"/>
      <name val="Kohinoor Devanagari"/>
    </font>
    <font>
      <b/>
      <sz val="9"/>
      <color rgb="FF3B3838"/>
      <name val="Kohinoor Devanagari"/>
    </font>
    <font>
      <sz val="9"/>
      <color rgb="FF000000"/>
      <name val="Kohinoor Devanagari"/>
    </font>
    <font>
      <sz val="8"/>
      <name val="Kohinoor Devanagari"/>
    </font>
    <font>
      <sz val="9"/>
      <name val="Kohinoor Devanagari"/>
    </font>
    <font>
      <b/>
      <sz val="9"/>
      <color theme="1"/>
      <name val="Kohinoor Devanagari"/>
    </font>
    <font>
      <b/>
      <sz val="8"/>
      <color rgb="FF46362E"/>
      <name val="Kohinoor Devanagari"/>
    </font>
    <font>
      <sz val="8"/>
      <color rgb="FF46362E"/>
      <name val="Kohinoor Devanagari"/>
    </font>
    <font>
      <sz val="8"/>
      <color rgb="FF404040"/>
      <name val="Kohinoor Devanagari"/>
    </font>
    <font>
      <sz val="9"/>
      <color rgb="FF404040"/>
      <name val="Kohinoor Devanagari"/>
    </font>
    <font>
      <b/>
      <sz val="9"/>
      <color theme="0"/>
      <name val="Kohinoor Devanagari"/>
    </font>
    <font>
      <b/>
      <u/>
      <sz val="10"/>
      <color theme="1"/>
      <name val="Kohinoor Devanagari"/>
    </font>
    <font>
      <sz val="10"/>
      <color rgb="FF404040"/>
      <name val="Kohinoor Devanagari"/>
    </font>
    <font>
      <sz val="9"/>
      <color rgb="FF46362E"/>
      <name val="Kohinoor Devanagari"/>
    </font>
    <font>
      <sz val="9"/>
      <color rgb="FFFFFFFF"/>
      <name val="Kohinoor Devanagari"/>
    </font>
    <font>
      <b/>
      <i/>
      <sz val="9"/>
      <color rgb="FF46362E"/>
      <name val="Kohinoor Devanagari"/>
    </font>
    <font>
      <sz val="8"/>
      <color rgb="FF46362E"/>
      <name val="Wingdings"/>
      <charset val="2"/>
    </font>
    <font>
      <sz val="7"/>
      <color rgb="FF46362E"/>
      <name val="Times New Roman"/>
      <family val="1"/>
    </font>
    <font>
      <sz val="10"/>
      <color rgb="FF46362E"/>
      <name val="Kohinoor Devanagari"/>
    </font>
    <font>
      <sz val="10"/>
      <color rgb="FF46362E"/>
      <name val="Wingdings"/>
      <charset val="2"/>
    </font>
    <font>
      <sz val="10"/>
      <color rgb="FF46362E"/>
      <name val="Times New Roman"/>
      <family val="1"/>
    </font>
    <font>
      <sz val="10"/>
      <color rgb="FF404040"/>
      <name val="Wingdings"/>
      <charset val="2"/>
    </font>
    <font>
      <sz val="10"/>
      <color rgb="FF404040"/>
      <name val="Times New Roman"/>
      <family val="1"/>
    </font>
    <font>
      <sz val="9"/>
      <color theme="1"/>
      <name val="Trebuchet MS"/>
      <family val="2"/>
    </font>
    <font>
      <sz val="9"/>
      <color rgb="FF3B3838"/>
      <name val="Wingdings"/>
      <charset val="2"/>
    </font>
    <font>
      <sz val="9"/>
      <color rgb="FF3B3838"/>
      <name val="Times New Roman"/>
      <family val="1"/>
    </font>
    <font>
      <sz val="9"/>
      <color rgb="FF46362E"/>
      <name val="Wingdings"/>
      <charset val="2"/>
    </font>
    <font>
      <sz val="9"/>
      <color rgb="FF46362E"/>
      <name val="Times New Roman"/>
      <family val="1"/>
    </font>
    <font>
      <i/>
      <u/>
      <sz val="9"/>
      <color theme="1"/>
      <name val="Kohinoor Devanagari"/>
    </font>
    <font>
      <sz val="8"/>
      <color rgb="FF46362E"/>
      <name val="Calibri"/>
      <family val="2"/>
    </font>
    <font>
      <sz val="10"/>
      <color theme="1"/>
      <name val="Arial"/>
      <family val="2"/>
    </font>
    <font>
      <b/>
      <sz val="9"/>
      <name val="Kohinoor Devanagari"/>
    </font>
    <font>
      <i/>
      <u/>
      <sz val="9"/>
      <name val="Kohinoor Devanagari"/>
    </font>
    <font>
      <sz val="9"/>
      <color rgb="FF000000"/>
      <name val="Times New Roman"/>
      <family val="1"/>
    </font>
    <font>
      <b/>
      <sz val="9"/>
      <color rgb="FF000000"/>
      <name val="Kohinoor Devanagari"/>
    </font>
    <font>
      <b/>
      <i/>
      <u/>
      <sz val="9"/>
      <color rgb="FFFF0000"/>
      <name val="Kohinoor Devanagari"/>
    </font>
    <font>
      <b/>
      <sz val="8"/>
      <color rgb="FF404040"/>
      <name val="Kohinoor Devanagari"/>
    </font>
    <font>
      <b/>
      <sz val="9"/>
      <color rgb="FF404040"/>
      <name val="Kohinoor Devanagari"/>
    </font>
    <font>
      <b/>
      <sz val="9"/>
      <color rgb="FFFFFFFF"/>
      <name val="Calibri"/>
      <family val="2"/>
    </font>
    <font>
      <sz val="9"/>
      <color theme="1"/>
      <name val="Calibri"/>
      <family val="2"/>
      <scheme val="minor"/>
    </font>
    <font>
      <vertAlign val="superscript"/>
      <sz val="9"/>
      <color rgb="FF46362E"/>
      <name val="Trebuchet MS"/>
      <family val="2"/>
    </font>
    <font>
      <b/>
      <sz val="9"/>
      <color rgb="FF46362E"/>
      <name val="Kohinoor Devanagari"/>
    </font>
  </fonts>
  <fills count="17">
    <fill>
      <patternFill patternType="none"/>
    </fill>
    <fill>
      <patternFill patternType="gray125"/>
    </fill>
    <fill>
      <patternFill patternType="solid">
        <fgColor rgb="FF657C91"/>
        <bgColor indexed="64"/>
      </patternFill>
    </fill>
    <fill>
      <patternFill patternType="solid">
        <fgColor rgb="FFA3E7E1"/>
        <bgColor indexed="64"/>
      </patternFill>
    </fill>
    <fill>
      <patternFill patternType="solid">
        <fgColor rgb="FF22847C"/>
        <bgColor indexed="64"/>
      </patternFill>
    </fill>
    <fill>
      <patternFill patternType="solid">
        <fgColor rgb="FFD9D9D9"/>
        <bgColor indexed="64"/>
      </patternFill>
    </fill>
    <fill>
      <patternFill patternType="solid">
        <fgColor rgb="FFA9ECEF"/>
        <bgColor indexed="64"/>
      </patternFill>
    </fill>
    <fill>
      <patternFill patternType="solid">
        <fgColor theme="0"/>
        <bgColor indexed="64"/>
      </patternFill>
    </fill>
    <fill>
      <patternFill patternType="solid">
        <fgColor rgb="FF218F8B"/>
        <bgColor indexed="64"/>
      </patternFill>
    </fill>
    <fill>
      <patternFill patternType="solid">
        <fgColor rgb="FF18738A"/>
        <bgColor indexed="64"/>
      </patternFill>
    </fill>
    <fill>
      <patternFill patternType="solid">
        <fgColor rgb="FFA4E7E1"/>
        <bgColor indexed="64"/>
      </patternFill>
    </fill>
    <fill>
      <patternFill patternType="solid">
        <fgColor rgb="FFFFFFFF"/>
        <bgColor indexed="64"/>
      </patternFill>
    </fill>
    <fill>
      <patternFill patternType="solid">
        <fgColor rgb="FF20A09A"/>
        <bgColor indexed="64"/>
      </patternFill>
    </fill>
    <fill>
      <patternFill patternType="solid">
        <fgColor theme="1" tint="0.59999389629810485"/>
        <bgColor indexed="64"/>
      </patternFill>
    </fill>
    <fill>
      <patternFill patternType="solid">
        <fgColor rgb="FFF2DCDB"/>
        <bgColor indexed="64"/>
      </patternFill>
    </fill>
    <fill>
      <patternFill patternType="solid">
        <fgColor rgb="FFA4ECE1"/>
        <bgColor indexed="64"/>
      </patternFill>
    </fill>
    <fill>
      <patternFill patternType="solid">
        <fgColor rgb="FF404040"/>
        <bgColor indexed="64"/>
      </patternFill>
    </fill>
  </fills>
  <borders count="80">
    <border>
      <left/>
      <right/>
      <top/>
      <bottom/>
      <diagonal/>
    </border>
    <border>
      <left style="dotted">
        <color auto="1"/>
      </left>
      <right style="dotted">
        <color auto="1"/>
      </right>
      <top style="dotted">
        <color auto="1"/>
      </top>
      <bottom style="dotted">
        <color auto="1"/>
      </bottom>
      <diagonal/>
    </border>
    <border>
      <left/>
      <right style="medium">
        <color rgb="FFFF0000"/>
      </right>
      <top/>
      <bottom style="medium">
        <color rgb="FFFF0000"/>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bottom style="medium">
        <color rgb="FFFF0000"/>
      </bottom>
      <diagonal/>
    </border>
    <border>
      <left/>
      <right style="medium">
        <color rgb="FFFF0000"/>
      </right>
      <top/>
      <bottom/>
      <diagonal/>
    </border>
    <border>
      <left style="medium">
        <color rgb="FFFF0000"/>
      </left>
      <right/>
      <top/>
      <bottom/>
      <diagonal/>
    </border>
    <border>
      <left style="medium">
        <color rgb="FFFF0000"/>
      </left>
      <right/>
      <top/>
      <bottom style="medium">
        <color rgb="FFFF0000"/>
      </bottom>
      <diagonal/>
    </border>
    <border>
      <left/>
      <right/>
      <top/>
      <bottom style="medium">
        <color rgb="FFFFFFFF"/>
      </bottom>
      <diagonal/>
    </border>
    <border>
      <left/>
      <right/>
      <top style="medium">
        <color rgb="FFFF0000"/>
      </top>
      <bottom/>
      <diagonal/>
    </border>
    <border>
      <left/>
      <right/>
      <top style="medium">
        <color rgb="FFFFFFFF"/>
      </top>
      <bottom style="medium">
        <color rgb="FFFF0000"/>
      </bottom>
      <diagonal/>
    </border>
    <border>
      <left/>
      <right/>
      <top/>
      <bottom style="thin">
        <color theme="0"/>
      </bottom>
      <diagonal/>
    </border>
    <border>
      <left/>
      <right/>
      <top style="thin">
        <color theme="0"/>
      </top>
      <bottom/>
      <diagonal/>
    </border>
    <border>
      <left/>
      <right/>
      <top/>
      <bottom style="thick">
        <color rgb="FFC00000"/>
      </bottom>
      <diagonal/>
    </border>
    <border>
      <left style="dotted">
        <color auto="1"/>
      </left>
      <right style="dotted">
        <color auto="1"/>
      </right>
      <top style="dotted">
        <color auto="1"/>
      </top>
      <bottom style="thick">
        <color rgb="FFC00000"/>
      </bottom>
      <diagonal/>
    </border>
    <border>
      <left style="dotted">
        <color indexed="64"/>
      </left>
      <right style="dotted">
        <color indexed="64"/>
      </right>
      <top/>
      <bottom style="thin">
        <color rgb="FFFF0000"/>
      </bottom>
      <diagonal/>
    </border>
    <border>
      <left style="dotted">
        <color auto="1"/>
      </left>
      <right style="dotted">
        <color auto="1"/>
      </right>
      <top style="thin">
        <color rgb="FFFF0000"/>
      </top>
      <bottom style="thin">
        <color rgb="FFFF0000"/>
      </bottom>
      <diagonal/>
    </border>
    <border>
      <left style="dotted">
        <color auto="1"/>
      </left>
      <right style="dotted">
        <color auto="1"/>
      </right>
      <top style="thin">
        <color rgb="FFFF0000"/>
      </top>
      <bottom style="dotted">
        <color auto="1"/>
      </bottom>
      <diagonal/>
    </border>
    <border>
      <left/>
      <right/>
      <top style="dotted">
        <color indexed="64"/>
      </top>
      <bottom/>
      <diagonal/>
    </border>
    <border>
      <left style="dotted">
        <color indexed="64"/>
      </left>
      <right/>
      <top style="thin">
        <color rgb="FFFF0000"/>
      </top>
      <bottom style="thin">
        <color rgb="FFFF0000"/>
      </bottom>
      <diagonal/>
    </border>
    <border>
      <left/>
      <right/>
      <top style="thin">
        <color rgb="FFFF0000"/>
      </top>
      <bottom style="thin">
        <color rgb="FFFF0000"/>
      </bottom>
      <diagonal/>
    </border>
    <border>
      <left/>
      <right style="dotted">
        <color indexed="64"/>
      </right>
      <top style="thin">
        <color rgb="FFFF0000"/>
      </top>
      <bottom style="thin">
        <color rgb="FFFF0000"/>
      </bottom>
      <diagonal/>
    </border>
    <border>
      <left/>
      <right/>
      <top style="thin">
        <color rgb="FFFF0000"/>
      </top>
      <bottom/>
      <diagonal/>
    </border>
    <border>
      <left/>
      <right/>
      <top style="thick">
        <color rgb="FFC00000"/>
      </top>
      <bottom style="thin">
        <color rgb="FFFF0000"/>
      </bottom>
      <diagonal/>
    </border>
    <border>
      <left/>
      <right/>
      <top/>
      <bottom style="thin">
        <color rgb="FFFF0000"/>
      </bottom>
      <diagonal/>
    </border>
    <border>
      <left/>
      <right/>
      <top/>
      <bottom style="medium">
        <color rgb="FFE4022D"/>
      </bottom>
      <diagonal/>
    </border>
    <border>
      <left/>
      <right/>
      <top/>
      <bottom style="medium">
        <color rgb="FFED1A3B"/>
      </bottom>
      <diagonal/>
    </border>
    <border>
      <left/>
      <right/>
      <top style="medium">
        <color rgb="FFED1A3B"/>
      </top>
      <bottom/>
      <diagonal/>
    </border>
    <border>
      <left/>
      <right/>
      <top/>
      <bottom style="medium">
        <color rgb="FFBFBFBF"/>
      </bottom>
      <diagonal/>
    </border>
    <border>
      <left/>
      <right/>
      <top style="medium">
        <color rgb="FFBFBFBF"/>
      </top>
      <bottom style="medium">
        <color rgb="FFBFBFBF"/>
      </bottom>
      <diagonal/>
    </border>
    <border>
      <left/>
      <right/>
      <top style="medium">
        <color rgb="FFBFBFBF"/>
      </top>
      <bottom/>
      <diagonal/>
    </border>
    <border>
      <left/>
      <right style="medium">
        <color rgb="FFFFFFFF"/>
      </right>
      <top/>
      <bottom/>
      <diagonal/>
    </border>
    <border>
      <left style="medium">
        <color rgb="FFFFFFFF"/>
      </left>
      <right/>
      <top/>
      <bottom style="medium">
        <color rgb="FFFFFFFF"/>
      </bottom>
      <diagonal/>
    </border>
    <border>
      <left/>
      <right style="medium">
        <color rgb="FFFFFFFF"/>
      </right>
      <top/>
      <bottom style="medium">
        <color rgb="FFFFFFFF"/>
      </bottom>
      <diagonal/>
    </border>
    <border>
      <left/>
      <right style="thick">
        <color rgb="FFFFFFFF"/>
      </right>
      <top/>
      <bottom style="medium">
        <color rgb="FFFFFFFF"/>
      </bottom>
      <diagonal/>
    </border>
    <border>
      <left/>
      <right style="medium">
        <color rgb="FFFFFFFF"/>
      </right>
      <top/>
      <bottom style="medium">
        <color rgb="FFFF0000"/>
      </bottom>
      <diagonal/>
    </border>
    <border>
      <left/>
      <right style="thick">
        <color rgb="FFFFFFFF"/>
      </right>
      <top/>
      <bottom style="medium">
        <color rgb="FFFF0000"/>
      </bottom>
      <diagonal/>
    </border>
    <border>
      <left style="medium">
        <color rgb="FFFFFFFF"/>
      </left>
      <right style="medium">
        <color rgb="FFFFFFFF"/>
      </right>
      <top/>
      <bottom style="medium">
        <color rgb="FFFF0000"/>
      </bottom>
      <diagonal/>
    </border>
    <border>
      <left style="thick">
        <color theme="0"/>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ck">
        <color theme="0"/>
      </right>
      <top/>
      <bottom style="thin">
        <color theme="0"/>
      </bottom>
      <diagonal/>
    </border>
    <border>
      <left style="thick">
        <color theme="0"/>
      </left>
      <right style="thin">
        <color theme="0"/>
      </right>
      <top style="thin">
        <color theme="0"/>
      </top>
      <bottom style="medium">
        <color rgb="FFFF0000"/>
      </bottom>
      <diagonal/>
    </border>
    <border>
      <left style="thin">
        <color theme="0"/>
      </left>
      <right style="thin">
        <color theme="0"/>
      </right>
      <top style="thin">
        <color theme="0"/>
      </top>
      <bottom style="medium">
        <color rgb="FFFF0000"/>
      </bottom>
      <diagonal/>
    </border>
    <border>
      <left style="thin">
        <color theme="0"/>
      </left>
      <right style="thick">
        <color theme="0"/>
      </right>
      <top style="thin">
        <color theme="0"/>
      </top>
      <bottom style="medium">
        <color rgb="FFFF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ck">
        <color rgb="FFC00000"/>
      </bottom>
      <diagonal/>
    </border>
    <border>
      <left/>
      <right style="medium">
        <color indexed="64"/>
      </right>
      <top/>
      <bottom style="thick">
        <color rgb="FFC00000"/>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medium">
        <color rgb="FFC00000"/>
      </bottom>
      <diagonal/>
    </border>
    <border>
      <left/>
      <right/>
      <top/>
      <bottom style="double">
        <color rgb="FF404040"/>
      </bottom>
      <diagonal/>
    </border>
    <border>
      <left/>
      <right/>
      <top style="double">
        <color rgb="FF404040"/>
      </top>
      <bottom style="double">
        <color rgb="FF404040"/>
      </bottom>
      <diagonal/>
    </border>
    <border>
      <left/>
      <right/>
      <top style="thick">
        <color rgb="FFC00000"/>
      </top>
      <bottom/>
      <diagonal/>
    </border>
    <border>
      <left/>
      <right/>
      <top style="medium">
        <color rgb="FFFF0000"/>
      </top>
      <bottom style="double">
        <color rgb="FF404040"/>
      </bottom>
      <diagonal/>
    </border>
    <border>
      <left/>
      <right/>
      <top style="double">
        <color rgb="FF404040"/>
      </top>
      <bottom/>
      <diagonal/>
    </border>
    <border>
      <left/>
      <right/>
      <top style="medium">
        <color indexed="64"/>
      </top>
      <bottom style="medium">
        <color rgb="FFFF0000"/>
      </bottom>
      <diagonal/>
    </border>
    <border>
      <left/>
      <right style="medium">
        <color indexed="64"/>
      </right>
      <top style="medium">
        <color indexed="64"/>
      </top>
      <bottom style="medium">
        <color rgb="FFFF0000"/>
      </bottom>
      <diagonal/>
    </border>
    <border>
      <left style="medium">
        <color indexed="64"/>
      </left>
      <right/>
      <top/>
      <bottom/>
      <diagonal/>
    </border>
    <border>
      <left/>
      <right style="medium">
        <color indexed="64"/>
      </right>
      <top/>
      <bottom style="medium">
        <color rgb="FFFF0000"/>
      </bottom>
      <diagonal/>
    </border>
    <border>
      <left/>
      <right style="medium">
        <color indexed="64"/>
      </right>
      <top/>
      <bottom/>
      <diagonal/>
    </border>
    <border>
      <left/>
      <right style="medium">
        <color indexed="64"/>
      </right>
      <top style="double">
        <color rgb="FF404040"/>
      </top>
      <bottom style="double">
        <color rgb="FF404040"/>
      </bottom>
      <diagonal/>
    </border>
    <border>
      <left/>
      <right/>
      <top style="double">
        <color rgb="FF404040"/>
      </top>
      <bottom style="medium">
        <color indexed="64"/>
      </bottom>
      <diagonal/>
    </border>
    <border>
      <left/>
      <right style="medium">
        <color indexed="64"/>
      </right>
      <top style="double">
        <color rgb="FF404040"/>
      </top>
      <bottom style="medium">
        <color indexed="64"/>
      </bottom>
      <diagonal/>
    </border>
    <border>
      <left/>
      <right/>
      <top style="medium">
        <color rgb="FFE4022D"/>
      </top>
      <bottom/>
      <diagonal/>
    </border>
    <border>
      <left style="medium">
        <color rgb="FFFFFFFF"/>
      </left>
      <right/>
      <top style="medium">
        <color rgb="FFFFFFFF"/>
      </top>
      <bottom style="medium">
        <color rgb="FFFF0000"/>
      </bottom>
      <diagonal/>
    </border>
    <border>
      <left style="medium">
        <color rgb="FFFFFFFF"/>
      </left>
      <right style="medium">
        <color rgb="FFFFFFFF"/>
      </right>
      <top style="medium">
        <color rgb="FFFFFFFF"/>
      </top>
      <bottom style="medium">
        <color rgb="FFFF0000"/>
      </bottom>
      <diagonal/>
    </border>
    <border>
      <left/>
      <right style="medium">
        <color rgb="FFFFFFFF"/>
      </right>
      <top style="medium">
        <color rgb="FFFFFFFF"/>
      </top>
      <bottom style="medium">
        <color rgb="FFFF0000"/>
      </bottom>
      <diagonal/>
    </border>
    <border>
      <left style="medium">
        <color rgb="FF46362E"/>
      </left>
      <right style="medium">
        <color rgb="FF46362E"/>
      </right>
      <top/>
      <bottom style="medium">
        <color rgb="FF46362E"/>
      </bottom>
      <diagonal/>
    </border>
    <border>
      <left/>
      <right style="medium">
        <color rgb="FF46362E"/>
      </right>
      <top/>
      <bottom style="medium">
        <color rgb="FF46362E"/>
      </bottom>
      <diagonal/>
    </border>
    <border>
      <left style="medium">
        <color rgb="FF46362E"/>
      </left>
      <right style="medium">
        <color rgb="FF46362E"/>
      </right>
      <top style="medium">
        <color rgb="FFC00000"/>
      </top>
      <bottom/>
      <diagonal/>
    </border>
    <border>
      <left style="dotted">
        <color auto="1"/>
      </left>
      <right style="dotted">
        <color auto="1"/>
      </right>
      <top style="dotted">
        <color auto="1"/>
      </top>
      <bottom/>
      <diagonal/>
    </border>
    <border>
      <left style="dotted">
        <color indexed="64"/>
      </left>
      <right style="dotted">
        <color indexed="64"/>
      </right>
      <top/>
      <bottom/>
      <diagonal/>
    </border>
    <border>
      <left style="dotted">
        <color auto="1"/>
      </left>
      <right style="dotted">
        <color auto="1"/>
      </right>
      <top/>
      <bottom style="dotted">
        <color auto="1"/>
      </bottom>
      <diagonal/>
    </border>
    <border>
      <left/>
      <right/>
      <top style="dotted">
        <color auto="1"/>
      </top>
      <bottom style="dotted">
        <color auto="1"/>
      </bottom>
      <diagonal/>
    </border>
    <border>
      <left style="thin">
        <color theme="0"/>
      </left>
      <right/>
      <top style="thin">
        <color theme="0"/>
      </top>
      <bottom style="medium">
        <color rgb="FFFF0000"/>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4" fillId="0" borderId="0"/>
    <xf numFmtId="0" fontId="42" fillId="0" borderId="0"/>
  </cellStyleXfs>
  <cellXfs count="697">
    <xf numFmtId="0" fontId="0" fillId="0" borderId="0" xfId="0"/>
    <xf numFmtId="0" fontId="7"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8" fillId="0" borderId="0" xfId="0" applyFont="1"/>
    <xf numFmtId="0" fontId="9" fillId="3" borderId="1" xfId="0" applyFont="1" applyFill="1" applyBorder="1" applyAlignment="1">
      <alignment vertical="center"/>
    </xf>
    <xf numFmtId="43" fontId="9" fillId="3" borderId="1" xfId="1" applyFont="1" applyFill="1" applyBorder="1" applyAlignment="1">
      <alignment horizontal="right" vertical="center"/>
    </xf>
    <xf numFmtId="10" fontId="9" fillId="3" borderId="1" xfId="0" applyNumberFormat="1" applyFont="1" applyFill="1" applyBorder="1" applyAlignment="1">
      <alignment horizontal="right" vertical="center"/>
    </xf>
    <xf numFmtId="0" fontId="9" fillId="0" borderId="1" xfId="0" applyFont="1" applyBorder="1" applyAlignment="1">
      <alignment vertical="center"/>
    </xf>
    <xf numFmtId="43" fontId="9" fillId="0" borderId="1" xfId="1" applyFont="1" applyBorder="1" applyAlignment="1">
      <alignment horizontal="right" vertical="center"/>
    </xf>
    <xf numFmtId="10" fontId="9" fillId="0" borderId="1" xfId="0" applyNumberFormat="1" applyFont="1" applyBorder="1" applyAlignment="1">
      <alignment horizontal="right" vertical="center"/>
    </xf>
    <xf numFmtId="0" fontId="7" fillId="4" borderId="1" xfId="0" applyFont="1" applyFill="1" applyBorder="1" applyAlignment="1">
      <alignment vertical="center" wrapText="1"/>
    </xf>
    <xf numFmtId="43" fontId="7" fillId="4" borderId="1" xfId="1" applyFont="1" applyFill="1" applyBorder="1" applyAlignment="1">
      <alignment horizontal="right" vertical="center"/>
    </xf>
    <xf numFmtId="10" fontId="7" fillId="4" borderId="1" xfId="0" applyNumberFormat="1" applyFont="1" applyFill="1" applyBorder="1" applyAlignment="1">
      <alignment horizontal="right" vertical="center"/>
    </xf>
    <xf numFmtId="0" fontId="10" fillId="3" borderId="1" xfId="0" applyFont="1" applyFill="1" applyBorder="1" applyAlignment="1">
      <alignment vertical="center"/>
    </xf>
    <xf numFmtId="43" fontId="10" fillId="3" borderId="1" xfId="1" applyFont="1" applyFill="1" applyBorder="1" applyAlignment="1">
      <alignment horizontal="center" vertical="center"/>
    </xf>
    <xf numFmtId="10" fontId="10" fillId="3" borderId="1" xfId="0" applyNumberFormat="1" applyFont="1" applyFill="1" applyBorder="1" applyAlignment="1">
      <alignment horizontal="right" vertical="center"/>
    </xf>
    <xf numFmtId="0" fontId="7" fillId="4" borderId="1" xfId="0" applyFont="1" applyFill="1" applyBorder="1" applyAlignment="1">
      <alignment vertical="center"/>
    </xf>
    <xf numFmtId="0" fontId="7" fillId="4" borderId="1" xfId="0" applyFont="1" applyFill="1" applyBorder="1" applyAlignment="1">
      <alignment horizontal="right" vertical="center"/>
    </xf>
    <xf numFmtId="0" fontId="8" fillId="0" borderId="0" xfId="0" applyFont="1" applyAlignment="1">
      <alignment vertical="center"/>
    </xf>
    <xf numFmtId="0" fontId="7" fillId="2" borderId="2" xfId="0" applyFont="1" applyFill="1" applyBorder="1" applyAlignment="1">
      <alignment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xf>
    <xf numFmtId="0" fontId="7" fillId="2" borderId="6" xfId="0" applyFont="1" applyFill="1" applyBorder="1" applyAlignment="1">
      <alignment horizontal="center" vertical="center" wrapText="1"/>
    </xf>
    <xf numFmtId="0" fontId="7" fillId="2" borderId="6" xfId="0" applyFont="1" applyFill="1" applyBorder="1" applyAlignment="1">
      <alignment horizontal="center" vertical="center"/>
    </xf>
    <xf numFmtId="0" fontId="9" fillId="3" borderId="7" xfId="0" applyFont="1" applyFill="1" applyBorder="1" applyAlignment="1">
      <alignment vertical="center"/>
    </xf>
    <xf numFmtId="43" fontId="9" fillId="3" borderId="8" xfId="1" applyFont="1" applyFill="1" applyBorder="1" applyAlignment="1">
      <alignment horizontal="right" vertical="center"/>
    </xf>
    <xf numFmtId="9" fontId="9" fillId="3" borderId="0" xfId="2" applyFont="1" applyFill="1" applyBorder="1" applyAlignment="1">
      <alignment horizontal="right" vertical="center"/>
    </xf>
    <xf numFmtId="43" fontId="9" fillId="3" borderId="0" xfId="1" applyFont="1" applyFill="1" applyBorder="1" applyAlignment="1">
      <alignment horizontal="right" vertical="center"/>
    </xf>
    <xf numFmtId="9" fontId="9" fillId="3" borderId="7" xfId="2" applyFont="1" applyFill="1" applyBorder="1" applyAlignment="1">
      <alignment horizontal="right" vertical="center"/>
    </xf>
    <xf numFmtId="43" fontId="9" fillId="3" borderId="0" xfId="1" applyFont="1" applyFill="1" applyAlignment="1">
      <alignment horizontal="right" vertical="center"/>
    </xf>
    <xf numFmtId="9" fontId="9" fillId="3" borderId="0" xfId="2" applyFont="1" applyFill="1" applyAlignment="1">
      <alignment horizontal="right" vertical="center"/>
    </xf>
    <xf numFmtId="0" fontId="9" fillId="0" borderId="7" xfId="0" applyFont="1" applyBorder="1" applyAlignment="1">
      <alignment vertical="center"/>
    </xf>
    <xf numFmtId="43" fontId="9" fillId="0" borderId="8" xfId="1" applyFont="1" applyBorder="1" applyAlignment="1">
      <alignment horizontal="right" vertical="center"/>
    </xf>
    <xf numFmtId="9" fontId="9" fillId="0" borderId="0" xfId="2" applyFont="1" applyBorder="1" applyAlignment="1">
      <alignment horizontal="right" vertical="center"/>
    </xf>
    <xf numFmtId="43" fontId="9" fillId="0" borderId="0" xfId="1" applyFont="1" applyBorder="1" applyAlignment="1">
      <alignment horizontal="right" vertical="center"/>
    </xf>
    <xf numFmtId="9" fontId="9" fillId="0" borderId="7" xfId="2" applyFont="1" applyBorder="1" applyAlignment="1">
      <alignment horizontal="right" vertical="center"/>
    </xf>
    <xf numFmtId="43" fontId="9" fillId="0" borderId="0" xfId="1" applyFont="1" applyAlignment="1">
      <alignment horizontal="right" vertical="center"/>
    </xf>
    <xf numFmtId="9" fontId="9" fillId="0" borderId="0" xfId="2" applyFont="1" applyAlignment="1">
      <alignment horizontal="right" vertical="center"/>
    </xf>
    <xf numFmtId="0" fontId="7" fillId="4" borderId="7" xfId="0" applyFont="1" applyFill="1" applyBorder="1" applyAlignment="1">
      <alignment vertical="center"/>
    </xf>
    <xf numFmtId="43" fontId="7" fillId="4" borderId="8" xfId="1" applyFont="1" applyFill="1" applyBorder="1" applyAlignment="1">
      <alignment horizontal="right" vertical="center"/>
    </xf>
    <xf numFmtId="9" fontId="7" fillId="4" borderId="0" xfId="2" applyFont="1" applyFill="1" applyBorder="1" applyAlignment="1">
      <alignment horizontal="right" vertical="center"/>
    </xf>
    <xf numFmtId="43" fontId="7" fillId="4" borderId="0" xfId="1" applyFont="1" applyFill="1" applyBorder="1" applyAlignment="1">
      <alignment horizontal="right" vertical="center"/>
    </xf>
    <xf numFmtId="9" fontId="7" fillId="4" borderId="7" xfId="2" applyFont="1" applyFill="1" applyBorder="1" applyAlignment="1">
      <alignment horizontal="right" vertical="center"/>
    </xf>
    <xf numFmtId="43" fontId="7" fillId="4" borderId="0" xfId="1" applyFont="1" applyFill="1" applyAlignment="1">
      <alignment horizontal="right" vertical="center"/>
    </xf>
    <xf numFmtId="9" fontId="7" fillId="4" borderId="0" xfId="2" applyFont="1" applyFill="1" applyAlignment="1">
      <alignment horizontal="right" vertical="center"/>
    </xf>
    <xf numFmtId="0" fontId="13" fillId="5" borderId="7" xfId="0" applyFont="1" applyFill="1" applyBorder="1" applyAlignment="1">
      <alignment vertical="center"/>
    </xf>
    <xf numFmtId="43" fontId="13" fillId="5" borderId="9" xfId="1" applyFont="1" applyFill="1" applyBorder="1" applyAlignment="1">
      <alignment horizontal="center" vertical="center"/>
    </xf>
    <xf numFmtId="10" fontId="13" fillId="5" borderId="6" xfId="0" applyNumberFormat="1" applyFont="1" applyFill="1" applyBorder="1" applyAlignment="1">
      <alignment horizontal="center" vertical="center"/>
    </xf>
    <xf numFmtId="0" fontId="13" fillId="5" borderId="6" xfId="0" applyFont="1" applyFill="1" applyBorder="1" applyAlignment="1">
      <alignment horizontal="center" vertical="center"/>
    </xf>
    <xf numFmtId="10" fontId="13" fillId="5" borderId="2" xfId="0" applyNumberFormat="1" applyFont="1" applyFill="1" applyBorder="1" applyAlignment="1">
      <alignment horizontal="center" vertical="center"/>
    </xf>
    <xf numFmtId="0" fontId="13" fillId="5" borderId="0" xfId="0" applyFont="1" applyFill="1" applyAlignment="1">
      <alignment horizontal="center" vertical="center"/>
    </xf>
    <xf numFmtId="9" fontId="13" fillId="5" borderId="0" xfId="0" applyNumberFormat="1" applyFont="1" applyFill="1" applyAlignment="1">
      <alignment horizontal="center" vertical="center"/>
    </xf>
    <xf numFmtId="43" fontId="13" fillId="5" borderId="0" xfId="1" applyFont="1" applyFill="1" applyAlignment="1">
      <alignment horizontal="center" vertical="center"/>
    </xf>
    <xf numFmtId="0" fontId="7" fillId="2" borderId="6" xfId="0" applyFont="1" applyFill="1" applyBorder="1" applyAlignment="1">
      <alignment vertical="center"/>
    </xf>
    <xf numFmtId="0" fontId="7" fillId="2" borderId="6" xfId="0" applyFont="1" applyFill="1" applyBorder="1" applyAlignment="1">
      <alignment horizontal="right" vertical="center"/>
    </xf>
    <xf numFmtId="0" fontId="9" fillId="3" borderId="0" xfId="0" applyFont="1" applyFill="1" applyAlignment="1">
      <alignment vertical="center"/>
    </xf>
    <xf numFmtId="10" fontId="9" fillId="3" borderId="0" xfId="0" applyNumberFormat="1" applyFont="1" applyFill="1" applyAlignment="1">
      <alignment horizontal="right" vertical="center"/>
    </xf>
    <xf numFmtId="0" fontId="9" fillId="0" borderId="0" xfId="0" applyFont="1" applyAlignment="1">
      <alignment vertical="center"/>
    </xf>
    <xf numFmtId="10" fontId="9" fillId="0" borderId="0" xfId="0" applyNumberFormat="1" applyFont="1" applyAlignment="1">
      <alignment horizontal="right" vertical="center"/>
    </xf>
    <xf numFmtId="0" fontId="7" fillId="4" borderId="10" xfId="0" applyFont="1" applyFill="1" applyBorder="1" applyAlignment="1">
      <alignment vertical="center"/>
    </xf>
    <xf numFmtId="43" fontId="7" fillId="4" borderId="10" xfId="1" applyFont="1" applyFill="1" applyBorder="1" applyAlignment="1">
      <alignment horizontal="right" vertical="center"/>
    </xf>
    <xf numFmtId="9" fontId="7" fillId="4" borderId="10" xfId="0" applyNumberFormat="1" applyFont="1" applyFill="1" applyBorder="1" applyAlignment="1">
      <alignment horizontal="right" vertical="center"/>
    </xf>
    <xf numFmtId="0" fontId="7" fillId="4" borderId="0" xfId="0" applyFont="1" applyFill="1" applyAlignment="1">
      <alignment horizontal="left" vertical="center"/>
    </xf>
    <xf numFmtId="0" fontId="14" fillId="4" borderId="0" xfId="0" applyFont="1" applyFill="1" applyAlignment="1">
      <alignment vertical="center"/>
    </xf>
    <xf numFmtId="0" fontId="8" fillId="0" borderId="0" xfId="0" applyFont="1" applyAlignment="1">
      <alignment horizontal="center" vertical="center"/>
    </xf>
    <xf numFmtId="0" fontId="11" fillId="0" borderId="0" xfId="0" applyFont="1" applyAlignment="1">
      <alignment vertical="center" wrapText="1"/>
    </xf>
    <xf numFmtId="0" fontId="2" fillId="2" borderId="6" xfId="0" applyFont="1" applyFill="1" applyBorder="1" applyAlignment="1">
      <alignment horizontal="center" vertical="center" wrapText="1"/>
    </xf>
    <xf numFmtId="0" fontId="2" fillId="2" borderId="0" xfId="0" applyFont="1" applyFill="1" applyAlignment="1">
      <alignment horizontal="center" vertical="center" wrapText="1"/>
    </xf>
    <xf numFmtId="0" fontId="7" fillId="2" borderId="0" xfId="0" applyFont="1" applyFill="1" applyAlignment="1">
      <alignment horizontal="center" vertical="center" wrapText="1"/>
    </xf>
    <xf numFmtId="0" fontId="9" fillId="3" borderId="11" xfId="0" applyFont="1" applyFill="1" applyBorder="1" applyAlignment="1">
      <alignment vertical="center" wrapText="1"/>
    </xf>
    <xf numFmtId="43" fontId="16" fillId="3" borderId="11" xfId="1" applyFont="1" applyFill="1" applyBorder="1" applyAlignment="1">
      <alignment horizontal="right" vertical="center"/>
    </xf>
    <xf numFmtId="43" fontId="16" fillId="3" borderId="11" xfId="1" applyFont="1" applyFill="1" applyBorder="1" applyAlignment="1">
      <alignment horizontal="right" vertical="center" wrapText="1"/>
    </xf>
    <xf numFmtId="0" fontId="9" fillId="0" borderId="0" xfId="0" applyFont="1" applyAlignment="1">
      <alignment vertical="center" wrapText="1"/>
    </xf>
    <xf numFmtId="43" fontId="16" fillId="0" borderId="0" xfId="1" applyFont="1" applyAlignment="1">
      <alignment horizontal="right" vertical="center"/>
    </xf>
    <xf numFmtId="43" fontId="16" fillId="0" borderId="0" xfId="1" applyFont="1" applyAlignment="1">
      <alignment horizontal="right" vertical="center" wrapText="1"/>
    </xf>
    <xf numFmtId="43" fontId="16" fillId="0" borderId="0" xfId="1" applyFont="1" applyAlignment="1">
      <alignment vertical="center"/>
    </xf>
    <xf numFmtId="0" fontId="9" fillId="3" borderId="0" xfId="0" applyFont="1" applyFill="1" applyAlignment="1">
      <alignment vertical="center" wrapText="1"/>
    </xf>
    <xf numFmtId="43" fontId="16" fillId="3" borderId="0" xfId="1" applyFont="1" applyFill="1" applyAlignment="1">
      <alignment horizontal="right" vertical="center"/>
    </xf>
    <xf numFmtId="43" fontId="16" fillId="3" borderId="0" xfId="1" applyFont="1" applyFill="1" applyAlignment="1">
      <alignment vertical="center"/>
    </xf>
    <xf numFmtId="43" fontId="16" fillId="3" borderId="0" xfId="1" applyFont="1" applyFill="1" applyAlignment="1">
      <alignment vertical="center" wrapText="1"/>
    </xf>
    <xf numFmtId="0" fontId="2" fillId="2" borderId="12"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4" borderId="13" xfId="0" applyFont="1" applyFill="1" applyBorder="1" applyAlignment="1">
      <alignment vertical="center"/>
    </xf>
    <xf numFmtId="43" fontId="7" fillId="4" borderId="13" xfId="1" applyFont="1" applyFill="1" applyBorder="1" applyAlignment="1">
      <alignment horizontal="right" vertical="center"/>
    </xf>
    <xf numFmtId="0" fontId="7" fillId="4" borderId="14" xfId="0" applyFont="1" applyFill="1" applyBorder="1" applyAlignment="1">
      <alignment vertical="center"/>
    </xf>
    <xf numFmtId="43" fontId="7" fillId="4" borderId="14" xfId="1" applyFont="1" applyFill="1" applyBorder="1" applyAlignment="1">
      <alignment horizontal="right" vertical="center"/>
    </xf>
    <xf numFmtId="0" fontId="2" fillId="2" borderId="15" xfId="0" applyFont="1" applyFill="1" applyBorder="1" applyAlignment="1">
      <alignment horizontal="center" vertical="center" wrapText="1"/>
    </xf>
    <xf numFmtId="0" fontId="18" fillId="6" borderId="0" xfId="0" applyFont="1" applyFill="1" applyAlignment="1">
      <alignment vertical="center" wrapText="1"/>
    </xf>
    <xf numFmtId="0" fontId="19" fillId="6" borderId="0" xfId="0" applyFont="1" applyFill="1" applyAlignment="1">
      <alignment vertical="center" wrapText="1"/>
    </xf>
    <xf numFmtId="0" fontId="19" fillId="6" borderId="0" xfId="0" applyFont="1" applyFill="1" applyAlignment="1">
      <alignment vertical="center"/>
    </xf>
    <xf numFmtId="3" fontId="3" fillId="6" borderId="0" xfId="0" applyNumberFormat="1" applyFont="1" applyFill="1" applyAlignment="1">
      <alignment horizontal="center" vertical="center"/>
    </xf>
    <xf numFmtId="43" fontId="3" fillId="6" borderId="0" xfId="1" applyFont="1" applyFill="1" applyAlignment="1">
      <alignment horizontal="center" vertical="center"/>
    </xf>
    <xf numFmtId="0" fontId="12" fillId="0" borderId="0" xfId="0" applyFont="1" applyAlignment="1">
      <alignment vertical="center"/>
    </xf>
    <xf numFmtId="0" fontId="7" fillId="2" borderId="16" xfId="0" applyFont="1" applyFill="1" applyBorder="1" applyAlignment="1">
      <alignment horizontal="center" vertical="center" wrapText="1"/>
    </xf>
    <xf numFmtId="0" fontId="21" fillId="6" borderId="17" xfId="0" applyFont="1" applyFill="1" applyBorder="1" applyAlignment="1">
      <alignment vertical="center"/>
    </xf>
    <xf numFmtId="164" fontId="21" fillId="6" borderId="17" xfId="1" applyNumberFormat="1" applyFont="1" applyFill="1" applyBorder="1" applyAlignment="1">
      <alignment vertical="center"/>
    </xf>
    <xf numFmtId="0" fontId="21" fillId="7" borderId="18" xfId="0" applyFont="1" applyFill="1" applyBorder="1" applyAlignment="1">
      <alignment vertical="center"/>
    </xf>
    <xf numFmtId="164" fontId="21" fillId="7" borderId="18" xfId="1" applyNumberFormat="1" applyFont="1" applyFill="1" applyBorder="1" applyAlignment="1">
      <alignment vertical="center"/>
    </xf>
    <xf numFmtId="0" fontId="21" fillId="6" borderId="18" xfId="0" applyFont="1" applyFill="1" applyBorder="1" applyAlignment="1">
      <alignment vertical="center"/>
    </xf>
    <xf numFmtId="164" fontId="21" fillId="6" borderId="18" xfId="1" applyNumberFormat="1" applyFont="1" applyFill="1" applyBorder="1" applyAlignment="1">
      <alignment vertical="center"/>
    </xf>
    <xf numFmtId="164" fontId="21" fillId="6" borderId="18" xfId="1" applyNumberFormat="1" applyFont="1" applyFill="1" applyBorder="1" applyAlignment="1">
      <alignment horizontal="right" vertical="center"/>
    </xf>
    <xf numFmtId="0" fontId="21" fillId="7" borderId="19" xfId="0" applyFont="1" applyFill="1" applyBorder="1" applyAlignment="1">
      <alignment vertical="center"/>
    </xf>
    <xf numFmtId="164" fontId="21" fillId="7" borderId="19" xfId="1" applyNumberFormat="1" applyFont="1" applyFill="1" applyBorder="1" applyAlignment="1">
      <alignment vertical="center"/>
    </xf>
    <xf numFmtId="164" fontId="21" fillId="7" borderId="19" xfId="1" applyNumberFormat="1" applyFont="1" applyFill="1" applyBorder="1" applyAlignment="1">
      <alignment horizontal="right" vertical="center"/>
    </xf>
    <xf numFmtId="164" fontId="22" fillId="8" borderId="0" xfId="0" applyNumberFormat="1" applyFont="1" applyFill="1" applyAlignment="1">
      <alignment vertical="center"/>
    </xf>
    <xf numFmtId="0" fontId="7" fillId="2" borderId="15" xfId="0" applyFont="1" applyFill="1" applyBorder="1" applyAlignment="1">
      <alignment horizontal="center" vertical="center" wrapText="1"/>
    </xf>
    <xf numFmtId="0" fontId="8" fillId="6" borderId="25" xfId="0" applyFont="1" applyFill="1" applyBorder="1" applyAlignment="1">
      <alignment vertical="center"/>
    </xf>
    <xf numFmtId="166" fontId="8" fillId="6" borderId="25" xfId="1" applyNumberFormat="1" applyFont="1" applyFill="1" applyBorder="1" applyAlignment="1">
      <alignment vertical="center"/>
    </xf>
    <xf numFmtId="164" fontId="8" fillId="6" borderId="25" xfId="1" applyNumberFormat="1" applyFont="1" applyFill="1" applyBorder="1" applyAlignment="1">
      <alignment vertical="center"/>
    </xf>
    <xf numFmtId="0" fontId="8" fillId="7" borderId="22" xfId="0" applyFont="1" applyFill="1" applyBorder="1" applyAlignment="1">
      <alignment vertical="center"/>
    </xf>
    <xf numFmtId="164" fontId="8" fillId="7" borderId="22" xfId="1" applyNumberFormat="1" applyFont="1" applyFill="1" applyBorder="1" applyAlignment="1">
      <alignment vertical="center"/>
    </xf>
    <xf numFmtId="0" fontId="8" fillId="6" borderId="22" xfId="0" applyFont="1" applyFill="1" applyBorder="1" applyAlignment="1">
      <alignment vertical="center"/>
    </xf>
    <xf numFmtId="164" fontId="8" fillId="6" borderId="22" xfId="1" applyNumberFormat="1" applyFont="1" applyFill="1" applyBorder="1" applyAlignment="1">
      <alignment vertical="center"/>
    </xf>
    <xf numFmtId="0" fontId="8" fillId="6" borderId="24" xfId="0" applyFont="1" applyFill="1" applyBorder="1" applyAlignment="1">
      <alignment vertical="center"/>
    </xf>
    <xf numFmtId="164" fontId="8" fillId="6" borderId="24" xfId="1" applyNumberFormat="1" applyFont="1" applyFill="1" applyBorder="1" applyAlignment="1">
      <alignment vertical="center"/>
    </xf>
    <xf numFmtId="0" fontId="22" fillId="9" borderId="0" xfId="0" applyFont="1" applyFill="1" applyAlignment="1">
      <alignment horizontal="center" vertical="center"/>
    </xf>
    <xf numFmtId="164" fontId="22" fillId="9" borderId="0" xfId="1" applyNumberFormat="1" applyFont="1" applyFill="1" applyAlignment="1">
      <alignment vertical="center"/>
    </xf>
    <xf numFmtId="0" fontId="23" fillId="0" borderId="0" xfId="0" applyFont="1" applyAlignment="1">
      <alignment vertical="center"/>
    </xf>
    <xf numFmtId="0" fontId="6" fillId="0" borderId="0" xfId="0" applyFont="1" applyAlignment="1">
      <alignment vertical="center"/>
    </xf>
    <xf numFmtId="0" fontId="21" fillId="7" borderId="17" xfId="0" applyFont="1" applyFill="1" applyBorder="1" applyAlignment="1">
      <alignment vertical="center"/>
    </xf>
    <xf numFmtId="165" fontId="21" fillId="7" borderId="17" xfId="1" applyNumberFormat="1" applyFont="1" applyFill="1" applyBorder="1" applyAlignment="1">
      <alignment horizontal="right" vertical="center"/>
    </xf>
    <xf numFmtId="164" fontId="21" fillId="7" borderId="17" xfId="1" applyNumberFormat="1" applyFont="1" applyFill="1" applyBorder="1" applyAlignment="1">
      <alignment horizontal="right" vertical="center"/>
    </xf>
    <xf numFmtId="165" fontId="21" fillId="7" borderId="18" xfId="1" applyNumberFormat="1" applyFont="1" applyFill="1" applyBorder="1" applyAlignment="1">
      <alignment vertical="center"/>
    </xf>
    <xf numFmtId="165" fontId="7" fillId="8" borderId="18" xfId="1" applyNumberFormat="1" applyFont="1" applyFill="1" applyBorder="1" applyAlignment="1">
      <alignment horizontal="left" vertical="center"/>
    </xf>
    <xf numFmtId="164" fontId="7" fillId="8" borderId="18" xfId="1" applyNumberFormat="1" applyFont="1" applyFill="1" applyBorder="1" applyAlignment="1">
      <alignment horizontal="left" vertical="center"/>
    </xf>
    <xf numFmtId="0" fontId="21" fillId="6" borderId="18" xfId="0" applyFont="1" applyFill="1" applyBorder="1" applyAlignment="1">
      <alignment vertical="center" wrapText="1"/>
    </xf>
    <xf numFmtId="164" fontId="21" fillId="7" borderId="18" xfId="1" applyNumberFormat="1" applyFont="1" applyFill="1" applyBorder="1" applyAlignment="1">
      <alignment horizontal="right" vertical="center"/>
    </xf>
    <xf numFmtId="0" fontId="21" fillId="7" borderId="18" xfId="0" applyFont="1" applyFill="1" applyBorder="1" applyAlignment="1">
      <alignment vertical="center" wrapText="1"/>
    </xf>
    <xf numFmtId="166" fontId="21" fillId="6" borderId="18" xfId="1" applyNumberFormat="1" applyFont="1" applyFill="1" applyBorder="1" applyAlignment="1">
      <alignment horizontal="right" vertical="center"/>
    </xf>
    <xf numFmtId="166" fontId="7" fillId="8" borderId="18" xfId="1" applyNumberFormat="1" applyFont="1" applyFill="1" applyBorder="1" applyAlignment="1">
      <alignment horizontal="left" vertical="center"/>
    </xf>
    <xf numFmtId="164" fontId="7" fillId="8" borderId="18" xfId="1" applyNumberFormat="1" applyFont="1" applyFill="1" applyBorder="1" applyAlignment="1">
      <alignment horizontal="right" vertical="center"/>
    </xf>
    <xf numFmtId="166" fontId="21" fillId="7" borderId="18" xfId="1" applyNumberFormat="1" applyFont="1" applyFill="1" applyBorder="1" applyAlignment="1">
      <alignment horizontal="right" vertical="center"/>
    </xf>
    <xf numFmtId="0" fontId="22" fillId="2" borderId="24" xfId="0" applyFont="1" applyFill="1" applyBorder="1" applyAlignment="1">
      <alignment horizontal="center" vertical="center" wrapText="1"/>
    </xf>
    <xf numFmtId="164" fontId="22" fillId="2" borderId="24" xfId="1" applyNumberFormat="1" applyFont="1" applyFill="1" applyBorder="1" applyAlignment="1">
      <alignment horizontal="center" vertical="center" wrapText="1"/>
    </xf>
    <xf numFmtId="0" fontId="7" fillId="2" borderId="27"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6" fillId="6" borderId="22" xfId="0" applyFont="1" applyFill="1" applyBorder="1" applyAlignment="1">
      <alignment vertical="center"/>
    </xf>
    <xf numFmtId="10" fontId="6" fillId="6" borderId="22" xfId="2" applyNumberFormat="1" applyFont="1" applyFill="1" applyBorder="1" applyAlignment="1">
      <alignment vertical="center"/>
    </xf>
    <xf numFmtId="0" fontId="6" fillId="7" borderId="22" xfId="0" applyFont="1" applyFill="1" applyBorder="1" applyAlignment="1">
      <alignment vertical="center"/>
    </xf>
    <xf numFmtId="10" fontId="6" fillId="7" borderId="22" xfId="2" applyNumberFormat="1" applyFont="1" applyFill="1" applyBorder="1" applyAlignment="1">
      <alignment vertical="center"/>
    </xf>
    <xf numFmtId="0" fontId="8" fillId="6" borderId="26" xfId="0" applyFont="1" applyFill="1" applyBorder="1" applyAlignment="1">
      <alignment vertical="center"/>
    </xf>
    <xf numFmtId="166" fontId="8" fillId="6" borderId="26" xfId="1" applyNumberFormat="1" applyFont="1" applyFill="1" applyBorder="1" applyAlignment="1">
      <alignment vertical="center"/>
    </xf>
    <xf numFmtId="164" fontId="8" fillId="6" borderId="26" xfId="1" applyNumberFormat="1" applyFont="1" applyFill="1" applyBorder="1" applyAlignment="1">
      <alignment vertical="center"/>
    </xf>
    <xf numFmtId="166" fontId="8" fillId="6" borderId="22" xfId="1" applyNumberFormat="1" applyFont="1" applyFill="1" applyBorder="1" applyAlignment="1">
      <alignment vertical="center"/>
    </xf>
    <xf numFmtId="0" fontId="22" fillId="4" borderId="22" xfId="0" applyFont="1" applyFill="1" applyBorder="1" applyAlignment="1">
      <alignment vertical="center"/>
    </xf>
    <xf numFmtId="166" fontId="22" fillId="4" borderId="22" xfId="1" applyNumberFormat="1" applyFont="1" applyFill="1" applyBorder="1" applyAlignment="1">
      <alignment vertical="center"/>
    </xf>
    <xf numFmtId="164" fontId="22" fillId="4" borderId="22" xfId="1" applyNumberFormat="1" applyFont="1" applyFill="1" applyBorder="1" applyAlignment="1">
      <alignment vertical="center"/>
    </xf>
    <xf numFmtId="0" fontId="7" fillId="9" borderId="24" xfId="0" applyFont="1" applyFill="1" applyBorder="1" applyAlignment="1">
      <alignment vertical="center"/>
    </xf>
    <xf numFmtId="164" fontId="7" fillId="9" borderId="24" xfId="0" applyNumberFormat="1" applyFont="1" applyFill="1" applyBorder="1" applyAlignment="1">
      <alignment vertical="center"/>
    </xf>
    <xf numFmtId="0" fontId="7" fillId="2" borderId="27" xfId="0" applyFont="1" applyFill="1" applyBorder="1" applyAlignment="1">
      <alignment vertical="center" wrapText="1"/>
    </xf>
    <xf numFmtId="0" fontId="7" fillId="2" borderId="27" xfId="0" applyFont="1" applyFill="1" applyBorder="1" applyAlignment="1">
      <alignment horizontal="right" vertical="center" wrapText="1"/>
    </xf>
    <xf numFmtId="0" fontId="7" fillId="2" borderId="27" xfId="0" applyFont="1" applyFill="1" applyBorder="1" applyAlignment="1">
      <alignment vertical="center"/>
    </xf>
    <xf numFmtId="0" fontId="25" fillId="10" borderId="0" xfId="0" applyFont="1" applyFill="1" applyAlignment="1">
      <alignment vertical="center"/>
    </xf>
    <xf numFmtId="167" fontId="25" fillId="10" borderId="0" xfId="1" applyNumberFormat="1" applyFont="1" applyFill="1" applyAlignment="1">
      <alignment horizontal="right" vertical="center"/>
    </xf>
    <xf numFmtId="0" fontId="25" fillId="11" borderId="0" xfId="0" applyFont="1" applyFill="1" applyAlignment="1">
      <alignment vertical="center"/>
    </xf>
    <xf numFmtId="167" fontId="25" fillId="11" borderId="0" xfId="1" applyNumberFormat="1" applyFont="1" applyFill="1" applyAlignment="1">
      <alignment horizontal="right" vertical="center"/>
    </xf>
    <xf numFmtId="167" fontId="25" fillId="0" borderId="0" xfId="1" applyNumberFormat="1" applyFont="1" applyAlignment="1">
      <alignment horizontal="right" vertical="center"/>
    </xf>
    <xf numFmtId="0" fontId="7" fillId="12" borderId="0" xfId="0" applyFont="1" applyFill="1" applyAlignment="1">
      <alignment vertical="center"/>
    </xf>
    <xf numFmtId="167" fontId="7" fillId="12" borderId="0" xfId="1" applyNumberFormat="1" applyFont="1" applyFill="1" applyAlignment="1">
      <alignment horizontal="right" vertical="center"/>
    </xf>
    <xf numFmtId="0" fontId="26" fillId="2" borderId="0" xfId="0" applyFont="1" applyFill="1" applyAlignment="1">
      <alignment vertical="center"/>
    </xf>
    <xf numFmtId="10" fontId="7" fillId="2" borderId="0" xfId="0" applyNumberFormat="1" applyFont="1" applyFill="1" applyAlignment="1">
      <alignment horizontal="right" vertical="center"/>
    </xf>
    <xf numFmtId="0" fontId="7" fillId="2" borderId="0" xfId="0" applyFont="1" applyFill="1" applyAlignment="1">
      <alignment horizontal="right" vertical="center"/>
    </xf>
    <xf numFmtId="0" fontId="2" fillId="2" borderId="28" xfId="0" applyFont="1" applyFill="1" applyBorder="1" applyAlignment="1">
      <alignment vertical="center" wrapText="1"/>
    </xf>
    <xf numFmtId="0" fontId="20" fillId="0" borderId="0" xfId="0" applyFont="1" applyAlignment="1">
      <alignment horizontal="center" vertical="center" wrapText="1"/>
    </xf>
    <xf numFmtId="0" fontId="20" fillId="0" borderId="0" xfId="0" applyFont="1" applyAlignment="1">
      <alignment vertical="center" wrapText="1"/>
    </xf>
    <xf numFmtId="0" fontId="20" fillId="10" borderId="0" xfId="0" applyFont="1" applyFill="1" applyAlignment="1">
      <alignment horizontal="center" vertical="center" wrapText="1"/>
    </xf>
    <xf numFmtId="0" fontId="20" fillId="10" borderId="0" xfId="0" applyFont="1" applyFill="1" applyAlignment="1">
      <alignment vertical="center" wrapText="1"/>
    </xf>
    <xf numFmtId="0" fontId="7" fillId="8" borderId="0" xfId="0" applyFont="1" applyFill="1" applyAlignment="1">
      <alignment vertical="center"/>
    </xf>
    <xf numFmtId="0" fontId="26" fillId="2" borderId="0" xfId="0" applyFont="1" applyFill="1" applyAlignment="1">
      <alignment horizontal="justify" vertical="center"/>
    </xf>
    <xf numFmtId="0" fontId="9" fillId="0" borderId="0" xfId="0" applyFont="1" applyAlignment="1">
      <alignment horizontal="center" vertical="center"/>
    </xf>
    <xf numFmtId="0" fontId="9" fillId="10" borderId="0" xfId="0" applyFont="1" applyFill="1" applyAlignment="1">
      <alignment horizontal="center" vertical="center"/>
    </xf>
    <xf numFmtId="0" fontId="9" fillId="10" borderId="0" xfId="0" applyFont="1" applyFill="1" applyAlignment="1">
      <alignment vertical="center"/>
    </xf>
    <xf numFmtId="0" fontId="9" fillId="11" borderId="0" xfId="0" applyFont="1" applyFill="1" applyAlignment="1">
      <alignment horizontal="center" vertical="center"/>
    </xf>
    <xf numFmtId="0" fontId="9" fillId="11" borderId="0" xfId="0" applyFont="1" applyFill="1" applyAlignment="1">
      <alignment vertical="center"/>
    </xf>
    <xf numFmtId="0" fontId="9" fillId="3" borderId="0" xfId="0" applyFont="1" applyFill="1" applyAlignment="1">
      <alignment horizontal="center" vertical="center"/>
    </xf>
    <xf numFmtId="0" fontId="7" fillId="2" borderId="0" xfId="0" applyFont="1" applyFill="1" applyAlignment="1">
      <alignment horizontal="center" vertical="center"/>
    </xf>
    <xf numFmtId="0" fontId="2" fillId="2" borderId="0" xfId="0" applyFont="1" applyFill="1" applyAlignment="1">
      <alignment vertical="center" wrapText="1"/>
    </xf>
    <xf numFmtId="0" fontId="19" fillId="10" borderId="0" xfId="0" applyFont="1" applyFill="1" applyAlignment="1">
      <alignment vertical="center" wrapText="1"/>
    </xf>
    <xf numFmtId="0" fontId="2" fillId="2" borderId="27" xfId="0" applyFont="1" applyFill="1" applyBorder="1" applyAlignment="1">
      <alignment horizontal="center" vertical="center" wrapText="1"/>
    </xf>
    <xf numFmtId="0" fontId="2" fillId="2" borderId="27" xfId="0" applyFont="1" applyFill="1" applyBorder="1" applyAlignment="1">
      <alignment horizontal="center" vertical="center"/>
    </xf>
    <xf numFmtId="0" fontId="2" fillId="8" borderId="0" xfId="0" applyFont="1" applyFill="1" applyAlignment="1">
      <alignment vertical="center"/>
    </xf>
    <xf numFmtId="0" fontId="19" fillId="10" borderId="0" xfId="0" applyFont="1" applyFill="1" applyAlignment="1">
      <alignment vertical="center"/>
    </xf>
    <xf numFmtId="0" fontId="28" fillId="10" borderId="0" xfId="0" applyFont="1" applyFill="1" applyAlignment="1">
      <alignment horizontal="center" vertical="center"/>
    </xf>
    <xf numFmtId="0" fontId="28" fillId="0" borderId="0" xfId="0" applyFont="1" applyAlignment="1">
      <alignment horizontal="center" vertical="center"/>
    </xf>
    <xf numFmtId="0" fontId="19" fillId="10" borderId="0" xfId="0" applyFont="1" applyFill="1" applyAlignment="1">
      <alignment horizontal="center" vertical="center"/>
    </xf>
    <xf numFmtId="0" fontId="20" fillId="10" borderId="0" xfId="0" applyFont="1" applyFill="1" applyAlignment="1">
      <alignment vertical="center"/>
    </xf>
    <xf numFmtId="0" fontId="5" fillId="2" borderId="27" xfId="0" applyFont="1" applyFill="1" applyBorder="1" applyAlignment="1">
      <alignment horizontal="center" vertical="center"/>
    </xf>
    <xf numFmtId="0" fontId="5" fillId="8" borderId="0" xfId="0" applyFont="1" applyFill="1" applyAlignment="1">
      <alignment vertical="center"/>
    </xf>
    <xf numFmtId="0" fontId="30" fillId="10" borderId="0" xfId="0" applyFont="1" applyFill="1" applyAlignment="1">
      <alignment vertical="center"/>
    </xf>
    <xf numFmtId="0" fontId="31" fillId="10" borderId="0" xfId="0" applyFont="1" applyFill="1" applyAlignment="1">
      <alignment horizontal="center" vertical="center"/>
    </xf>
    <xf numFmtId="0" fontId="30" fillId="0" borderId="0" xfId="0" applyFont="1" applyAlignment="1">
      <alignment vertical="center"/>
    </xf>
    <xf numFmtId="0" fontId="31" fillId="0" borderId="0" xfId="0" applyFont="1" applyAlignment="1">
      <alignment horizontal="center" vertical="center"/>
    </xf>
    <xf numFmtId="0" fontId="30" fillId="10" borderId="0" xfId="0" applyFont="1" applyFill="1" applyAlignment="1">
      <alignment horizontal="center" vertical="center"/>
    </xf>
    <xf numFmtId="0" fontId="30" fillId="11" borderId="0" xfId="0" applyFont="1" applyFill="1" applyAlignment="1">
      <alignment vertical="center"/>
    </xf>
    <xf numFmtId="0" fontId="31" fillId="11" borderId="0" xfId="0" applyFont="1" applyFill="1" applyAlignment="1">
      <alignment horizontal="center" vertical="center"/>
    </xf>
    <xf numFmtId="0" fontId="30" fillId="11" borderId="0" xfId="0" applyFont="1" applyFill="1" applyAlignment="1">
      <alignment horizontal="center" vertical="center"/>
    </xf>
    <xf numFmtId="0" fontId="24" fillId="10" borderId="0" xfId="0" applyFont="1" applyFill="1" applyAlignment="1">
      <alignment vertical="center"/>
    </xf>
    <xf numFmtId="0" fontId="33" fillId="10" borderId="0" xfId="0" applyFont="1" applyFill="1" applyAlignment="1">
      <alignment horizontal="center" vertical="center"/>
    </xf>
    <xf numFmtId="0" fontId="3" fillId="10" borderId="0" xfId="0" applyFont="1" applyFill="1" applyAlignment="1">
      <alignment vertical="center"/>
    </xf>
    <xf numFmtId="0" fontId="3" fillId="0" borderId="0" xfId="0" applyFont="1" applyAlignment="1">
      <alignment vertical="center"/>
    </xf>
    <xf numFmtId="0" fontId="7" fillId="2" borderId="28" xfId="0" applyFont="1" applyFill="1" applyBorder="1" applyAlignment="1">
      <alignment horizontal="center" vertical="center"/>
    </xf>
    <xf numFmtId="0" fontId="25" fillId="10" borderId="0" xfId="0" applyFont="1" applyFill="1" applyAlignment="1">
      <alignment horizontal="center" vertical="center"/>
    </xf>
    <xf numFmtId="0" fontId="35" fillId="10" borderId="0" xfId="0" applyFont="1" applyFill="1" applyAlignment="1">
      <alignment vertical="center"/>
    </xf>
    <xf numFmtId="0" fontId="35" fillId="0" borderId="0" xfId="0" applyFont="1" applyAlignment="1">
      <alignment vertical="center"/>
    </xf>
    <xf numFmtId="0" fontId="13" fillId="0" borderId="30" xfId="0" applyFont="1" applyBorder="1" applyAlignment="1">
      <alignment horizontal="center" vertical="center"/>
    </xf>
    <xf numFmtId="0" fontId="9" fillId="10" borderId="30" xfId="0" applyFont="1" applyFill="1" applyBorder="1" applyAlignment="1">
      <alignment vertical="center"/>
    </xf>
    <xf numFmtId="0" fontId="25" fillId="10" borderId="30" xfId="0" applyFont="1" applyFill="1" applyBorder="1" applyAlignment="1">
      <alignment horizontal="center" vertical="center"/>
    </xf>
    <xf numFmtId="0" fontId="35" fillId="10" borderId="30" xfId="0" applyFont="1" applyFill="1" applyBorder="1" applyAlignment="1">
      <alignment vertical="center"/>
    </xf>
    <xf numFmtId="0" fontId="9" fillId="10" borderId="30" xfId="0" applyFont="1" applyFill="1" applyBorder="1" applyAlignment="1">
      <alignment horizontal="center" vertical="center"/>
    </xf>
    <xf numFmtId="0" fontId="36" fillId="0" borderId="0" xfId="0" applyFont="1" applyAlignment="1">
      <alignment horizontal="center" vertical="center"/>
    </xf>
    <xf numFmtId="0" fontId="9" fillId="0" borderId="30" xfId="0" applyFont="1" applyBorder="1" applyAlignment="1">
      <alignment vertical="center"/>
    </xf>
    <xf numFmtId="0" fontId="35" fillId="0" borderId="30" xfId="0" applyFont="1" applyBorder="1" applyAlignment="1">
      <alignment vertical="center"/>
    </xf>
    <xf numFmtId="0" fontId="25" fillId="0" borderId="30" xfId="0" applyFont="1" applyBorder="1" applyAlignment="1">
      <alignment horizontal="center" vertical="center"/>
    </xf>
    <xf numFmtId="0" fontId="9" fillId="0" borderId="30" xfId="0" applyFont="1" applyBorder="1" applyAlignment="1">
      <alignment horizontal="center" vertical="center"/>
    </xf>
    <xf numFmtId="0" fontId="38" fillId="11" borderId="0" xfId="0" applyFont="1" applyFill="1" applyAlignment="1">
      <alignment horizontal="center" vertical="center"/>
    </xf>
    <xf numFmtId="0" fontId="35" fillId="11" borderId="0" xfId="0" applyFont="1" applyFill="1" applyAlignment="1">
      <alignment vertical="center"/>
    </xf>
    <xf numFmtId="0" fontId="25" fillId="11" borderId="0" xfId="0" applyFont="1" applyFill="1" applyAlignment="1">
      <alignment horizontal="center" vertical="center"/>
    </xf>
    <xf numFmtId="0" fontId="9" fillId="11" borderId="30" xfId="0" applyFont="1" applyFill="1" applyBorder="1" applyAlignment="1">
      <alignment vertical="center"/>
    </xf>
    <xf numFmtId="0" fontId="25" fillId="11" borderId="30" xfId="0" applyFont="1" applyFill="1" applyBorder="1" applyAlignment="1">
      <alignment horizontal="center" vertical="center"/>
    </xf>
    <xf numFmtId="0" fontId="35" fillId="11" borderId="30" xfId="0" applyFont="1" applyFill="1" applyBorder="1" applyAlignment="1">
      <alignment vertical="center"/>
    </xf>
    <xf numFmtId="0" fontId="9" fillId="11" borderId="30" xfId="0" applyFont="1" applyFill="1" applyBorder="1" applyAlignment="1">
      <alignment horizontal="center" vertical="center"/>
    </xf>
    <xf numFmtId="0" fontId="9" fillId="11" borderId="31" xfId="0" applyFont="1" applyFill="1" applyBorder="1" applyAlignment="1">
      <alignment vertical="center"/>
    </xf>
    <xf numFmtId="0" fontId="35" fillId="11" borderId="31" xfId="0" applyFont="1" applyFill="1" applyBorder="1" applyAlignment="1">
      <alignment vertical="center"/>
    </xf>
    <xf numFmtId="0" fontId="9" fillId="11" borderId="31" xfId="0" applyFont="1" applyFill="1" applyBorder="1" applyAlignment="1">
      <alignment horizontal="center" vertical="center"/>
    </xf>
    <xf numFmtId="0" fontId="13" fillId="0" borderId="30" xfId="0" applyFont="1" applyBorder="1" applyAlignment="1">
      <alignment horizontal="left" vertical="center"/>
    </xf>
    <xf numFmtId="0" fontId="40" fillId="0" borderId="0" xfId="0" applyFont="1" applyAlignment="1">
      <alignment vertical="center"/>
    </xf>
    <xf numFmtId="0" fontId="20" fillId="10" borderId="0" xfId="0" applyFont="1" applyFill="1" applyAlignment="1">
      <alignment horizontal="center" vertical="center"/>
    </xf>
    <xf numFmtId="0" fontId="20" fillId="0" borderId="0" xfId="0" applyFont="1" applyAlignment="1">
      <alignment horizontal="center" vertical="center"/>
    </xf>
    <xf numFmtId="0" fontId="0" fillId="0" borderId="0" xfId="0" applyAlignment="1">
      <alignment vertical="center"/>
    </xf>
    <xf numFmtId="0" fontId="20" fillId="0" borderId="0" xfId="0" applyFont="1" applyAlignment="1">
      <alignment vertical="center"/>
    </xf>
    <xf numFmtId="0" fontId="19" fillId="0" borderId="0" xfId="0" applyFont="1" applyAlignment="1">
      <alignment horizontal="center" vertical="center"/>
    </xf>
    <xf numFmtId="0" fontId="2" fillId="4" borderId="0" xfId="0" applyFont="1" applyFill="1" applyAlignment="1">
      <alignment vertical="center"/>
    </xf>
    <xf numFmtId="0" fontId="20" fillId="6" borderId="0" xfId="0" applyFont="1" applyFill="1" applyAlignment="1">
      <alignment vertical="center"/>
    </xf>
    <xf numFmtId="0" fontId="16" fillId="0" borderId="0" xfId="0" applyFont="1" applyAlignment="1">
      <alignment horizontal="center"/>
    </xf>
    <xf numFmtId="0" fontId="16" fillId="0" borderId="0" xfId="0" applyFont="1"/>
    <xf numFmtId="0" fontId="7" fillId="2" borderId="37" xfId="0" applyFont="1" applyFill="1" applyBorder="1" applyAlignment="1">
      <alignment horizontal="center" vertical="center"/>
    </xf>
    <xf numFmtId="0" fontId="7" fillId="2" borderId="38" xfId="0" applyFont="1" applyFill="1" applyBorder="1" applyAlignment="1">
      <alignment horizontal="center" vertical="center"/>
    </xf>
    <xf numFmtId="0" fontId="14" fillId="6" borderId="0" xfId="0" applyFont="1" applyFill="1" applyAlignment="1">
      <alignment horizontal="center" vertical="center"/>
    </xf>
    <xf numFmtId="0" fontId="14" fillId="6" borderId="0" xfId="0" applyFont="1" applyFill="1" applyAlignment="1">
      <alignment vertical="center"/>
    </xf>
    <xf numFmtId="168" fontId="14" fillId="6" borderId="0" xfId="0" applyNumberFormat="1" applyFont="1" applyFill="1" applyAlignment="1">
      <alignment horizontal="right" vertical="center"/>
    </xf>
    <xf numFmtId="168" fontId="14" fillId="6" borderId="0" xfId="1" applyNumberFormat="1" applyFont="1" applyFill="1" applyAlignment="1">
      <alignment horizontal="right" vertical="center"/>
    </xf>
    <xf numFmtId="0" fontId="16" fillId="0" borderId="0" xfId="0" applyFont="1" applyAlignment="1">
      <alignment horizontal="center" vertical="center"/>
    </xf>
    <xf numFmtId="0" fontId="16" fillId="0" borderId="0" xfId="0" applyFont="1" applyAlignment="1">
      <alignment vertical="center"/>
    </xf>
    <xf numFmtId="168" fontId="14" fillId="7" borderId="0" xfId="0" applyNumberFormat="1" applyFont="1" applyFill="1" applyAlignment="1">
      <alignment horizontal="right" vertical="center"/>
    </xf>
    <xf numFmtId="0" fontId="26" fillId="4" borderId="0" xfId="0" applyFont="1" applyFill="1" applyAlignment="1">
      <alignment horizontal="center" vertical="center"/>
    </xf>
    <xf numFmtId="0" fontId="7" fillId="4" borderId="0" xfId="0" applyFont="1" applyFill="1" applyAlignment="1">
      <alignment vertical="center"/>
    </xf>
    <xf numFmtId="168" fontId="7" fillId="4" borderId="0" xfId="0" applyNumberFormat="1" applyFont="1" applyFill="1" applyAlignment="1">
      <alignment horizontal="right" vertical="center"/>
    </xf>
    <xf numFmtId="0" fontId="7" fillId="2" borderId="39" xfId="0" applyFont="1" applyFill="1" applyBorder="1" applyAlignment="1">
      <alignment horizontal="center" vertical="center"/>
    </xf>
    <xf numFmtId="0" fontId="21" fillId="6" borderId="0" xfId="0" applyFont="1" applyFill="1" applyAlignment="1">
      <alignment vertical="center"/>
    </xf>
    <xf numFmtId="0" fontId="21" fillId="0" borderId="0" xfId="0" applyFont="1" applyAlignment="1">
      <alignment vertical="center"/>
    </xf>
    <xf numFmtId="0" fontId="7" fillId="2" borderId="43" xfId="0" applyFont="1" applyFill="1" applyBorder="1" applyAlignment="1">
      <alignment horizontal="center" vertical="center" wrapText="1"/>
    </xf>
    <xf numFmtId="0" fontId="7" fillId="2" borderId="44" xfId="0" applyFont="1" applyFill="1" applyBorder="1" applyAlignment="1">
      <alignment horizontal="center" vertical="center" wrapText="1"/>
    </xf>
    <xf numFmtId="0" fontId="7" fillId="2" borderId="45" xfId="0" applyFont="1" applyFill="1" applyBorder="1" applyAlignment="1">
      <alignment horizontal="center" vertical="center" wrapText="1"/>
    </xf>
    <xf numFmtId="0" fontId="43" fillId="13" borderId="0" xfId="0" applyFont="1" applyFill="1" applyAlignment="1">
      <alignment horizontal="center" vertical="center"/>
    </xf>
    <xf numFmtId="0" fontId="43" fillId="13" borderId="0" xfId="0" applyFont="1" applyFill="1" applyAlignment="1">
      <alignment vertical="center" wrapText="1"/>
    </xf>
    <xf numFmtId="168" fontId="43" fillId="13" borderId="0" xfId="0" applyNumberFormat="1" applyFont="1" applyFill="1" applyAlignment="1">
      <alignment vertical="center"/>
    </xf>
    <xf numFmtId="0" fontId="16" fillId="6" borderId="0" xfId="0" applyFont="1" applyFill="1" applyAlignment="1">
      <alignment horizontal="center" vertical="center"/>
    </xf>
    <xf numFmtId="169" fontId="16" fillId="6" borderId="0" xfId="3" applyNumberFormat="1" applyFont="1" applyFill="1" applyAlignment="1">
      <alignment horizontal="left" vertical="center" wrapText="1"/>
    </xf>
    <xf numFmtId="168" fontId="16" fillId="6" borderId="0" xfId="4" applyNumberFormat="1" applyFont="1" applyFill="1" applyAlignment="1">
      <alignment vertical="center"/>
    </xf>
    <xf numFmtId="169" fontId="16" fillId="0" borderId="0" xfId="3" applyNumberFormat="1" applyFont="1" applyAlignment="1">
      <alignment horizontal="left" vertical="center" wrapText="1"/>
    </xf>
    <xf numFmtId="168" fontId="16" fillId="7" borderId="0" xfId="4" applyNumberFormat="1" applyFont="1" applyFill="1" applyAlignment="1">
      <alignment vertical="center"/>
    </xf>
    <xf numFmtId="171" fontId="43" fillId="13" borderId="0" xfId="0" applyNumberFormat="1" applyFont="1" applyFill="1" applyAlignment="1">
      <alignment vertical="center"/>
    </xf>
    <xf numFmtId="171" fontId="16" fillId="6" borderId="0" xfId="4" applyNumberFormat="1" applyFont="1" applyFill="1" applyAlignment="1">
      <alignment horizontal="right" vertical="center"/>
    </xf>
    <xf numFmtId="0" fontId="16" fillId="7" borderId="0" xfId="0" applyFont="1" applyFill="1" applyAlignment="1">
      <alignment horizontal="center" vertical="center"/>
    </xf>
    <xf numFmtId="169" fontId="16" fillId="7" borderId="0" xfId="3" applyNumberFormat="1" applyFont="1" applyFill="1" applyAlignment="1">
      <alignment horizontal="left" vertical="center" wrapText="1"/>
    </xf>
    <xf numFmtId="171" fontId="16" fillId="7" borderId="0" xfId="4" applyNumberFormat="1" applyFont="1" applyFill="1" applyAlignment="1">
      <alignment horizontal="right" vertical="center"/>
    </xf>
    <xf numFmtId="0" fontId="16" fillId="6" borderId="0" xfId="0" applyFont="1" applyFill="1" applyAlignment="1">
      <alignment horizontal="center" vertical="center" wrapText="1"/>
    </xf>
    <xf numFmtId="168" fontId="16" fillId="6" borderId="0" xfId="4" applyNumberFormat="1" applyFont="1" applyFill="1" applyAlignment="1">
      <alignment vertical="center" wrapText="1"/>
    </xf>
    <xf numFmtId="0" fontId="16" fillId="7" borderId="0" xfId="0" applyFont="1" applyFill="1" applyAlignment="1">
      <alignment horizontal="center" vertical="center" wrapText="1"/>
    </xf>
    <xf numFmtId="168" fontId="16" fillId="7" borderId="0" xfId="4" applyNumberFormat="1" applyFont="1" applyFill="1" applyAlignment="1">
      <alignment vertical="center" wrapText="1"/>
    </xf>
    <xf numFmtId="0" fontId="14" fillId="11" borderId="0" xfId="0" applyFont="1" applyFill="1" applyAlignment="1">
      <alignment vertical="center"/>
    </xf>
    <xf numFmtId="171" fontId="14" fillId="11" borderId="0" xfId="1" applyNumberFormat="1" applyFont="1" applyFill="1" applyAlignment="1">
      <alignment horizontal="right" vertical="center"/>
    </xf>
    <xf numFmtId="171" fontId="14" fillId="6" borderId="0" xfId="1" applyNumberFormat="1" applyFont="1" applyFill="1" applyAlignment="1">
      <alignment horizontal="right" vertical="center"/>
    </xf>
    <xf numFmtId="0" fontId="7" fillId="4" borderId="0" xfId="0" applyFont="1" applyFill="1" applyAlignment="1">
      <alignment vertical="center" wrapText="1"/>
    </xf>
    <xf numFmtId="171" fontId="7" fillId="4" borderId="0" xfId="1" applyNumberFormat="1" applyFont="1" applyFill="1" applyAlignment="1">
      <alignment horizontal="right" vertical="center"/>
    </xf>
    <xf numFmtId="0" fontId="44" fillId="0" borderId="0" xfId="0" applyFont="1"/>
    <xf numFmtId="0" fontId="2" fillId="4" borderId="0" xfId="0" applyFont="1" applyFill="1" applyAlignment="1">
      <alignment vertical="center" wrapText="1"/>
    </xf>
    <xf numFmtId="3" fontId="20" fillId="6" borderId="0" xfId="0" applyNumberFormat="1" applyFont="1" applyFill="1" applyAlignment="1">
      <alignment horizontal="right" vertical="center"/>
    </xf>
    <xf numFmtId="0" fontId="2" fillId="2" borderId="6" xfId="0" applyFont="1" applyFill="1" applyBorder="1" applyAlignment="1">
      <alignment vertical="center" wrapText="1"/>
    </xf>
    <xf numFmtId="164" fontId="20" fillId="6" borderId="0" xfId="1" applyNumberFormat="1" applyFont="1" applyFill="1" applyAlignment="1">
      <alignment horizontal="right" vertical="center"/>
    </xf>
    <xf numFmtId="164" fontId="20" fillId="11" borderId="0" xfId="1" applyNumberFormat="1" applyFont="1" applyFill="1" applyAlignment="1">
      <alignment horizontal="right" vertical="center"/>
    </xf>
    <xf numFmtId="164" fontId="2" fillId="4" borderId="0" xfId="1" applyNumberFormat="1" applyFont="1" applyFill="1" applyAlignment="1">
      <alignment horizontal="right" vertical="center"/>
    </xf>
    <xf numFmtId="3" fontId="14" fillId="11" borderId="0" xfId="0" applyNumberFormat="1" applyFont="1" applyFill="1" applyAlignment="1">
      <alignment horizontal="right" vertical="center"/>
    </xf>
    <xf numFmtId="3" fontId="14" fillId="6" borderId="0" xfId="0" applyNumberFormat="1" applyFont="1" applyFill="1" applyAlignment="1">
      <alignment horizontal="right" vertical="center"/>
    </xf>
    <xf numFmtId="3" fontId="7" fillId="4" borderId="0" xfId="0" applyNumberFormat="1" applyFont="1" applyFill="1" applyAlignment="1">
      <alignment horizontal="right" vertical="center"/>
    </xf>
    <xf numFmtId="171" fontId="21" fillId="6" borderId="0" xfId="1" applyNumberFormat="1" applyFont="1" applyFill="1" applyAlignment="1">
      <alignment horizontal="right" vertical="center"/>
    </xf>
    <xf numFmtId="171" fontId="21" fillId="11" borderId="0" xfId="1" applyNumberFormat="1" applyFont="1" applyFill="1" applyAlignment="1">
      <alignment horizontal="right" vertical="center"/>
    </xf>
    <xf numFmtId="171" fontId="7" fillId="4" borderId="0" xfId="1" applyNumberFormat="1" applyFont="1" applyFill="1" applyAlignment="1">
      <alignment horizontal="center" vertical="center"/>
    </xf>
    <xf numFmtId="0" fontId="20" fillId="11" borderId="0" xfId="0" applyFont="1" applyFill="1" applyAlignment="1">
      <alignment vertical="center"/>
    </xf>
    <xf numFmtId="0" fontId="47" fillId="0" borderId="0" xfId="0" applyFont="1"/>
    <xf numFmtId="0" fontId="14" fillId="6" borderId="0" xfId="0" applyFont="1" applyFill="1" applyAlignment="1">
      <alignment horizontal="center" vertical="center" wrapText="1"/>
    </xf>
    <xf numFmtId="0" fontId="14" fillId="6" borderId="0" xfId="0" applyFont="1" applyFill="1" applyAlignment="1">
      <alignment horizontal="left" vertical="center" wrapText="1"/>
    </xf>
    <xf numFmtId="0" fontId="14" fillId="0" borderId="0" xfId="0" applyFont="1" applyAlignment="1">
      <alignment horizontal="center" vertical="center" wrapText="1"/>
    </xf>
    <xf numFmtId="0" fontId="14" fillId="0" borderId="0" xfId="0" applyFont="1" applyAlignment="1">
      <alignment horizontal="left" vertical="center" wrapText="1"/>
    </xf>
    <xf numFmtId="168" fontId="16" fillId="0" borderId="0" xfId="4" applyNumberFormat="1" applyFont="1" applyAlignment="1">
      <alignment vertical="center"/>
    </xf>
    <xf numFmtId="3" fontId="21" fillId="11" borderId="0" xfId="0" applyNumberFormat="1" applyFont="1" applyFill="1" applyAlignment="1">
      <alignment horizontal="right" vertical="center"/>
    </xf>
    <xf numFmtId="3" fontId="21" fillId="6" borderId="0" xfId="0" applyNumberFormat="1" applyFont="1" applyFill="1" applyAlignment="1">
      <alignment horizontal="right" vertical="center"/>
    </xf>
    <xf numFmtId="0" fontId="21" fillId="11" borderId="0" xfId="0" applyFont="1" applyFill="1" applyAlignment="1">
      <alignment vertical="center"/>
    </xf>
    <xf numFmtId="0" fontId="7" fillId="2" borderId="0" xfId="0" applyFont="1" applyFill="1" applyAlignment="1">
      <alignment vertical="center"/>
    </xf>
    <xf numFmtId="0" fontId="7" fillId="2" borderId="49" xfId="0" applyFont="1" applyFill="1" applyBorder="1" applyAlignment="1">
      <alignment horizontal="center" vertical="center" wrapText="1"/>
    </xf>
    <xf numFmtId="0" fontId="7" fillId="2" borderId="50" xfId="0" applyFont="1" applyFill="1" applyBorder="1" applyAlignment="1">
      <alignment horizontal="center" vertical="center" wrapText="1"/>
    </xf>
    <xf numFmtId="0" fontId="25" fillId="6" borderId="0" xfId="0" applyFont="1" applyFill="1" applyAlignment="1">
      <alignment horizontal="center" vertical="center" wrapText="1"/>
    </xf>
    <xf numFmtId="0" fontId="9" fillId="6" borderId="51" xfId="0" applyFont="1" applyFill="1" applyBorder="1" applyAlignment="1">
      <alignment horizontal="center" vertical="center" wrapText="1"/>
    </xf>
    <xf numFmtId="0" fontId="9" fillId="6" borderId="52" xfId="0" applyFont="1" applyFill="1" applyBorder="1" applyAlignment="1">
      <alignment horizontal="center" vertical="center"/>
    </xf>
    <xf numFmtId="0" fontId="9" fillId="6" borderId="52" xfId="0" applyFont="1" applyFill="1" applyBorder="1" applyAlignment="1">
      <alignment horizontal="right" vertical="center"/>
    </xf>
    <xf numFmtId="0" fontId="9" fillId="6" borderId="53" xfId="0" applyFont="1" applyFill="1" applyBorder="1" applyAlignment="1">
      <alignment horizontal="right" vertical="center"/>
    </xf>
    <xf numFmtId="0" fontId="9" fillId="6" borderId="51" xfId="0" applyFont="1" applyFill="1" applyBorder="1" applyAlignment="1">
      <alignment horizontal="right" vertical="center"/>
    </xf>
    <xf numFmtId="3" fontId="9" fillId="6" borderId="53" xfId="0" applyNumberFormat="1" applyFont="1" applyFill="1" applyBorder="1" applyAlignment="1">
      <alignment horizontal="right" vertical="center"/>
    </xf>
    <xf numFmtId="0" fontId="7" fillId="2" borderId="15" xfId="0" applyFont="1" applyFill="1" applyBorder="1" applyAlignment="1">
      <alignment horizontal="center" vertical="center"/>
    </xf>
    <xf numFmtId="0" fontId="8" fillId="0" borderId="6" xfId="0" applyFont="1" applyBorder="1" applyAlignment="1">
      <alignment vertical="center"/>
    </xf>
    <xf numFmtId="3" fontId="8" fillId="0" borderId="6" xfId="0" applyNumberFormat="1" applyFont="1" applyBorder="1" applyAlignment="1">
      <alignment horizontal="right" vertical="center"/>
    </xf>
    <xf numFmtId="0" fontId="8" fillId="0" borderId="6" xfId="0" applyFont="1" applyBorder="1" applyAlignment="1">
      <alignment horizontal="right" vertical="center"/>
    </xf>
    <xf numFmtId="3" fontId="17" fillId="0" borderId="55" xfId="0" applyNumberFormat="1" applyFont="1" applyBorder="1" applyAlignment="1">
      <alignment horizontal="right" vertical="center"/>
    </xf>
    <xf numFmtId="0" fontId="14" fillId="11" borderId="6" xfId="0" applyFont="1" applyFill="1" applyBorder="1" applyAlignment="1">
      <alignment vertical="center"/>
    </xf>
    <xf numFmtId="0" fontId="14" fillId="11" borderId="6" xfId="0" applyFont="1" applyFill="1" applyBorder="1" applyAlignment="1">
      <alignment horizontal="right" vertical="center"/>
    </xf>
    <xf numFmtId="3" fontId="14" fillId="11" borderId="6" xfId="0" applyNumberFormat="1" applyFont="1" applyFill="1" applyBorder="1" applyAlignment="1">
      <alignment horizontal="right" vertical="center"/>
    </xf>
    <xf numFmtId="3" fontId="46" fillId="11" borderId="56" xfId="0" applyNumberFormat="1" applyFont="1" applyFill="1" applyBorder="1" applyAlignment="1">
      <alignment horizontal="right" vertical="center"/>
    </xf>
    <xf numFmtId="0" fontId="35" fillId="11" borderId="6" xfId="0" applyFont="1" applyFill="1" applyBorder="1" applyAlignment="1">
      <alignment vertical="center"/>
    </xf>
    <xf numFmtId="3" fontId="8" fillId="0" borderId="0" xfId="0" applyNumberFormat="1" applyFont="1" applyAlignment="1">
      <alignment horizontal="right" vertical="center"/>
    </xf>
    <xf numFmtId="0" fontId="14" fillId="11" borderId="60" xfId="0" applyFont="1" applyFill="1" applyBorder="1" applyAlignment="1">
      <alignment vertical="center"/>
    </xf>
    <xf numFmtId="3" fontId="14" fillId="11" borderId="60" xfId="0" applyNumberFormat="1" applyFont="1" applyFill="1" applyBorder="1" applyAlignment="1">
      <alignment horizontal="right" vertical="center"/>
    </xf>
    <xf numFmtId="0" fontId="14" fillId="11" borderId="61" xfId="0" applyFont="1" applyFill="1" applyBorder="1" applyAlignment="1">
      <alignment horizontal="right" vertical="center"/>
    </xf>
    <xf numFmtId="3" fontId="14" fillId="11" borderId="63" xfId="0" applyNumberFormat="1" applyFont="1" applyFill="1" applyBorder="1" applyAlignment="1">
      <alignment horizontal="right" vertical="center"/>
    </xf>
    <xf numFmtId="3" fontId="14" fillId="11" borderId="64" xfId="0" applyNumberFormat="1" applyFont="1" applyFill="1" applyBorder="1" applyAlignment="1">
      <alignment horizontal="right" vertical="center"/>
    </xf>
    <xf numFmtId="3" fontId="46" fillId="11" borderId="65" xfId="0" applyNumberFormat="1" applyFont="1" applyFill="1" applyBorder="1" applyAlignment="1">
      <alignment horizontal="right" vertical="center"/>
    </xf>
    <xf numFmtId="3" fontId="46" fillId="11" borderId="66" xfId="0" applyNumberFormat="1" applyFont="1" applyFill="1" applyBorder="1" applyAlignment="1">
      <alignment horizontal="right" vertical="center"/>
    </xf>
    <xf numFmtId="3" fontId="46" fillId="11" borderId="67" xfId="0" applyNumberFormat="1" applyFont="1" applyFill="1" applyBorder="1" applyAlignment="1">
      <alignment horizontal="right" vertical="center"/>
    </xf>
    <xf numFmtId="0" fontId="9" fillId="10" borderId="0" xfId="0" applyFont="1" applyFill="1" applyAlignment="1">
      <alignment horizontal="right" vertical="center"/>
    </xf>
    <xf numFmtId="0" fontId="9" fillId="0" borderId="0" xfId="0" applyFont="1" applyAlignment="1">
      <alignment horizontal="right" vertical="center"/>
    </xf>
    <xf numFmtId="0" fontId="7" fillId="8" borderId="0" xfId="0" applyFont="1" applyFill="1" applyAlignment="1">
      <alignment horizontal="right" vertical="center"/>
    </xf>
    <xf numFmtId="164" fontId="9" fillId="10" borderId="0" xfId="1" applyNumberFormat="1" applyFont="1" applyFill="1" applyAlignment="1">
      <alignment horizontal="right" vertical="center"/>
    </xf>
    <xf numFmtId="164" fontId="9" fillId="0" borderId="0" xfId="1" applyNumberFormat="1" applyFont="1" applyAlignment="1">
      <alignment horizontal="right" vertical="center"/>
    </xf>
    <xf numFmtId="164" fontId="9" fillId="11" borderId="0" xfId="1" applyNumberFormat="1" applyFont="1" applyFill="1" applyAlignment="1">
      <alignment horizontal="right" vertical="center"/>
    </xf>
    <xf numFmtId="164" fontId="9" fillId="3" borderId="0" xfId="1" applyNumberFormat="1" applyFont="1" applyFill="1" applyAlignment="1">
      <alignment horizontal="right" vertical="center"/>
    </xf>
    <xf numFmtId="164" fontId="7" fillId="8" borderId="0" xfId="1" applyNumberFormat="1" applyFont="1" applyFill="1" applyAlignment="1">
      <alignment horizontal="right" vertical="center"/>
    </xf>
    <xf numFmtId="0" fontId="20" fillId="10" borderId="0" xfId="0" applyFont="1" applyFill="1" applyAlignment="1">
      <alignment horizontal="justify" vertical="center"/>
    </xf>
    <xf numFmtId="9" fontId="20" fillId="10" borderId="0" xfId="0" applyNumberFormat="1" applyFont="1" applyFill="1" applyAlignment="1">
      <alignment horizontal="center" vertical="center"/>
    </xf>
    <xf numFmtId="0" fontId="20" fillId="11" borderId="0" xfId="0" applyFont="1" applyFill="1" applyAlignment="1">
      <alignment horizontal="center" vertical="center"/>
    </xf>
    <xf numFmtId="0" fontId="20" fillId="11" borderId="0" xfId="0" applyFont="1" applyFill="1" applyAlignment="1">
      <alignment horizontal="justify" vertical="center"/>
    </xf>
    <xf numFmtId="9" fontId="20" fillId="11" borderId="0" xfId="0" applyNumberFormat="1" applyFont="1" applyFill="1" applyAlignment="1">
      <alignment horizontal="center" vertical="center"/>
    </xf>
    <xf numFmtId="0" fontId="20" fillId="6" borderId="0" xfId="0" applyFont="1" applyFill="1" applyAlignment="1">
      <alignment horizontal="center" vertical="center"/>
    </xf>
    <xf numFmtId="0" fontId="20" fillId="6" borderId="0" xfId="0" applyFont="1" applyFill="1" applyAlignment="1">
      <alignment horizontal="justify" vertical="center"/>
    </xf>
    <xf numFmtId="9" fontId="20" fillId="6" borderId="0" xfId="0" applyNumberFormat="1" applyFont="1" applyFill="1" applyAlignment="1">
      <alignment horizontal="center" vertical="center"/>
    </xf>
    <xf numFmtId="0" fontId="2" fillId="2" borderId="6" xfId="0" applyFont="1" applyFill="1" applyBorder="1" applyAlignment="1">
      <alignment horizontal="right" vertical="center" wrapText="1"/>
    </xf>
    <xf numFmtId="0" fontId="3" fillId="6" borderId="0" xfId="0" applyFont="1" applyFill="1" applyAlignment="1">
      <alignment vertical="center"/>
    </xf>
    <xf numFmtId="164" fontId="3" fillId="0" borderId="0" xfId="1" applyNumberFormat="1" applyFont="1" applyAlignment="1">
      <alignment horizontal="right" vertical="center"/>
    </xf>
    <xf numFmtId="164" fontId="3" fillId="6" borderId="0" xfId="1" applyNumberFormat="1" applyFont="1" applyFill="1" applyAlignment="1">
      <alignment horizontal="right" vertical="center"/>
    </xf>
    <xf numFmtId="0" fontId="7" fillId="2" borderId="69" xfId="0" applyFont="1" applyFill="1" applyBorder="1" applyAlignment="1">
      <alignment horizontal="center" vertical="center"/>
    </xf>
    <xf numFmtId="0" fontId="35" fillId="6" borderId="0" xfId="0" applyFont="1" applyFill="1"/>
    <xf numFmtId="0" fontId="35" fillId="6" borderId="0" xfId="0" applyFont="1" applyFill="1" applyAlignment="1">
      <alignment vertical="center"/>
    </xf>
    <xf numFmtId="0" fontId="7" fillId="4" borderId="0" xfId="0" applyFont="1" applyFill="1" applyAlignment="1">
      <alignment horizontal="center" vertical="center"/>
    </xf>
    <xf numFmtId="164" fontId="21" fillId="6" borderId="0" xfId="1" applyNumberFormat="1" applyFont="1" applyFill="1" applyAlignment="1">
      <alignment horizontal="right" vertical="center"/>
    </xf>
    <xf numFmtId="164" fontId="21" fillId="11" borderId="0" xfId="1" applyNumberFormat="1" applyFont="1" applyFill="1" applyAlignment="1">
      <alignment horizontal="right" vertical="center"/>
    </xf>
    <xf numFmtId="164" fontId="7" fillId="4" borderId="0" xfId="1" applyNumberFormat="1" applyFont="1" applyFill="1" applyAlignment="1">
      <alignment horizontal="right" vertical="center"/>
    </xf>
    <xf numFmtId="0" fontId="20" fillId="10" borderId="0" xfId="0" applyFont="1" applyFill="1" applyAlignment="1">
      <alignment horizontal="justify" vertical="center" wrapText="1"/>
    </xf>
    <xf numFmtId="0" fontId="20" fillId="0" borderId="0" xfId="0" applyFont="1" applyAlignment="1">
      <alignment horizontal="justify" vertical="center" wrapText="1"/>
    </xf>
    <xf numFmtId="0" fontId="21" fillId="0" borderId="0" xfId="0" applyFont="1" applyAlignment="1">
      <alignment horizontal="center" vertical="center" wrapText="1"/>
    </xf>
    <xf numFmtId="0" fontId="7" fillId="2" borderId="0" xfId="0" applyFont="1" applyFill="1" applyAlignment="1">
      <alignment horizontal="justify" vertical="center"/>
    </xf>
    <xf numFmtId="0" fontId="21" fillId="10" borderId="0" xfId="0" applyFont="1" applyFill="1" applyAlignment="1">
      <alignment horizontal="justify" vertical="center"/>
    </xf>
    <xf numFmtId="9" fontId="21" fillId="10" borderId="0" xfId="0" applyNumberFormat="1" applyFont="1" applyFill="1" applyAlignment="1">
      <alignment horizontal="center" vertical="center"/>
    </xf>
    <xf numFmtId="0" fontId="21" fillId="0" borderId="0" xfId="0" applyFont="1" applyAlignment="1">
      <alignment horizontal="justify" vertical="center"/>
    </xf>
    <xf numFmtId="9" fontId="21" fillId="0" borderId="0" xfId="0" applyNumberFormat="1" applyFont="1" applyAlignment="1">
      <alignment horizontal="center" vertical="center"/>
    </xf>
    <xf numFmtId="0" fontId="21" fillId="0" borderId="0" xfId="0" applyFont="1" applyAlignment="1">
      <alignment horizontal="center" vertical="center"/>
    </xf>
    <xf numFmtId="17" fontId="7" fillId="2" borderId="0" xfId="0" quotePrefix="1" applyNumberFormat="1" applyFont="1" applyFill="1" applyAlignment="1">
      <alignment horizontal="justify" vertical="center"/>
    </xf>
    <xf numFmtId="10" fontId="21" fillId="10" borderId="0" xfId="0" applyNumberFormat="1" applyFont="1" applyFill="1" applyAlignment="1">
      <alignment horizontal="center" vertical="center"/>
    </xf>
    <xf numFmtId="10" fontId="21" fillId="0" borderId="0" xfId="0" applyNumberFormat="1" applyFont="1" applyAlignment="1">
      <alignment horizontal="center" vertical="center"/>
    </xf>
    <xf numFmtId="0" fontId="14" fillId="10" borderId="0" xfId="0" applyFont="1" applyFill="1" applyAlignment="1">
      <alignment vertical="center"/>
    </xf>
    <xf numFmtId="9" fontId="14" fillId="10" borderId="0" xfId="0" applyNumberFormat="1" applyFont="1" applyFill="1" applyAlignment="1">
      <alignment horizontal="right" vertical="center"/>
    </xf>
    <xf numFmtId="9" fontId="8" fillId="0" borderId="0" xfId="0" applyNumberFormat="1" applyFont="1" applyAlignment="1">
      <alignment horizontal="right" vertical="center"/>
    </xf>
    <xf numFmtId="0" fontId="7" fillId="2" borderId="70" xfId="0" applyFont="1" applyFill="1" applyBorder="1" applyAlignment="1">
      <alignment horizontal="center" vertical="center"/>
    </xf>
    <xf numFmtId="0" fontId="7" fillId="2" borderId="71" xfId="0" applyFont="1" applyFill="1" applyBorder="1" applyAlignment="1">
      <alignment horizontal="center" vertical="center"/>
    </xf>
    <xf numFmtId="0" fontId="48" fillId="10" borderId="0" xfId="0" applyFont="1" applyFill="1" applyAlignment="1">
      <alignment vertical="center"/>
    </xf>
    <xf numFmtId="0" fontId="48" fillId="0" borderId="0" xfId="0" applyFont="1" applyAlignment="1">
      <alignment vertical="center"/>
    </xf>
    <xf numFmtId="0" fontId="18" fillId="10" borderId="0" xfId="0" applyFont="1" applyFill="1" applyAlignment="1">
      <alignment vertical="center"/>
    </xf>
    <xf numFmtId="0" fontId="48" fillId="0" borderId="0" xfId="0" applyFont="1" applyAlignment="1">
      <alignment vertical="center" wrapText="1"/>
    </xf>
    <xf numFmtId="0" fontId="19" fillId="10" borderId="0" xfId="0" applyFont="1" applyFill="1" applyAlignment="1">
      <alignment horizontal="justify" vertical="center" wrapText="1"/>
    </xf>
    <xf numFmtId="0" fontId="48" fillId="11" borderId="0" xfId="0" applyFont="1" applyFill="1" applyAlignment="1">
      <alignment vertical="center"/>
    </xf>
    <xf numFmtId="0" fontId="20" fillId="11" borderId="0" xfId="0" applyFont="1" applyFill="1" applyAlignment="1">
      <alignment vertical="center" wrapText="1"/>
    </xf>
    <xf numFmtId="0" fontId="20" fillId="11" borderId="0" xfId="0" applyFont="1" applyFill="1" applyAlignment="1">
      <alignment horizontal="justify" vertical="center" wrapText="1"/>
    </xf>
    <xf numFmtId="0" fontId="19" fillId="11" borderId="0" xfId="0" applyFont="1" applyFill="1" applyAlignment="1">
      <alignment horizontal="justify" vertical="center" wrapText="1"/>
    </xf>
    <xf numFmtId="0" fontId="20" fillId="10" borderId="0" xfId="0" applyFont="1" applyFill="1" applyAlignment="1">
      <alignment horizontal="left" vertical="center" wrapText="1"/>
    </xf>
    <xf numFmtId="0" fontId="2" fillId="2" borderId="12" xfId="0" applyFont="1" applyFill="1" applyBorder="1" applyAlignment="1">
      <alignment horizontal="center" vertical="center"/>
    </xf>
    <xf numFmtId="3" fontId="20" fillId="0" borderId="0" xfId="0" applyNumberFormat="1" applyFont="1" applyAlignment="1">
      <alignment horizontal="right" vertical="center"/>
    </xf>
    <xf numFmtId="3" fontId="2" fillId="8" borderId="0" xfId="0" applyNumberFormat="1" applyFont="1" applyFill="1" applyAlignment="1">
      <alignment horizontal="right" vertical="center"/>
    </xf>
    <xf numFmtId="0" fontId="7" fillId="2" borderId="6" xfId="0" applyFont="1" applyFill="1" applyBorder="1" applyAlignment="1">
      <alignment vertical="center" wrapText="1"/>
    </xf>
    <xf numFmtId="0" fontId="7" fillId="2" borderId="6" xfId="0" applyFont="1" applyFill="1" applyBorder="1" applyAlignment="1">
      <alignment horizontal="right" vertical="center" wrapText="1"/>
    </xf>
    <xf numFmtId="164" fontId="21" fillId="0" borderId="0" xfId="1" applyNumberFormat="1" applyFont="1" applyAlignment="1">
      <alignment horizontal="right" vertical="center"/>
    </xf>
    <xf numFmtId="0" fontId="7" fillId="2" borderId="37" xfId="0" applyFont="1" applyFill="1" applyBorder="1" applyAlignment="1">
      <alignment horizontal="center" vertical="center" wrapText="1"/>
    </xf>
    <xf numFmtId="0" fontId="7" fillId="12" borderId="0" xfId="0" applyFont="1" applyFill="1" applyAlignment="1">
      <alignment horizontal="center" vertical="center"/>
    </xf>
    <xf numFmtId="0" fontId="7" fillId="2" borderId="39" xfId="0" applyFont="1" applyFill="1" applyBorder="1" applyAlignment="1">
      <alignment vertical="center"/>
    </xf>
    <xf numFmtId="164" fontId="7" fillId="12" borderId="0" xfId="1" applyNumberFormat="1" applyFont="1" applyFill="1" applyAlignment="1">
      <alignment horizontal="right" vertical="center"/>
    </xf>
    <xf numFmtId="164" fontId="35" fillId="6" borderId="0" xfId="1" applyNumberFormat="1" applyFont="1" applyFill="1" applyAlignment="1">
      <alignment vertical="center"/>
    </xf>
    <xf numFmtId="164" fontId="35" fillId="11" borderId="0" xfId="1" applyNumberFormat="1" applyFont="1" applyFill="1" applyAlignment="1">
      <alignment vertical="center"/>
    </xf>
    <xf numFmtId="164" fontId="35" fillId="6" borderId="0" xfId="1" applyNumberFormat="1" applyFont="1" applyFill="1"/>
    <xf numFmtId="164" fontId="35" fillId="11" borderId="0" xfId="1" applyNumberFormat="1" applyFont="1" applyFill="1"/>
    <xf numFmtId="0" fontId="21" fillId="10" borderId="0" xfId="0" applyFont="1" applyFill="1" applyAlignment="1">
      <alignment vertical="center"/>
    </xf>
    <xf numFmtId="3" fontId="21" fillId="10" borderId="0" xfId="0" applyNumberFormat="1" applyFont="1" applyFill="1" applyAlignment="1">
      <alignment horizontal="right" vertical="center"/>
    </xf>
    <xf numFmtId="0" fontId="21" fillId="10" borderId="0" xfId="0" applyFont="1" applyFill="1" applyAlignment="1">
      <alignment horizontal="right" vertical="center"/>
    </xf>
    <xf numFmtId="164" fontId="21" fillId="10" borderId="0" xfId="1" applyNumberFormat="1" applyFont="1" applyFill="1" applyAlignment="1">
      <alignment horizontal="right" vertical="center"/>
    </xf>
    <xf numFmtId="3" fontId="21" fillId="0" borderId="0" xfId="0" applyNumberFormat="1" applyFont="1" applyAlignment="1">
      <alignment horizontal="right" vertical="center"/>
    </xf>
    <xf numFmtId="0" fontId="9" fillId="6" borderId="0" xfId="0" applyFont="1" applyFill="1" applyAlignment="1">
      <alignment horizontal="center" vertical="center"/>
    </xf>
    <xf numFmtId="0" fontId="9" fillId="6" borderId="0" xfId="0" applyFont="1" applyFill="1" applyAlignment="1">
      <alignment vertical="center"/>
    </xf>
    <xf numFmtId="0" fontId="48" fillId="0" borderId="72" xfId="0" applyFont="1" applyBorder="1" applyAlignment="1">
      <alignment vertical="center" wrapText="1"/>
    </xf>
    <xf numFmtId="0" fontId="20" fillId="14" borderId="73" xfId="0" applyFont="1" applyFill="1" applyBorder="1" applyAlignment="1">
      <alignment vertical="center" wrapText="1"/>
    </xf>
    <xf numFmtId="0" fontId="20" fillId="10" borderId="73" xfId="0" applyFont="1" applyFill="1" applyBorder="1" applyAlignment="1">
      <alignment vertical="center" wrapText="1"/>
    </xf>
    <xf numFmtId="0" fontId="20" fillId="14" borderId="73" xfId="0" applyFont="1" applyFill="1" applyBorder="1" applyAlignment="1">
      <alignment horizontal="center" vertical="center" wrapText="1"/>
    </xf>
    <xf numFmtId="0" fontId="2" fillId="2" borderId="54" xfId="0" applyFont="1" applyFill="1" applyBorder="1" applyAlignment="1">
      <alignment horizontal="center" vertical="center" wrapText="1"/>
    </xf>
    <xf numFmtId="0" fontId="15" fillId="0" borderId="0" xfId="0" applyFont="1"/>
    <xf numFmtId="0" fontId="20" fillId="10" borderId="0" xfId="0" applyFont="1" applyFill="1" applyAlignment="1">
      <alignment horizontal="right" vertical="center" wrapText="1"/>
    </xf>
    <xf numFmtId="43" fontId="20" fillId="10" borderId="0" xfId="1" applyFont="1" applyFill="1" applyAlignment="1">
      <alignment horizontal="right" vertical="center" wrapText="1"/>
    </xf>
    <xf numFmtId="10" fontId="3" fillId="10" borderId="0" xfId="0" applyNumberFormat="1" applyFont="1" applyFill="1" applyAlignment="1">
      <alignment horizontal="right" vertical="center" wrapText="1"/>
    </xf>
    <xf numFmtId="0" fontId="20" fillId="11" borderId="0" xfId="0" applyFont="1" applyFill="1" applyAlignment="1">
      <alignment horizontal="right" vertical="center" wrapText="1"/>
    </xf>
    <xf numFmtId="43" fontId="20" fillId="11" borderId="0" xfId="1" applyFont="1" applyFill="1" applyAlignment="1">
      <alignment horizontal="right" vertical="center" wrapText="1"/>
    </xf>
    <xf numFmtId="10" fontId="3" fillId="11" borderId="0" xfId="0" applyNumberFormat="1" applyFont="1" applyFill="1" applyAlignment="1">
      <alignment horizontal="right" vertical="center" wrapText="1"/>
    </xf>
    <xf numFmtId="0" fontId="20" fillId="15" borderId="0" xfId="0" applyFont="1" applyFill="1" applyAlignment="1">
      <alignment vertical="center" wrapText="1"/>
    </xf>
    <xf numFmtId="0" fontId="21" fillId="10" borderId="0" xfId="0" applyFont="1" applyFill="1" applyAlignment="1">
      <alignment horizontal="right" vertical="center" wrapText="1"/>
    </xf>
    <xf numFmtId="43" fontId="21" fillId="10" borderId="0" xfId="1" applyFont="1" applyFill="1" applyAlignment="1">
      <alignment horizontal="right" vertical="center" wrapText="1"/>
    </xf>
    <xf numFmtId="0" fontId="2" fillId="8" borderId="0" xfId="0" applyFont="1" applyFill="1" applyAlignment="1">
      <alignment horizontal="right" vertical="center" wrapText="1"/>
    </xf>
    <xf numFmtId="43" fontId="2" fillId="8" borderId="0" xfId="1" applyFont="1" applyFill="1" applyAlignment="1">
      <alignment horizontal="right" vertical="center" wrapText="1"/>
    </xf>
    <xf numFmtId="9" fontId="2" fillId="8" borderId="0" xfId="0" applyNumberFormat="1" applyFont="1" applyFill="1" applyAlignment="1">
      <alignment horizontal="right" vertical="center" wrapText="1"/>
    </xf>
    <xf numFmtId="0" fontId="21" fillId="0" borderId="0" xfId="0" applyFont="1" applyAlignment="1">
      <alignment horizontal="right" vertical="center" wrapText="1"/>
    </xf>
    <xf numFmtId="43" fontId="21" fillId="0" borderId="0" xfId="1" applyFont="1" applyAlignment="1">
      <alignment horizontal="right" vertical="center" wrapText="1"/>
    </xf>
    <xf numFmtId="10" fontId="21" fillId="0" borderId="0" xfId="0" applyNumberFormat="1" applyFont="1" applyAlignment="1">
      <alignment horizontal="right" vertical="center" wrapText="1"/>
    </xf>
    <xf numFmtId="10" fontId="21" fillId="10" borderId="0" xfId="0" applyNumberFormat="1" applyFont="1" applyFill="1" applyAlignment="1">
      <alignment horizontal="right" vertical="center" wrapText="1"/>
    </xf>
    <xf numFmtId="0" fontId="7" fillId="8" borderId="0" xfId="0" applyFont="1" applyFill="1" applyAlignment="1">
      <alignment horizontal="right" vertical="center" wrapText="1"/>
    </xf>
    <xf numFmtId="43" fontId="7" fillId="8" borderId="0" xfId="1" applyFont="1" applyFill="1" applyAlignment="1">
      <alignment horizontal="right" vertical="center" wrapText="1"/>
    </xf>
    <xf numFmtId="9" fontId="7" fillId="8" borderId="0" xfId="2" applyFont="1" applyFill="1" applyAlignment="1">
      <alignment horizontal="right" vertical="center" wrapText="1"/>
    </xf>
    <xf numFmtId="43" fontId="20" fillId="0" borderId="0" xfId="1" applyFont="1" applyAlignment="1">
      <alignment horizontal="right" vertical="center" wrapText="1"/>
    </xf>
    <xf numFmtId="10" fontId="7" fillId="8" borderId="0" xfId="2" applyNumberFormat="1" applyFont="1" applyFill="1" applyAlignment="1">
      <alignment horizontal="right" vertical="center" wrapText="1"/>
    </xf>
    <xf numFmtId="10" fontId="21" fillId="10" borderId="0" xfId="2" applyNumberFormat="1" applyFont="1" applyFill="1" applyAlignment="1">
      <alignment horizontal="right" vertical="center" wrapText="1"/>
    </xf>
    <xf numFmtId="10" fontId="21" fillId="0" borderId="0" xfId="2" applyNumberFormat="1" applyFont="1" applyAlignment="1">
      <alignment horizontal="right" vertical="center" wrapText="1"/>
    </xf>
    <xf numFmtId="0" fontId="7" fillId="2" borderId="12" xfId="0" applyFont="1" applyFill="1" applyBorder="1" applyAlignment="1">
      <alignment horizontal="center" vertical="center"/>
    </xf>
    <xf numFmtId="10" fontId="14" fillId="6" borderId="0" xfId="0" applyNumberFormat="1" applyFont="1" applyFill="1" applyAlignment="1">
      <alignment horizontal="right" vertical="center"/>
    </xf>
    <xf numFmtId="10" fontId="16" fillId="0" borderId="0" xfId="0" applyNumberFormat="1" applyFont="1" applyAlignment="1">
      <alignment horizontal="right" vertical="center"/>
    </xf>
    <xf numFmtId="9" fontId="7" fillId="4" borderId="0" xfId="0" applyNumberFormat="1" applyFont="1" applyFill="1" applyAlignment="1">
      <alignment horizontal="right" vertical="center"/>
    </xf>
    <xf numFmtId="170" fontId="14" fillId="6" borderId="0" xfId="1" applyNumberFormat="1" applyFont="1" applyFill="1" applyAlignment="1">
      <alignment vertical="center"/>
    </xf>
    <xf numFmtId="170" fontId="16" fillId="0" borderId="0" xfId="1" applyNumberFormat="1" applyFont="1" applyAlignment="1">
      <alignment vertical="center"/>
    </xf>
    <xf numFmtId="10" fontId="7" fillId="4" borderId="0" xfId="0" applyNumberFormat="1" applyFont="1" applyFill="1" applyAlignment="1">
      <alignment horizontal="right" vertical="center"/>
    </xf>
    <xf numFmtId="164" fontId="14" fillId="6" borderId="0" xfId="1" applyNumberFormat="1" applyFont="1" applyFill="1" applyAlignment="1">
      <alignment vertical="center"/>
    </xf>
    <xf numFmtId="164" fontId="16" fillId="0" borderId="0" xfId="1" applyNumberFormat="1" applyFont="1" applyAlignment="1">
      <alignment vertical="center"/>
    </xf>
    <xf numFmtId="164" fontId="16" fillId="0" borderId="0" xfId="1" applyNumberFormat="1" applyFont="1" applyAlignment="1">
      <alignment horizontal="right" vertical="center"/>
    </xf>
    <xf numFmtId="164" fontId="14" fillId="6" borderId="0" xfId="1" applyNumberFormat="1" applyFont="1" applyFill="1" applyAlignment="1">
      <alignment horizontal="right" vertical="center"/>
    </xf>
    <xf numFmtId="10" fontId="8" fillId="0" borderId="0" xfId="0" applyNumberFormat="1" applyFont="1" applyAlignment="1">
      <alignment horizontal="right" vertical="center"/>
    </xf>
    <xf numFmtId="164" fontId="8" fillId="0" borderId="0" xfId="1" applyNumberFormat="1" applyFont="1" applyAlignment="1">
      <alignment horizontal="right" vertical="center"/>
    </xf>
    <xf numFmtId="0" fontId="21" fillId="6" borderId="0" xfId="0" applyFont="1" applyFill="1" applyAlignment="1">
      <alignment vertical="center" wrapText="1"/>
    </xf>
    <xf numFmtId="0" fontId="21" fillId="0" borderId="0" xfId="0" applyFont="1" applyAlignment="1">
      <alignment vertical="center" wrapText="1"/>
    </xf>
    <xf numFmtId="0" fontId="8" fillId="0" borderId="0" xfId="0" applyFont="1" applyAlignment="1">
      <alignment horizontal="right" vertical="center"/>
    </xf>
    <xf numFmtId="10" fontId="14" fillId="11" borderId="0" xfId="0" applyNumberFormat="1" applyFont="1" applyFill="1" applyAlignment="1">
      <alignment horizontal="right" vertical="center"/>
    </xf>
    <xf numFmtId="164" fontId="14" fillId="11" borderId="0" xfId="1" applyNumberFormat="1" applyFont="1" applyFill="1" applyAlignment="1">
      <alignment horizontal="right" vertical="center"/>
    </xf>
    <xf numFmtId="170" fontId="7" fillId="4" borderId="0" xfId="1" applyNumberFormat="1" applyFont="1" applyFill="1" applyAlignment="1">
      <alignment horizontal="right" vertical="center"/>
    </xf>
    <xf numFmtId="170" fontId="16" fillId="0" borderId="0" xfId="1" applyNumberFormat="1" applyFont="1" applyAlignment="1">
      <alignment horizontal="right" vertical="center"/>
    </xf>
    <xf numFmtId="0" fontId="14" fillId="7" borderId="0" xfId="0" applyFont="1" applyFill="1" applyAlignment="1">
      <alignment vertical="center"/>
    </xf>
    <xf numFmtId="170" fontId="14" fillId="7" borderId="0" xfId="1" applyNumberFormat="1" applyFont="1" applyFill="1" applyAlignment="1">
      <alignment horizontal="right" vertical="center"/>
    </xf>
    <xf numFmtId="10" fontId="14" fillId="7" borderId="0" xfId="0" applyNumberFormat="1" applyFont="1" applyFill="1" applyAlignment="1">
      <alignment horizontal="right" vertical="center"/>
    </xf>
    <xf numFmtId="9" fontId="14" fillId="6" borderId="0" xfId="0" applyNumberFormat="1" applyFont="1" applyFill="1" applyAlignment="1">
      <alignment horizontal="right" vertical="center"/>
    </xf>
    <xf numFmtId="9" fontId="16" fillId="0" borderId="0" xfId="0" applyNumberFormat="1" applyFont="1" applyAlignment="1">
      <alignment horizontal="right" vertical="center"/>
    </xf>
    <xf numFmtId="170" fontId="14" fillId="6" borderId="0" xfId="1" applyNumberFormat="1" applyFont="1" applyFill="1" applyAlignment="1">
      <alignment horizontal="right" vertical="center"/>
    </xf>
    <xf numFmtId="170" fontId="9" fillId="6" borderId="0" xfId="1" applyNumberFormat="1" applyFont="1" applyFill="1" applyAlignment="1">
      <alignment vertical="center"/>
    </xf>
    <xf numFmtId="170" fontId="9" fillId="0" borderId="0" xfId="1" applyNumberFormat="1" applyFont="1" applyAlignment="1">
      <alignment vertical="center"/>
    </xf>
    <xf numFmtId="0" fontId="21" fillId="6" borderId="0" xfId="0" applyFont="1" applyFill="1" applyAlignment="1">
      <alignment horizontal="center" vertical="center"/>
    </xf>
    <xf numFmtId="0" fontId="21" fillId="6" borderId="0" xfId="0" applyFont="1" applyFill="1" applyAlignment="1">
      <alignment horizontal="center" vertical="center" wrapText="1"/>
    </xf>
    <xf numFmtId="0" fontId="19" fillId="6" borderId="25" xfId="0" applyFont="1" applyFill="1" applyBorder="1" applyAlignment="1">
      <alignment vertical="center" wrapText="1"/>
    </xf>
    <xf numFmtId="172" fontId="19" fillId="6" borderId="25" xfId="1" applyNumberFormat="1" applyFont="1" applyFill="1" applyBorder="1" applyAlignment="1">
      <alignment vertical="center" wrapText="1"/>
    </xf>
    <xf numFmtId="9" fontId="19" fillId="6" borderId="25" xfId="2" applyFont="1" applyFill="1" applyBorder="1" applyAlignment="1">
      <alignment vertical="center"/>
    </xf>
    <xf numFmtId="0" fontId="19" fillId="7" borderId="22" xfId="0" applyFont="1" applyFill="1" applyBorder="1" applyAlignment="1">
      <alignment vertical="center" wrapText="1"/>
    </xf>
    <xf numFmtId="172" fontId="19" fillId="7" borderId="22" xfId="1" applyNumberFormat="1" applyFont="1" applyFill="1" applyBorder="1" applyAlignment="1">
      <alignment vertical="center" wrapText="1"/>
    </xf>
    <xf numFmtId="9" fontId="19" fillId="7" borderId="22" xfId="2" applyFont="1" applyFill="1" applyBorder="1" applyAlignment="1">
      <alignment vertical="center"/>
    </xf>
    <xf numFmtId="0" fontId="19" fillId="6" borderId="22" xfId="0" applyFont="1" applyFill="1" applyBorder="1" applyAlignment="1">
      <alignment vertical="center" wrapText="1"/>
    </xf>
    <xf numFmtId="172" fontId="19" fillId="6" borderId="22" xfId="1" applyNumberFormat="1" applyFont="1" applyFill="1" applyBorder="1" applyAlignment="1">
      <alignment vertical="center" wrapText="1"/>
    </xf>
    <xf numFmtId="9" fontId="19" fillId="6" borderId="22" xfId="2" applyFont="1" applyFill="1" applyBorder="1" applyAlignment="1">
      <alignment vertical="center"/>
    </xf>
    <xf numFmtId="170" fontId="19" fillId="7" borderId="22" xfId="1" applyNumberFormat="1" applyFont="1" applyFill="1" applyBorder="1" applyAlignment="1">
      <alignment vertical="center" wrapText="1"/>
    </xf>
    <xf numFmtId="0" fontId="19" fillId="6" borderId="24" xfId="0" applyFont="1" applyFill="1" applyBorder="1" applyAlignment="1">
      <alignment vertical="center" wrapText="1"/>
    </xf>
    <xf numFmtId="170" fontId="19" fillId="6" borderId="24" xfId="1" applyNumberFormat="1" applyFont="1" applyFill="1" applyBorder="1" applyAlignment="1">
      <alignment vertical="center" wrapText="1"/>
    </xf>
    <xf numFmtId="172" fontId="19" fillId="6" borderId="24" xfId="1" applyNumberFormat="1" applyFont="1" applyFill="1" applyBorder="1" applyAlignment="1">
      <alignment vertical="center" wrapText="1"/>
    </xf>
    <xf numFmtId="9" fontId="19" fillId="6" borderId="24" xfId="2" applyFont="1" applyFill="1" applyBorder="1" applyAlignment="1">
      <alignment vertical="center"/>
    </xf>
    <xf numFmtId="172" fontId="2" fillId="8" borderId="0" xfId="0" applyNumberFormat="1" applyFont="1" applyFill="1" applyAlignment="1">
      <alignment vertical="center"/>
    </xf>
    <xf numFmtId="9" fontId="2" fillId="8" borderId="0" xfId="2" applyFont="1" applyFill="1" applyAlignment="1">
      <alignment vertical="center"/>
    </xf>
    <xf numFmtId="0" fontId="13" fillId="5" borderId="0" xfId="0" applyFont="1" applyFill="1" applyAlignment="1">
      <alignment vertical="center"/>
    </xf>
    <xf numFmtId="43" fontId="13" fillId="5" borderId="0" xfId="1" applyFont="1" applyFill="1" applyAlignment="1">
      <alignment horizontal="right" vertical="center"/>
    </xf>
    <xf numFmtId="43" fontId="9" fillId="5" borderId="0" xfId="1" applyFont="1" applyFill="1" applyAlignment="1">
      <alignment horizontal="right" vertical="center"/>
    </xf>
    <xf numFmtId="0" fontId="13" fillId="10" borderId="0" xfId="0" applyFont="1" applyFill="1" applyAlignment="1">
      <alignment vertical="center"/>
    </xf>
    <xf numFmtId="43" fontId="13" fillId="10" borderId="0" xfId="1" applyFont="1" applyFill="1" applyAlignment="1">
      <alignment horizontal="right" vertical="center"/>
    </xf>
    <xf numFmtId="10" fontId="13" fillId="10" borderId="0" xfId="2" applyNumberFormat="1" applyFont="1" applyFill="1" applyAlignment="1">
      <alignment horizontal="right" vertical="center" wrapText="1"/>
    </xf>
    <xf numFmtId="0" fontId="9" fillId="7" borderId="0" xfId="0" applyFont="1" applyFill="1" applyAlignment="1">
      <alignment vertical="center"/>
    </xf>
    <xf numFmtId="43" fontId="16" fillId="7" borderId="0" xfId="1" applyFont="1" applyFill="1" applyAlignment="1">
      <alignment vertical="center"/>
    </xf>
    <xf numFmtId="43" fontId="16" fillId="7" borderId="0" xfId="1" applyFont="1" applyFill="1" applyAlignment="1">
      <alignment vertical="center" wrapText="1"/>
    </xf>
    <xf numFmtId="0" fontId="9" fillId="7" borderId="26" xfId="0" applyFont="1" applyFill="1" applyBorder="1" applyAlignment="1">
      <alignment horizontal="right" vertical="center"/>
    </xf>
    <xf numFmtId="43" fontId="9" fillId="7" borderId="26" xfId="1" applyFont="1" applyFill="1" applyBorder="1" applyAlignment="1">
      <alignment horizontal="right" vertical="center"/>
    </xf>
    <xf numFmtId="10" fontId="9" fillId="7" borderId="26" xfId="2" applyNumberFormat="1" applyFont="1" applyFill="1" applyBorder="1" applyAlignment="1">
      <alignment horizontal="right" vertical="center" wrapText="1"/>
    </xf>
    <xf numFmtId="0" fontId="9" fillId="7" borderId="22" xfId="0" applyFont="1" applyFill="1" applyBorder="1" applyAlignment="1">
      <alignment horizontal="right" vertical="center"/>
    </xf>
    <xf numFmtId="43" fontId="9" fillId="7" borderId="22" xfId="1" applyFont="1" applyFill="1" applyBorder="1" applyAlignment="1">
      <alignment horizontal="right" vertical="center"/>
    </xf>
    <xf numFmtId="10" fontId="9" fillId="7" borderId="22" xfId="2" applyNumberFormat="1" applyFont="1" applyFill="1" applyBorder="1" applyAlignment="1">
      <alignment horizontal="right" vertical="center" wrapText="1"/>
    </xf>
    <xf numFmtId="0" fontId="9" fillId="7" borderId="24" xfId="0" applyFont="1" applyFill="1" applyBorder="1" applyAlignment="1">
      <alignment horizontal="right" vertical="center"/>
    </xf>
    <xf numFmtId="43" fontId="9" fillId="7" borderId="24" xfId="1" applyFont="1" applyFill="1" applyBorder="1" applyAlignment="1">
      <alignment horizontal="right" vertical="center"/>
    </xf>
    <xf numFmtId="10" fontId="9" fillId="7" borderId="24" xfId="2" applyNumberFormat="1" applyFont="1" applyFill="1" applyBorder="1" applyAlignment="1">
      <alignment horizontal="right" vertical="center" wrapText="1"/>
    </xf>
    <xf numFmtId="0" fontId="25" fillId="6" borderId="25" xfId="0" applyFont="1" applyFill="1" applyBorder="1" applyAlignment="1">
      <alignment vertical="center" wrapText="1"/>
    </xf>
    <xf numFmtId="170" fontId="25" fillId="6" borderId="25" xfId="1" applyNumberFormat="1" applyFont="1" applyFill="1" applyBorder="1" applyAlignment="1">
      <alignment vertical="center" wrapText="1"/>
    </xf>
    <xf numFmtId="9" fontId="16" fillId="6" borderId="25" xfId="2" applyFont="1" applyFill="1" applyBorder="1" applyAlignment="1">
      <alignment vertical="center"/>
    </xf>
    <xf numFmtId="0" fontId="25" fillId="6" borderId="22" xfId="0" applyFont="1" applyFill="1" applyBorder="1" applyAlignment="1">
      <alignment vertical="center" wrapText="1"/>
    </xf>
    <xf numFmtId="170" fontId="25" fillId="6" borderId="22" xfId="1" applyNumberFormat="1" applyFont="1" applyFill="1" applyBorder="1" applyAlignment="1">
      <alignment vertical="center" wrapText="1"/>
    </xf>
    <xf numFmtId="9" fontId="16" fillId="6" borderId="22" xfId="2" applyFont="1" applyFill="1" applyBorder="1" applyAlignment="1">
      <alignment vertical="center"/>
    </xf>
    <xf numFmtId="0" fontId="25" fillId="7" borderId="22" xfId="0" applyFont="1" applyFill="1" applyBorder="1" applyAlignment="1">
      <alignment vertical="center" wrapText="1"/>
    </xf>
    <xf numFmtId="170" fontId="25" fillId="7" borderId="22" xfId="1" applyNumberFormat="1" applyFont="1" applyFill="1" applyBorder="1" applyAlignment="1">
      <alignment vertical="center" wrapText="1"/>
    </xf>
    <xf numFmtId="9" fontId="16" fillId="7" borderId="22" xfId="2" applyFont="1" applyFill="1" applyBorder="1" applyAlignment="1">
      <alignment vertical="center"/>
    </xf>
    <xf numFmtId="0" fontId="25" fillId="7" borderId="24" xfId="0" applyFont="1" applyFill="1" applyBorder="1" applyAlignment="1">
      <alignment vertical="center" wrapText="1"/>
    </xf>
    <xf numFmtId="170" fontId="25" fillId="7" borderId="24" xfId="1" applyNumberFormat="1" applyFont="1" applyFill="1" applyBorder="1" applyAlignment="1">
      <alignment vertical="center" wrapText="1"/>
    </xf>
    <xf numFmtId="9" fontId="16" fillId="7" borderId="24" xfId="2" applyFont="1" applyFill="1" applyBorder="1" applyAlignment="1">
      <alignment vertical="center"/>
    </xf>
    <xf numFmtId="170" fontId="22" fillId="8" borderId="0" xfId="1" applyNumberFormat="1" applyFont="1" applyFill="1" applyAlignment="1">
      <alignment vertical="center"/>
    </xf>
    <xf numFmtId="0" fontId="22" fillId="8" borderId="0" xfId="0" applyFont="1" applyFill="1" applyAlignment="1">
      <alignment vertical="center"/>
    </xf>
    <xf numFmtId="4" fontId="13" fillId="5" borderId="0" xfId="1" applyNumberFormat="1" applyFont="1" applyFill="1" applyAlignment="1">
      <alignment horizontal="right" vertical="center"/>
    </xf>
    <xf numFmtId="4" fontId="13" fillId="5" borderId="0" xfId="0" applyNumberFormat="1" applyFont="1" applyFill="1" applyAlignment="1">
      <alignment horizontal="right" vertical="center"/>
    </xf>
    <xf numFmtId="4" fontId="7" fillId="4" borderId="0" xfId="1" applyNumberFormat="1" applyFont="1" applyFill="1" applyAlignment="1">
      <alignment horizontal="right" vertical="center"/>
    </xf>
    <xf numFmtId="4" fontId="7" fillId="4" borderId="0" xfId="0" applyNumberFormat="1" applyFont="1" applyFill="1" applyAlignment="1">
      <alignment horizontal="right" vertical="center"/>
    </xf>
    <xf numFmtId="0" fontId="10" fillId="10" borderId="0" xfId="0" applyFont="1" applyFill="1" applyAlignment="1">
      <alignment vertical="center"/>
    </xf>
    <xf numFmtId="4" fontId="13" fillId="10" borderId="0" xfId="1" applyNumberFormat="1" applyFont="1" applyFill="1" applyAlignment="1">
      <alignment horizontal="right" vertical="center" wrapText="1"/>
    </xf>
    <xf numFmtId="4" fontId="13" fillId="10" borderId="0" xfId="0" applyNumberFormat="1" applyFont="1" applyFill="1" applyAlignment="1">
      <alignment horizontal="right" vertical="center" wrapText="1"/>
    </xf>
    <xf numFmtId="0" fontId="10" fillId="0" borderId="0" xfId="0" applyFont="1" applyAlignment="1">
      <alignment vertical="center"/>
    </xf>
    <xf numFmtId="4" fontId="13" fillId="0" borderId="0" xfId="1" applyNumberFormat="1" applyFont="1" applyAlignment="1">
      <alignment horizontal="right" vertical="center" wrapText="1"/>
    </xf>
    <xf numFmtId="4" fontId="13" fillId="0" borderId="0" xfId="0" applyNumberFormat="1" applyFont="1" applyAlignment="1">
      <alignment horizontal="right" vertical="center" wrapText="1"/>
    </xf>
    <xf numFmtId="10" fontId="13" fillId="5" borderId="0" xfId="0" applyNumberFormat="1" applyFont="1" applyFill="1" applyAlignment="1">
      <alignment horizontal="right" vertical="center"/>
    </xf>
    <xf numFmtId="43" fontId="13" fillId="10" borderId="0" xfId="1" applyFont="1" applyFill="1" applyAlignment="1">
      <alignment horizontal="right" vertical="center" wrapText="1"/>
    </xf>
    <xf numFmtId="4" fontId="9" fillId="10" borderId="0" xfId="0" applyNumberFormat="1" applyFont="1" applyFill="1" applyAlignment="1">
      <alignment horizontal="right" vertical="center"/>
    </xf>
    <xf numFmtId="10" fontId="9" fillId="10" borderId="0" xfId="0" applyNumberFormat="1" applyFont="1" applyFill="1" applyAlignment="1">
      <alignment horizontal="right" vertical="center"/>
    </xf>
    <xf numFmtId="10" fontId="49" fillId="5" borderId="0" xfId="0" applyNumberFormat="1" applyFont="1" applyFill="1" applyAlignment="1">
      <alignment horizontal="right" vertical="center"/>
    </xf>
    <xf numFmtId="0" fontId="7" fillId="4" borderId="0" xfId="0" applyFont="1" applyFill="1" applyAlignment="1">
      <alignment horizontal="right" vertical="center"/>
    </xf>
    <xf numFmtId="0" fontId="35" fillId="0" borderId="0" xfId="0" applyFont="1"/>
    <xf numFmtId="3" fontId="13" fillId="5" borderId="0" xfId="0" applyNumberFormat="1" applyFont="1" applyFill="1" applyAlignment="1">
      <alignment horizontal="right" vertical="center"/>
    </xf>
    <xf numFmtId="0" fontId="13" fillId="5" borderId="0" xfId="0" applyFont="1" applyFill="1" applyAlignment="1">
      <alignment horizontal="right" vertical="center"/>
    </xf>
    <xf numFmtId="0" fontId="9" fillId="10" borderId="26" xfId="0" applyFont="1" applyFill="1" applyBorder="1" applyAlignment="1">
      <alignment vertical="center" wrapText="1"/>
    </xf>
    <xf numFmtId="0" fontId="9" fillId="10" borderId="26" xfId="0" applyFont="1" applyFill="1" applyBorder="1" applyAlignment="1">
      <alignment horizontal="right" vertical="center" wrapText="1"/>
    </xf>
    <xf numFmtId="0" fontId="9" fillId="10" borderId="22" xfId="0" applyFont="1" applyFill="1" applyBorder="1" applyAlignment="1">
      <alignment vertical="center" wrapText="1"/>
    </xf>
    <xf numFmtId="0" fontId="9" fillId="10" borderId="22" xfId="0" applyFont="1" applyFill="1" applyBorder="1" applyAlignment="1">
      <alignment horizontal="right" vertical="center" wrapText="1"/>
    </xf>
    <xf numFmtId="3" fontId="9" fillId="10" borderId="22" xfId="0" applyNumberFormat="1" applyFont="1" applyFill="1" applyBorder="1" applyAlignment="1">
      <alignment horizontal="right" vertical="center" wrapText="1"/>
    </xf>
    <xf numFmtId="0" fontId="9" fillId="11" borderId="22" xfId="0" applyFont="1" applyFill="1" applyBorder="1" applyAlignment="1">
      <alignment vertical="center" wrapText="1"/>
    </xf>
    <xf numFmtId="0" fontId="9" fillId="11" borderId="22" xfId="0" applyFont="1" applyFill="1" applyBorder="1" applyAlignment="1">
      <alignment horizontal="right" vertical="center" wrapText="1"/>
    </xf>
    <xf numFmtId="0" fontId="9" fillId="11" borderId="24" xfId="0" applyFont="1" applyFill="1" applyBorder="1" applyAlignment="1">
      <alignment vertical="center" wrapText="1"/>
    </xf>
    <xf numFmtId="3" fontId="9" fillId="11" borderId="24" xfId="0" applyNumberFormat="1" applyFont="1" applyFill="1" applyBorder="1" applyAlignment="1">
      <alignment horizontal="right" vertical="center" wrapText="1"/>
    </xf>
    <xf numFmtId="0" fontId="9" fillId="11" borderId="24" xfId="0" applyFont="1" applyFill="1" applyBorder="1" applyAlignment="1">
      <alignment horizontal="right" vertical="center" wrapText="1"/>
    </xf>
    <xf numFmtId="3" fontId="21" fillId="0" borderId="0" xfId="0" applyNumberFormat="1" applyFont="1" applyAlignment="1">
      <alignment horizontal="right" vertical="center" wrapText="1"/>
    </xf>
    <xf numFmtId="3" fontId="21" fillId="10" borderId="0" xfId="0" applyNumberFormat="1" applyFont="1" applyFill="1" applyAlignment="1">
      <alignment horizontal="right" vertical="center" wrapText="1"/>
    </xf>
    <xf numFmtId="10" fontId="21" fillId="10" borderId="0" xfId="0" applyNumberFormat="1" applyFont="1" applyFill="1" applyAlignment="1">
      <alignment horizontal="right" vertical="center"/>
    </xf>
    <xf numFmtId="0" fontId="51" fillId="0" borderId="0" xfId="0" applyFont="1"/>
    <xf numFmtId="0" fontId="52" fillId="0" borderId="0" xfId="0" applyFont="1" applyAlignment="1">
      <alignment vertical="center"/>
    </xf>
    <xf numFmtId="0" fontId="53" fillId="6" borderId="0" xfId="0" applyFont="1" applyFill="1" applyAlignment="1">
      <alignment vertical="center" wrapText="1"/>
    </xf>
    <xf numFmtId="0" fontId="25" fillId="6" borderId="0" xfId="0" applyFont="1" applyFill="1" applyAlignment="1">
      <alignment vertical="center" wrapText="1"/>
    </xf>
    <xf numFmtId="0" fontId="25" fillId="6" borderId="0" xfId="0" applyFont="1" applyFill="1" applyAlignment="1">
      <alignment vertical="center"/>
    </xf>
    <xf numFmtId="3" fontId="9" fillId="6" borderId="0" xfId="0" applyNumberFormat="1" applyFont="1" applyFill="1" applyAlignment="1">
      <alignment horizontal="center" vertical="center"/>
    </xf>
    <xf numFmtId="43" fontId="9" fillId="6" borderId="0" xfId="1" applyFont="1" applyFill="1" applyAlignment="1">
      <alignment horizontal="center" vertical="center"/>
    </xf>
    <xf numFmtId="0" fontId="21" fillId="6" borderId="1" xfId="0" applyFont="1" applyFill="1" applyBorder="1" applyAlignment="1">
      <alignment vertical="center"/>
    </xf>
    <xf numFmtId="173" fontId="21" fillId="6" borderId="1" xfId="1" applyNumberFormat="1" applyFont="1" applyFill="1" applyBorder="1" applyAlignment="1">
      <alignment horizontal="right" vertical="center"/>
    </xf>
    <xf numFmtId="174" fontId="21" fillId="6" borderId="1" xfId="1" applyNumberFormat="1" applyFont="1" applyFill="1" applyBorder="1" applyAlignment="1">
      <alignment horizontal="right" vertical="center"/>
    </xf>
    <xf numFmtId="166" fontId="21" fillId="6" borderId="1" xfId="1" applyNumberFormat="1" applyFont="1" applyFill="1" applyBorder="1" applyAlignment="1">
      <alignment horizontal="right" vertical="center"/>
    </xf>
    <xf numFmtId="175" fontId="7" fillId="4" borderId="0" xfId="1" applyNumberFormat="1" applyFont="1" applyFill="1" applyAlignment="1">
      <alignment horizontal="right" vertical="center"/>
    </xf>
    <xf numFmtId="0" fontId="21" fillId="7" borderId="1" xfId="0" applyFont="1" applyFill="1" applyBorder="1" applyAlignment="1">
      <alignment vertical="center"/>
    </xf>
    <xf numFmtId="0" fontId="21" fillId="7" borderId="1" xfId="0" applyFont="1" applyFill="1" applyBorder="1" applyAlignment="1">
      <alignment vertical="center" wrapText="1"/>
    </xf>
    <xf numFmtId="174" fontId="21" fillId="7" borderId="1" xfId="1" applyNumberFormat="1" applyFont="1" applyFill="1" applyBorder="1" applyAlignment="1">
      <alignment horizontal="right" vertical="center"/>
    </xf>
    <xf numFmtId="0" fontId="21" fillId="6" borderId="1" xfId="0" applyFont="1" applyFill="1" applyBorder="1" applyAlignment="1">
      <alignment vertical="center" wrapText="1"/>
    </xf>
    <xf numFmtId="174" fontId="21" fillId="7" borderId="1" xfId="1" applyNumberFormat="1" applyFont="1" applyFill="1" applyBorder="1" applyAlignment="1">
      <alignment vertical="center"/>
    </xf>
    <xf numFmtId="173" fontId="21" fillId="7" borderId="1" xfId="1" applyNumberFormat="1" applyFont="1" applyFill="1" applyBorder="1" applyAlignment="1">
      <alignment horizontal="right" vertical="center"/>
    </xf>
    <xf numFmtId="166" fontId="21" fillId="7" borderId="1" xfId="1" applyNumberFormat="1" applyFont="1" applyFill="1" applyBorder="1" applyAlignment="1">
      <alignment horizontal="right" vertical="center"/>
    </xf>
    <xf numFmtId="0" fontId="7" fillId="2" borderId="79" xfId="0" applyFont="1" applyFill="1" applyBorder="1" applyAlignment="1">
      <alignment horizontal="center" vertical="center"/>
    </xf>
    <xf numFmtId="0" fontId="7" fillId="2" borderId="79" xfId="0" applyFont="1" applyFill="1" applyBorder="1" applyAlignment="1">
      <alignment horizontal="center" vertical="center" wrapText="1"/>
    </xf>
    <xf numFmtId="0" fontId="16" fillId="6" borderId="0" xfId="0" applyFont="1" applyFill="1" applyAlignment="1">
      <alignment vertical="center"/>
    </xf>
    <xf numFmtId="170" fontId="16" fillId="6" borderId="0" xfId="1" applyNumberFormat="1" applyFont="1" applyFill="1"/>
    <xf numFmtId="170" fontId="16" fillId="6" borderId="0" xfId="1" applyNumberFormat="1" applyFont="1" applyFill="1" applyAlignment="1">
      <alignment vertical="center"/>
    </xf>
    <xf numFmtId="170" fontId="16" fillId="6" borderId="0" xfId="0" applyNumberFormat="1" applyFont="1" applyFill="1"/>
    <xf numFmtId="0" fontId="16" fillId="7" borderId="0" xfId="0" applyFont="1" applyFill="1" applyAlignment="1">
      <alignment vertical="center"/>
    </xf>
    <xf numFmtId="170" fontId="16" fillId="7" borderId="0" xfId="1" applyNumberFormat="1" applyFont="1" applyFill="1"/>
    <xf numFmtId="170" fontId="16" fillId="7" borderId="0" xfId="1" applyNumberFormat="1" applyFont="1" applyFill="1" applyAlignment="1">
      <alignment vertical="center"/>
    </xf>
    <xf numFmtId="170" fontId="16" fillId="7" borderId="0" xfId="0" applyNumberFormat="1" applyFont="1" applyFill="1"/>
    <xf numFmtId="4" fontId="7" fillId="16" borderId="0" xfId="1" applyNumberFormat="1" applyFont="1" applyFill="1" applyAlignment="1">
      <alignment horizontal="right" vertical="center"/>
    </xf>
    <xf numFmtId="170" fontId="7" fillId="16" borderId="0" xfId="1" applyNumberFormat="1" applyFont="1" applyFill="1" applyAlignment="1">
      <alignment horizontal="right" vertical="center"/>
    </xf>
    <xf numFmtId="0" fontId="7" fillId="4" borderId="0" xfId="1" applyNumberFormat="1" applyFont="1" applyFill="1" applyAlignment="1">
      <alignment horizontal="center" vertical="center"/>
    </xf>
    <xf numFmtId="0" fontId="8" fillId="6" borderId="0" xfId="0" applyFont="1" applyFill="1"/>
    <xf numFmtId="0" fontId="8" fillId="11" borderId="0" xfId="0" applyFont="1" applyFill="1" applyAlignment="1">
      <alignment vertical="center"/>
    </xf>
    <xf numFmtId="0" fontId="8" fillId="6" borderId="0" xfId="0" applyFont="1" applyFill="1" applyAlignment="1">
      <alignment vertical="center"/>
    </xf>
    <xf numFmtId="0" fontId="7" fillId="2" borderId="70" xfId="0" applyFont="1" applyFill="1" applyBorder="1" applyAlignment="1">
      <alignment horizontal="center" vertical="center" wrapText="1"/>
    </xf>
    <xf numFmtId="0" fontId="14" fillId="6" borderId="11" xfId="0" applyFont="1" applyFill="1" applyBorder="1" applyAlignment="1">
      <alignment vertical="center"/>
    </xf>
    <xf numFmtId="3" fontId="14" fillId="6" borderId="11" xfId="0" applyNumberFormat="1" applyFont="1" applyFill="1" applyBorder="1" applyAlignment="1">
      <alignment vertical="center"/>
    </xf>
    <xf numFmtId="0" fontId="14" fillId="6" borderId="0" xfId="0" applyFont="1" applyFill="1" applyAlignment="1">
      <alignment vertical="center" wrapText="1"/>
    </xf>
    <xf numFmtId="3" fontId="14" fillId="11" borderId="0" xfId="0" applyNumberFormat="1" applyFont="1" applyFill="1" applyAlignment="1">
      <alignment vertical="center"/>
    </xf>
    <xf numFmtId="0" fontId="14" fillId="11" borderId="0" xfId="0" applyFont="1" applyFill="1" applyAlignment="1">
      <alignment vertical="center" wrapText="1"/>
    </xf>
    <xf numFmtId="0" fontId="12" fillId="0" borderId="0" xfId="0" applyFont="1" applyAlignment="1">
      <alignment horizontal="center" vertical="center"/>
    </xf>
    <xf numFmtId="0" fontId="22" fillId="8" borderId="20" xfId="0" applyFont="1" applyFill="1" applyBorder="1" applyAlignment="1">
      <alignment horizontal="center" vertical="center"/>
    </xf>
    <xf numFmtId="0" fontId="7" fillId="8" borderId="21" xfId="1" applyNumberFormat="1" applyFont="1" applyFill="1" applyBorder="1" applyAlignment="1">
      <alignment horizontal="left" vertical="center"/>
    </xf>
    <xf numFmtId="0" fontId="7" fillId="8" borderId="22" xfId="1" applyNumberFormat="1" applyFont="1" applyFill="1" applyBorder="1" applyAlignment="1">
      <alignment horizontal="left" vertical="center"/>
    </xf>
    <xf numFmtId="0" fontId="7" fillId="8" borderId="23" xfId="1" applyNumberFormat="1" applyFont="1" applyFill="1" applyBorder="1" applyAlignment="1">
      <alignment horizontal="left" vertical="center"/>
    </xf>
    <xf numFmtId="0" fontId="22" fillId="2" borderId="24" xfId="0" applyFont="1" applyFill="1" applyBorder="1" applyAlignment="1">
      <alignment horizontal="center" vertical="center" wrapText="1"/>
    </xf>
    <xf numFmtId="0" fontId="21" fillId="7" borderId="18" xfId="0" applyFont="1" applyFill="1" applyBorder="1" applyAlignment="1">
      <alignment horizontal="left" vertical="center"/>
    </xf>
    <xf numFmtId="0" fontId="21" fillId="6" borderId="18" xfId="0" applyFont="1" applyFill="1" applyBorder="1" applyAlignment="1">
      <alignment horizontal="left" vertical="center"/>
    </xf>
    <xf numFmtId="0" fontId="21" fillId="7" borderId="17" xfId="0" applyFont="1" applyFill="1" applyBorder="1" applyAlignment="1">
      <alignment horizontal="left" vertical="center"/>
    </xf>
    <xf numFmtId="0" fontId="8" fillId="7" borderId="22" xfId="0" applyFont="1" applyFill="1" applyBorder="1" applyAlignment="1">
      <alignment horizontal="left" vertical="center"/>
    </xf>
    <xf numFmtId="0" fontId="8" fillId="6" borderId="22" xfId="0" applyFont="1" applyFill="1" applyBorder="1" applyAlignment="1">
      <alignment horizontal="left" vertical="center"/>
    </xf>
    <xf numFmtId="0" fontId="8" fillId="6" borderId="26" xfId="0" applyFont="1" applyFill="1" applyBorder="1" applyAlignment="1">
      <alignment horizontal="left" vertical="center"/>
    </xf>
    <xf numFmtId="0" fontId="2" fillId="8" borderId="29" xfId="0" applyFont="1" applyFill="1" applyBorder="1" applyAlignment="1">
      <alignment vertical="center" wrapText="1"/>
    </xf>
    <xf numFmtId="0" fontId="2" fillId="8" borderId="0" xfId="0" applyFont="1" applyFill="1" applyAlignment="1">
      <alignment vertical="center" wrapText="1"/>
    </xf>
    <xf numFmtId="0" fontId="5" fillId="2" borderId="27" xfId="0" applyFont="1" applyFill="1" applyBorder="1" applyAlignment="1">
      <alignment horizontal="center" vertical="center"/>
    </xf>
    <xf numFmtId="0" fontId="13" fillId="0" borderId="32" xfId="0" applyFont="1" applyBorder="1" applyAlignment="1">
      <alignment horizontal="center" vertical="center"/>
    </xf>
    <xf numFmtId="0" fontId="13" fillId="0" borderId="30" xfId="0" applyFont="1" applyBorder="1" applyAlignment="1">
      <alignment horizontal="center" vertical="center"/>
    </xf>
    <xf numFmtId="0" fontId="7" fillId="2" borderId="0" xfId="0" applyFont="1" applyFill="1" applyAlignment="1">
      <alignment horizontal="left" vertical="center"/>
    </xf>
    <xf numFmtId="0" fontId="25" fillId="0" borderId="0" xfId="0" applyFont="1" applyAlignment="1">
      <alignment horizontal="left" vertical="center"/>
    </xf>
    <xf numFmtId="0" fontId="25" fillId="10" borderId="0" xfId="0" applyFont="1" applyFill="1" applyAlignment="1">
      <alignment horizontal="left" vertical="center"/>
    </xf>
    <xf numFmtId="0" fontId="13" fillId="0" borderId="29" xfId="0" applyFont="1" applyBorder="1" applyAlignment="1">
      <alignment horizontal="center" vertical="center"/>
    </xf>
    <xf numFmtId="0" fontId="13" fillId="0" borderId="0" xfId="0" applyFont="1" applyAlignment="1">
      <alignment horizontal="center" vertical="center"/>
    </xf>
    <xf numFmtId="0" fontId="2" fillId="2" borderId="0" xfId="0" applyFont="1" applyFill="1" applyAlignment="1">
      <alignment horizontal="center" vertical="center"/>
    </xf>
    <xf numFmtId="0" fontId="2" fillId="2" borderId="27" xfId="0" applyFont="1" applyFill="1" applyBorder="1" applyAlignment="1">
      <alignment horizontal="center" vertical="center"/>
    </xf>
    <xf numFmtId="0" fontId="2" fillId="2" borderId="10" xfId="0" applyFont="1" applyFill="1" applyBorder="1" applyAlignment="1">
      <alignment horizontal="center" vertical="center"/>
    </xf>
    <xf numFmtId="3" fontId="8" fillId="0" borderId="11" xfId="0" applyNumberFormat="1" applyFont="1" applyBorder="1" applyAlignment="1">
      <alignment horizontal="right" vertical="center"/>
    </xf>
    <xf numFmtId="3" fontId="8" fillId="0" borderId="0" xfId="0" applyNumberFormat="1" applyFont="1" applyAlignment="1">
      <alignment horizontal="right" vertical="center"/>
    </xf>
    <xf numFmtId="0" fontId="46" fillId="11" borderId="46" xfId="0" applyFont="1" applyFill="1" applyBorder="1" applyAlignment="1">
      <alignment vertical="center"/>
    </xf>
    <xf numFmtId="0" fontId="46" fillId="11" borderId="62" xfId="0" applyFont="1" applyFill="1" applyBorder="1" applyAlignment="1">
      <alignment vertical="center"/>
    </xf>
    <xf numFmtId="0" fontId="46" fillId="11" borderId="51" xfId="0" applyFont="1" applyFill="1" applyBorder="1" applyAlignment="1">
      <alignment vertical="center"/>
    </xf>
    <xf numFmtId="0" fontId="14" fillId="11" borderId="47" xfId="0" applyFont="1" applyFill="1" applyBorder="1" applyAlignment="1">
      <alignment vertical="center"/>
    </xf>
    <xf numFmtId="0" fontId="14" fillId="11" borderId="0" xfId="0" applyFont="1" applyFill="1" applyAlignment="1">
      <alignment vertical="center"/>
    </xf>
    <xf numFmtId="0" fontId="14" fillId="11" borderId="6" xfId="0" applyFont="1" applyFill="1" applyBorder="1" applyAlignment="1">
      <alignment vertical="center"/>
    </xf>
    <xf numFmtId="0" fontId="46" fillId="11" borderId="55" xfId="0" applyFont="1" applyFill="1" applyBorder="1" applyAlignment="1">
      <alignment horizontal="center" vertical="center"/>
    </xf>
    <xf numFmtId="0" fontId="14" fillId="11" borderId="59" xfId="0" applyFont="1" applyFill="1" applyBorder="1" applyAlignment="1">
      <alignment vertical="center"/>
    </xf>
    <xf numFmtId="0" fontId="46" fillId="11" borderId="52" xfId="0" applyFont="1" applyFill="1" applyBorder="1" applyAlignment="1">
      <alignment horizontal="center" vertical="center"/>
    </xf>
    <xf numFmtId="0" fontId="17" fillId="0" borderId="57" xfId="0" applyFont="1" applyBorder="1" applyAlignment="1">
      <alignment vertical="center"/>
    </xf>
    <xf numFmtId="0" fontId="17" fillId="0" borderId="0" xfId="0" applyFont="1" applyAlignment="1">
      <alignment vertical="center"/>
    </xf>
    <xf numFmtId="0" fontId="17" fillId="0" borderId="6" xfId="0" applyFont="1" applyBorder="1" applyAlignment="1">
      <alignment vertical="center"/>
    </xf>
    <xf numFmtId="0" fontId="8" fillId="0" borderId="57" xfId="0" applyFont="1" applyBorder="1" applyAlignment="1">
      <alignment vertical="center"/>
    </xf>
    <xf numFmtId="0" fontId="8" fillId="0" borderId="6" xfId="0" applyFont="1" applyBorder="1" applyAlignment="1">
      <alignment vertical="center"/>
    </xf>
    <xf numFmtId="0" fontId="17" fillId="0" borderId="58" xfId="0" applyFont="1" applyBorder="1" applyAlignment="1">
      <alignment horizontal="center" vertical="center"/>
    </xf>
    <xf numFmtId="0" fontId="46" fillId="11" borderId="11" xfId="0" applyFont="1" applyFill="1" applyBorder="1" applyAlignment="1">
      <alignment vertical="center"/>
    </xf>
    <xf numFmtId="0" fontId="46" fillId="11" borderId="6" xfId="0" applyFont="1" applyFill="1" applyBorder="1" applyAlignment="1">
      <alignment vertical="center"/>
    </xf>
    <xf numFmtId="0" fontId="8" fillId="0" borderId="11" xfId="0" applyFont="1" applyBorder="1" applyAlignment="1">
      <alignment vertical="center" wrapText="1"/>
    </xf>
    <xf numFmtId="0" fontId="8" fillId="0" borderId="0" xfId="0" applyFont="1" applyAlignment="1">
      <alignment vertical="center" wrapText="1"/>
    </xf>
    <xf numFmtId="0" fontId="8" fillId="0" borderId="11" xfId="0" applyFont="1" applyBorder="1" applyAlignment="1">
      <alignment vertical="center"/>
    </xf>
    <xf numFmtId="0" fontId="8" fillId="0" borderId="0" xfId="0" applyFont="1" applyAlignment="1">
      <alignment vertical="center"/>
    </xf>
    <xf numFmtId="0" fontId="17" fillId="0" borderId="11" xfId="0" applyFont="1" applyBorder="1" applyAlignment="1">
      <alignment horizontal="left" vertical="center" wrapText="1"/>
    </xf>
    <xf numFmtId="0" fontId="17" fillId="0" borderId="52" xfId="0" applyFont="1" applyBorder="1" applyAlignment="1">
      <alignment horizontal="left" vertical="center" wrapText="1"/>
    </xf>
    <xf numFmtId="0" fontId="7" fillId="2" borderId="6" xfId="0" applyFont="1" applyFill="1" applyBorder="1" applyAlignment="1">
      <alignment horizontal="center" vertical="center" wrapText="1"/>
    </xf>
    <xf numFmtId="0" fontId="7" fillId="2" borderId="0" xfId="0" applyFont="1" applyFill="1" applyAlignment="1">
      <alignment vertical="center"/>
    </xf>
    <xf numFmtId="0" fontId="7" fillId="2" borderId="15" xfId="0" applyFont="1" applyFill="1" applyBorder="1" applyAlignment="1">
      <alignment vertical="center"/>
    </xf>
    <xf numFmtId="0" fontId="7" fillId="2" borderId="46" xfId="0" applyFont="1" applyFill="1" applyBorder="1" applyAlignment="1">
      <alignment horizontal="center" vertical="center" wrapText="1"/>
    </xf>
    <xf numFmtId="0" fontId="7" fillId="2" borderId="47" xfId="0" applyFont="1" applyFill="1" applyBorder="1" applyAlignment="1">
      <alignment horizontal="center" vertical="center" wrapText="1"/>
    </xf>
    <xf numFmtId="0" fontId="7" fillId="2" borderId="48" xfId="0" applyFont="1" applyFill="1" applyBorder="1" applyAlignment="1">
      <alignment horizontal="center" vertical="center" wrapText="1"/>
    </xf>
    <xf numFmtId="0" fontId="7" fillId="2" borderId="0" xfId="0" applyFont="1" applyFill="1" applyAlignment="1">
      <alignment horizontal="center" vertical="center"/>
    </xf>
    <xf numFmtId="0" fontId="7" fillId="2" borderId="15" xfId="0" applyFont="1" applyFill="1" applyBorder="1" applyAlignment="1">
      <alignment horizontal="center" vertical="center"/>
    </xf>
    <xf numFmtId="0" fontId="7" fillId="2" borderId="54" xfId="0" applyFont="1" applyFill="1" applyBorder="1" applyAlignment="1">
      <alignment horizontal="center" vertical="center"/>
    </xf>
    <xf numFmtId="0" fontId="7" fillId="2" borderId="0" xfId="0" applyFont="1" applyFill="1" applyAlignment="1">
      <alignment horizontal="center" vertical="center" wrapText="1"/>
    </xf>
    <xf numFmtId="0" fontId="7" fillId="2" borderId="0" xfId="0" applyFont="1" applyFill="1" applyAlignment="1">
      <alignment vertical="center" wrapText="1"/>
    </xf>
    <xf numFmtId="0" fontId="22" fillId="2" borderId="0" xfId="0" applyFont="1" applyFill="1" applyAlignment="1">
      <alignment horizontal="center" vertical="center" wrapText="1"/>
    </xf>
    <xf numFmtId="0" fontId="22" fillId="2" borderId="6" xfId="0" applyFont="1" applyFill="1" applyBorder="1" applyAlignment="1">
      <alignment horizontal="center" vertical="center" wrapText="1"/>
    </xf>
    <xf numFmtId="0" fontId="22" fillId="2" borderId="0" xfId="0" applyFont="1" applyFill="1" applyAlignment="1">
      <alignment horizontal="left" vertical="center" wrapText="1"/>
    </xf>
    <xf numFmtId="0" fontId="22" fillId="2" borderId="6" xfId="0" applyFont="1" applyFill="1" applyBorder="1" applyAlignment="1">
      <alignment horizontal="left" vertical="center" wrapText="1"/>
    </xf>
    <xf numFmtId="0" fontId="7" fillId="2" borderId="40" xfId="0" applyFont="1" applyFill="1" applyBorder="1" applyAlignment="1">
      <alignment horizontal="center" vertical="center" wrapText="1"/>
    </xf>
    <xf numFmtId="0" fontId="7" fillId="2" borderId="41" xfId="0" applyFont="1" applyFill="1" applyBorder="1" applyAlignment="1">
      <alignment horizontal="center" vertical="center" wrapText="1"/>
    </xf>
    <xf numFmtId="0" fontId="7" fillId="2" borderId="42" xfId="0" applyFont="1" applyFill="1" applyBorder="1" applyAlignment="1">
      <alignment horizontal="center" vertical="center" wrapText="1"/>
    </xf>
    <xf numFmtId="0" fontId="7" fillId="2" borderId="6" xfId="0" applyFont="1" applyFill="1" applyBorder="1" applyAlignment="1">
      <alignment horizontal="center" vertical="center"/>
    </xf>
    <xf numFmtId="0" fontId="7" fillId="2" borderId="33" xfId="0" applyFont="1" applyFill="1" applyBorder="1" applyAlignment="1">
      <alignment vertical="center"/>
    </xf>
    <xf numFmtId="0" fontId="7" fillId="2" borderId="37" xfId="0" applyFont="1" applyFill="1" applyBorder="1" applyAlignment="1">
      <alignment vertical="center"/>
    </xf>
    <xf numFmtId="0" fontId="7" fillId="2" borderId="34" xfId="0" applyFont="1" applyFill="1" applyBorder="1" applyAlignment="1">
      <alignment horizontal="center" vertical="center"/>
    </xf>
    <xf numFmtId="0" fontId="7" fillId="2" borderId="10" xfId="0" applyFont="1" applyFill="1" applyBorder="1" applyAlignment="1">
      <alignment horizontal="center" vertical="center"/>
    </xf>
    <xf numFmtId="0" fontId="7" fillId="2" borderId="35" xfId="0" applyFont="1" applyFill="1" applyBorder="1" applyAlignment="1">
      <alignment horizontal="center" vertical="center"/>
    </xf>
    <xf numFmtId="0" fontId="7" fillId="2" borderId="36" xfId="0" applyFont="1" applyFill="1" applyBorder="1" applyAlignment="1">
      <alignment horizontal="center" vertical="center"/>
    </xf>
    <xf numFmtId="0" fontId="48" fillId="5" borderId="68" xfId="0" applyFont="1" applyFill="1" applyBorder="1" applyAlignment="1">
      <alignment horizontal="justify" vertical="center"/>
    </xf>
    <xf numFmtId="0" fontId="48" fillId="5" borderId="0" xfId="0" applyFont="1" applyFill="1" applyAlignment="1">
      <alignment vertical="center"/>
    </xf>
    <xf numFmtId="0" fontId="7" fillId="4" borderId="0" xfId="0" applyFont="1" applyFill="1" applyAlignment="1">
      <alignment horizontal="center" vertical="center"/>
    </xf>
    <xf numFmtId="0" fontId="2" fillId="2" borderId="0" xfId="0" applyFont="1" applyFill="1" applyAlignment="1">
      <alignment horizontal="center" vertical="center" wrapText="1"/>
    </xf>
    <xf numFmtId="0" fontId="2" fillId="2" borderId="27" xfId="0" applyFont="1" applyFill="1" applyBorder="1" applyAlignment="1">
      <alignment horizontal="center" vertical="center" wrapText="1"/>
    </xf>
    <xf numFmtId="0" fontId="20" fillId="14" borderId="74" xfId="0" applyFont="1" applyFill="1" applyBorder="1" applyAlignment="1">
      <alignment vertical="center" wrapText="1"/>
    </xf>
    <xf numFmtId="0" fontId="20" fillId="14" borderId="72" xfId="0" applyFont="1" applyFill="1" applyBorder="1" applyAlignment="1">
      <alignment vertical="center" wrapText="1"/>
    </xf>
    <xf numFmtId="0" fontId="20" fillId="10" borderId="74" xfId="0" applyFont="1" applyFill="1" applyBorder="1" applyAlignment="1">
      <alignment vertical="center" wrapText="1"/>
    </xf>
    <xf numFmtId="0" fontId="20" fillId="10" borderId="72" xfId="0" applyFont="1" applyFill="1" applyBorder="1" applyAlignment="1">
      <alignment vertical="center" wrapText="1"/>
    </xf>
    <xf numFmtId="0" fontId="20" fillId="0" borderId="74" xfId="0" applyFont="1" applyBorder="1" applyAlignment="1">
      <alignment horizontal="center" vertical="center" wrapText="1"/>
    </xf>
    <xf numFmtId="0" fontId="20" fillId="0" borderId="72" xfId="0" applyFont="1" applyBorder="1" applyAlignment="1">
      <alignment horizontal="center" vertical="center" wrapText="1"/>
    </xf>
    <xf numFmtId="0" fontId="7" fillId="2" borderId="27" xfId="0" applyFont="1" applyFill="1" applyBorder="1" applyAlignment="1">
      <alignment horizontal="center" vertical="center" wrapText="1"/>
    </xf>
    <xf numFmtId="0" fontId="2" fillId="2" borderId="0" xfId="0" applyFont="1" applyFill="1" applyAlignment="1">
      <alignment vertical="center" wrapText="1"/>
    </xf>
    <xf numFmtId="0" fontId="2" fillId="2" borderId="27" xfId="0" applyFont="1" applyFill="1" applyBorder="1" applyAlignment="1">
      <alignment vertical="center" wrapText="1"/>
    </xf>
    <xf numFmtId="0" fontId="2" fillId="8" borderId="0" xfId="0" applyFont="1" applyFill="1" applyAlignment="1">
      <alignment vertical="center"/>
    </xf>
    <xf numFmtId="0" fontId="7" fillId="2" borderId="27" xfId="0" applyFont="1" applyFill="1" applyBorder="1" applyAlignment="1">
      <alignment vertical="center" wrapText="1"/>
    </xf>
    <xf numFmtId="0" fontId="19" fillId="7" borderId="22" xfId="0" applyFont="1" applyFill="1" applyBorder="1" applyAlignment="1">
      <alignment horizontal="left" vertical="center" wrapText="1"/>
    </xf>
    <xf numFmtId="172" fontId="19" fillId="7" borderId="22" xfId="1" applyNumberFormat="1" applyFont="1" applyFill="1" applyBorder="1" applyAlignment="1">
      <alignment horizontal="right" vertical="center"/>
    </xf>
    <xf numFmtId="0" fontId="2" fillId="8" borderId="0" xfId="0" applyFont="1" applyFill="1" applyAlignment="1">
      <alignment horizontal="center" vertical="center"/>
    </xf>
    <xf numFmtId="0" fontId="7" fillId="8" borderId="0" xfId="0" applyFont="1" applyFill="1" applyAlignment="1">
      <alignment horizontal="center" vertical="center"/>
    </xf>
    <xf numFmtId="0" fontId="25" fillId="6" borderId="25" xfId="0" applyFont="1" applyFill="1" applyBorder="1" applyAlignment="1">
      <alignment horizontal="left" vertical="center" wrapText="1"/>
    </xf>
    <xf numFmtId="0" fontId="25" fillId="6" borderId="22" xfId="0" applyFont="1" applyFill="1" applyBorder="1" applyAlignment="1">
      <alignment horizontal="left" vertical="center" wrapText="1"/>
    </xf>
    <xf numFmtId="0" fontId="25" fillId="7" borderId="22" xfId="0" applyFont="1" applyFill="1" applyBorder="1" applyAlignment="1">
      <alignment horizontal="left" vertical="center" wrapText="1"/>
    </xf>
    <xf numFmtId="0" fontId="25" fillId="7" borderId="24" xfId="0" applyFont="1" applyFill="1" applyBorder="1" applyAlignment="1">
      <alignment horizontal="left" vertical="center" wrapText="1"/>
    </xf>
    <xf numFmtId="0" fontId="9" fillId="10" borderId="26" xfId="0" applyFont="1" applyFill="1" applyBorder="1" applyAlignment="1">
      <alignment horizontal="center" vertical="center"/>
    </xf>
    <xf numFmtId="0" fontId="9" fillId="10" borderId="22" xfId="0" applyFont="1" applyFill="1" applyBorder="1" applyAlignment="1">
      <alignment horizontal="center" vertical="center"/>
    </xf>
    <xf numFmtId="3" fontId="9" fillId="10" borderId="26" xfId="0" applyNumberFormat="1" applyFont="1" applyFill="1" applyBorder="1" applyAlignment="1">
      <alignment horizontal="right" vertical="center" wrapText="1"/>
    </xf>
    <xf numFmtId="3" fontId="9" fillId="10" borderId="22" xfId="0" applyNumberFormat="1" applyFont="1" applyFill="1" applyBorder="1" applyAlignment="1">
      <alignment horizontal="right" vertical="center" wrapText="1"/>
    </xf>
    <xf numFmtId="0" fontId="9" fillId="11" borderId="22" xfId="0" applyFont="1" applyFill="1" applyBorder="1" applyAlignment="1">
      <alignment horizontal="center" vertical="center"/>
    </xf>
    <xf numFmtId="0" fontId="9" fillId="11" borderId="24" xfId="0" applyFont="1" applyFill="1" applyBorder="1" applyAlignment="1">
      <alignment horizontal="center" vertical="center"/>
    </xf>
    <xf numFmtId="3" fontId="9" fillId="11" borderId="22" xfId="0" applyNumberFormat="1" applyFont="1" applyFill="1" applyBorder="1" applyAlignment="1">
      <alignment horizontal="right" vertical="center"/>
    </xf>
    <xf numFmtId="3" fontId="9" fillId="11" borderId="24" xfId="0" applyNumberFormat="1" applyFont="1" applyFill="1" applyBorder="1" applyAlignment="1">
      <alignment horizontal="right" vertical="center"/>
    </xf>
    <xf numFmtId="0" fontId="7" fillId="4" borderId="78" xfId="1" applyNumberFormat="1" applyFont="1" applyFill="1" applyBorder="1" applyAlignment="1">
      <alignment horizontal="center" vertical="center"/>
    </xf>
    <xf numFmtId="0" fontId="21" fillId="6" borderId="75" xfId="0" applyFont="1" applyFill="1" applyBorder="1" applyAlignment="1">
      <alignment horizontal="left" vertical="center"/>
    </xf>
    <xf numFmtId="0" fontId="21" fillId="6" borderId="77" xfId="0" applyFont="1" applyFill="1" applyBorder="1" applyAlignment="1">
      <alignment horizontal="left" vertical="center"/>
    </xf>
    <xf numFmtId="0" fontId="21" fillId="7" borderId="75" xfId="0" applyFont="1" applyFill="1" applyBorder="1" applyAlignment="1">
      <alignment horizontal="left" vertical="center"/>
    </xf>
    <xf numFmtId="0" fontId="21" fillId="7" borderId="77" xfId="0" applyFont="1" applyFill="1" applyBorder="1" applyAlignment="1">
      <alignment horizontal="left" vertical="center"/>
    </xf>
    <xf numFmtId="0" fontId="21" fillId="6" borderId="76" xfId="0" applyFont="1" applyFill="1" applyBorder="1" applyAlignment="1">
      <alignment horizontal="left" vertical="center"/>
    </xf>
  </cellXfs>
  <cellStyles count="5">
    <cellStyle name="Milliers" xfId="1" builtinId="3"/>
    <cellStyle name="Normal" xfId="0" builtinId="0"/>
    <cellStyle name="Normal 2 5" xfId="3" xr:uid="{DCACD575-5911-499B-B779-7FA0185659A4}"/>
    <cellStyle name="Normal 5" xfId="4" xr:uid="{6142B60A-65B8-4429-8571-C56DD1C93335}"/>
    <cellStyle name="Pourcentag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07-%20Tableau%20du%20rapport%20ITIE%20S&#233;n&#233;gal%202022.xlsx" TargetMode="External"/><Relationship Id="rId1" Type="http://schemas.openxmlformats.org/officeDocument/2006/relationships/hyperlink" Target="07-%20Tableau%20du%20rapport%20ITIE%20S&#233;n&#233;gal%202022.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A238D-669F-4ECA-A166-7BCEC3DF7564}">
  <sheetPr>
    <tabColor rgb="FFFF0000"/>
  </sheetPr>
  <dimension ref="B2:B58"/>
  <sheetViews>
    <sheetView workbookViewId="0">
      <selection activeCell="B12" sqref="B12"/>
    </sheetView>
  </sheetViews>
  <sheetFormatPr baseColWidth="10" defaultColWidth="11.5703125" defaultRowHeight="15" x14ac:dyDescent="0.35"/>
  <cols>
    <col min="1" max="1" width="11.5703125" style="3"/>
    <col min="2" max="2" width="104.5703125" style="3" bestFit="1" customWidth="1"/>
    <col min="3" max="16384" width="11.5703125" style="3"/>
  </cols>
  <sheetData>
    <row r="2" spans="2:2" x14ac:dyDescent="0.35">
      <c r="B2" s="3" t="s">
        <v>937</v>
      </c>
    </row>
    <row r="3" spans="2:2" x14ac:dyDescent="0.35">
      <c r="B3" s="3" t="s">
        <v>938</v>
      </c>
    </row>
    <row r="4" spans="2:2" x14ac:dyDescent="0.35">
      <c r="B4" s="3" t="s">
        <v>939</v>
      </c>
    </row>
    <row r="5" spans="2:2" x14ac:dyDescent="0.35">
      <c r="B5" s="3" t="s">
        <v>940</v>
      </c>
    </row>
    <row r="6" spans="2:2" x14ac:dyDescent="0.35">
      <c r="B6" s="3" t="s">
        <v>941</v>
      </c>
    </row>
    <row r="7" spans="2:2" x14ac:dyDescent="0.35">
      <c r="B7" s="3" t="s">
        <v>942</v>
      </c>
    </row>
    <row r="8" spans="2:2" x14ac:dyDescent="0.35">
      <c r="B8" s="3" t="s">
        <v>60</v>
      </c>
    </row>
    <row r="9" spans="2:2" x14ac:dyDescent="0.35">
      <c r="B9" s="3" t="s">
        <v>943</v>
      </c>
    </row>
    <row r="10" spans="2:2" x14ac:dyDescent="0.35">
      <c r="B10" s="3" t="s">
        <v>100</v>
      </c>
    </row>
    <row r="11" spans="2:2" x14ac:dyDescent="0.35">
      <c r="B11" s="3" t="s">
        <v>160</v>
      </c>
    </row>
    <row r="12" spans="2:2" x14ac:dyDescent="0.35">
      <c r="B12" s="3" t="s">
        <v>161</v>
      </c>
    </row>
    <row r="13" spans="2:2" x14ac:dyDescent="0.35">
      <c r="B13" s="3" t="s">
        <v>944</v>
      </c>
    </row>
    <row r="14" spans="2:2" x14ac:dyDescent="0.35">
      <c r="B14" s="3" t="s">
        <v>945</v>
      </c>
    </row>
    <row r="15" spans="2:2" x14ac:dyDescent="0.35">
      <c r="B15" s="3" t="s">
        <v>248</v>
      </c>
    </row>
    <row r="16" spans="2:2" x14ac:dyDescent="0.35">
      <c r="B16" s="3" t="s">
        <v>946</v>
      </c>
    </row>
    <row r="17" spans="2:2" x14ac:dyDescent="0.35">
      <c r="B17" s="3" t="s">
        <v>947</v>
      </c>
    </row>
    <row r="18" spans="2:2" x14ac:dyDescent="0.35">
      <c r="B18" s="3" t="s">
        <v>407</v>
      </c>
    </row>
    <row r="19" spans="2:2" x14ac:dyDescent="0.35">
      <c r="B19" s="3" t="s">
        <v>432</v>
      </c>
    </row>
    <row r="20" spans="2:2" x14ac:dyDescent="0.35">
      <c r="B20" s="3" t="s">
        <v>972</v>
      </c>
    </row>
    <row r="21" spans="2:2" x14ac:dyDescent="0.35">
      <c r="B21" s="3" t="s">
        <v>603</v>
      </c>
    </row>
    <row r="22" spans="2:2" x14ac:dyDescent="0.35">
      <c r="B22" s="3" t="s">
        <v>615</v>
      </c>
    </row>
    <row r="23" spans="2:2" x14ac:dyDescent="0.35">
      <c r="B23" s="3" t="s">
        <v>634</v>
      </c>
    </row>
    <row r="24" spans="2:2" x14ac:dyDescent="0.35">
      <c r="B24" s="3" t="s">
        <v>973</v>
      </c>
    </row>
    <row r="25" spans="2:2" x14ac:dyDescent="0.35">
      <c r="B25" s="3" t="s">
        <v>642</v>
      </c>
    </row>
    <row r="26" spans="2:2" x14ac:dyDescent="0.35">
      <c r="B26" s="3" t="s">
        <v>644</v>
      </c>
    </row>
    <row r="27" spans="2:2" x14ac:dyDescent="0.35">
      <c r="B27" s="3" t="s">
        <v>652</v>
      </c>
    </row>
    <row r="28" spans="2:2" x14ac:dyDescent="0.35">
      <c r="B28" s="3" t="s">
        <v>659</v>
      </c>
    </row>
    <row r="29" spans="2:2" x14ac:dyDescent="0.35">
      <c r="B29" s="3" t="s">
        <v>666</v>
      </c>
    </row>
    <row r="30" spans="2:2" x14ac:dyDescent="0.35">
      <c r="B30" s="3" t="s">
        <v>948</v>
      </c>
    </row>
    <row r="31" spans="2:2" x14ac:dyDescent="0.35">
      <c r="B31" s="3" t="s">
        <v>949</v>
      </c>
    </row>
    <row r="32" spans="2:2" x14ac:dyDescent="0.35">
      <c r="B32" s="3" t="s">
        <v>950</v>
      </c>
    </row>
    <row r="33" spans="2:2" x14ac:dyDescent="0.35">
      <c r="B33" s="3" t="s">
        <v>974</v>
      </c>
    </row>
    <row r="34" spans="2:2" x14ac:dyDescent="0.35">
      <c r="B34" s="3" t="s">
        <v>975</v>
      </c>
    </row>
    <row r="35" spans="2:2" x14ac:dyDescent="0.35">
      <c r="B35" s="3" t="s">
        <v>951</v>
      </c>
    </row>
    <row r="36" spans="2:2" x14ac:dyDescent="0.35">
      <c r="B36" s="3" t="s">
        <v>952</v>
      </c>
    </row>
    <row r="37" spans="2:2" x14ac:dyDescent="0.35">
      <c r="B37" s="3" t="s">
        <v>953</v>
      </c>
    </row>
    <row r="38" spans="2:2" x14ac:dyDescent="0.35">
      <c r="B38" s="3" t="s">
        <v>976</v>
      </c>
    </row>
    <row r="39" spans="2:2" x14ac:dyDescent="0.35">
      <c r="B39" s="3" t="s">
        <v>977</v>
      </c>
    </row>
    <row r="40" spans="2:2" x14ac:dyDescent="0.35">
      <c r="B40" s="3" t="s">
        <v>954</v>
      </c>
    </row>
    <row r="41" spans="2:2" x14ac:dyDescent="0.35">
      <c r="B41" s="3" t="s">
        <v>978</v>
      </c>
    </row>
    <row r="42" spans="2:2" x14ac:dyDescent="0.35">
      <c r="B42" s="3" t="s">
        <v>955</v>
      </c>
    </row>
    <row r="43" spans="2:2" x14ac:dyDescent="0.35">
      <c r="B43" s="3" t="s">
        <v>956</v>
      </c>
    </row>
    <row r="44" spans="2:2" x14ac:dyDescent="0.35">
      <c r="B44" s="3" t="s">
        <v>957</v>
      </c>
    </row>
    <row r="45" spans="2:2" x14ac:dyDescent="0.35">
      <c r="B45" s="3" t="s">
        <v>958</v>
      </c>
    </row>
    <row r="46" spans="2:2" x14ac:dyDescent="0.35">
      <c r="B46" s="3" t="s">
        <v>959</v>
      </c>
    </row>
    <row r="47" spans="2:2" x14ac:dyDescent="0.35">
      <c r="B47" s="3" t="s">
        <v>960</v>
      </c>
    </row>
    <row r="48" spans="2:2" x14ac:dyDescent="0.35">
      <c r="B48" s="3" t="s">
        <v>961</v>
      </c>
    </row>
    <row r="49" spans="2:2" x14ac:dyDescent="0.35">
      <c r="B49" s="3" t="s">
        <v>962</v>
      </c>
    </row>
    <row r="50" spans="2:2" x14ac:dyDescent="0.35">
      <c r="B50" s="3" t="s">
        <v>963</v>
      </c>
    </row>
    <row r="51" spans="2:2" x14ac:dyDescent="0.35">
      <c r="B51" s="3" t="s">
        <v>964</v>
      </c>
    </row>
    <row r="52" spans="2:2" x14ac:dyDescent="0.35">
      <c r="B52" s="3" t="s">
        <v>965</v>
      </c>
    </row>
    <row r="53" spans="2:2" x14ac:dyDescent="0.35">
      <c r="B53" s="3" t="s">
        <v>966</v>
      </c>
    </row>
    <row r="54" spans="2:2" x14ac:dyDescent="0.35">
      <c r="B54" s="3" t="s">
        <v>967</v>
      </c>
    </row>
    <row r="55" spans="2:2" x14ac:dyDescent="0.35">
      <c r="B55" s="3" t="s">
        <v>968</v>
      </c>
    </row>
    <row r="56" spans="2:2" x14ac:dyDescent="0.35">
      <c r="B56" s="3" t="s">
        <v>969</v>
      </c>
    </row>
    <row r="57" spans="2:2" x14ac:dyDescent="0.35">
      <c r="B57" s="3" t="s">
        <v>970</v>
      </c>
    </row>
    <row r="58" spans="2:2" x14ac:dyDescent="0.35">
      <c r="B58" s="3" t="s">
        <v>971</v>
      </c>
    </row>
  </sheetData>
  <hyperlinks>
    <hyperlink ref="B2" r:id="rId1" location="'Tableau 1'!A1" xr:uid="{95E99F1E-E36E-40CA-9424-3991DEF86AA6}"/>
    <hyperlink ref="B3" r:id="rId2" location="'Tableau 2'!A1" xr:uid="{27E3CB12-13F4-4371-94F7-287A1E670BA6}"/>
    <hyperlink ref="B4" location="'Tableau 3'!A1" display="Tableau 3 : Affectation des revenus du secteur extractif 2021-2022" xr:uid="{863945E6-C519-43E7-9C25-583B4366B0D7}"/>
    <hyperlink ref="B5" location="'Tableau 4'!A1" display="Tableau 4 : Détail des revenus du secteur extractif par origine en 2022" xr:uid="{2212212E-1DE5-4B3F-B741-21E963C86469}"/>
    <hyperlink ref="B6" location="'Tableau 5'!A1" display="Tableau 5 : Revenus des Entreprises de l’Etat dans le secteur extractif en 2022" xr:uid="{A8502639-F4A2-4930-BC6C-0384FA8F1D73}"/>
    <hyperlink ref="B7" location="'Tableau 6'!A1" display="Tableau 6 : Etat des recettes recouvrées sur le compte du Trésor 2021-2022" xr:uid="{67A54C69-906A-44EB-90A2-430CB2E3F5FA}"/>
    <hyperlink ref="B8" location="'Tableau 7'!A1" display="Tableau 7 : État récapitulatif de la production du secteur des hydrocarbures par substance et par projet" xr:uid="{8A27B5E2-16B9-4FB3-A44B-3297531854B4}"/>
    <hyperlink ref="B9" location="'Tableau 8'!A1" display="Tableau 8 : État récapitulatif des productions du secteur minier par substance" xr:uid="{A9DB0D74-DDD9-46B9-BA54-0FD8AE0353CB}"/>
    <hyperlink ref="B10" location="'Tableau 9'!A1" display="Tableau 9 : État récapitulatif des productions du secteur minier par société et par projet" xr:uid="{4668C092-BBB1-417E-A975-BC5ED2465508}"/>
    <hyperlink ref="B11" location="'Tableau 10'!A1" display="Tableau 10 : État récapitulatif des exportations du secteur minier par substance" xr:uid="{4EF0EAC2-290F-4D9A-87FB-24AC6F06B78E}"/>
    <hyperlink ref="B12" location="'Tableau 11'!A1" display="Tableau 11 : État récapitulatif des exportations du secteur minier par substance et par pays" xr:uid="{C6AC17EA-5EAE-499C-8DBE-85A371A6296E}"/>
    <hyperlink ref="B13" location="'Tableau 12'!A1" display="Tableau 12 : Contribution du secteur extractif dans l’économie" xr:uid="{B3A51583-7813-43E5-B393-CF4124C46282}"/>
    <hyperlink ref="B14" location="'Tableau 13'!A1" display="Tableau 13 : État récapitulatif des écarts de rapprochement des flux de paiement en numéraire" xr:uid="{9632606C-0D30-490E-B637-A4934D654353}"/>
    <hyperlink ref="B15" location="'Tableau 14'!A1" display="Tableau 14 : Liste des sociétés retenues dans le périmètre de rapprochement du secteur des hydrocarbures" xr:uid="{DF5808C4-0F87-44AC-AC7D-CFAD4D1C3791}"/>
    <hyperlink ref="B16" location="'Tableau 15'!A1" display="Tableau 15 : Liste des sociétés retenues dans le périmètre de rapprochement du secteur minier" xr:uid="{EA325635-9A59-4DF1-BC17-E591CD14A59F}"/>
    <hyperlink ref="B17" location="'Tableau 16'!A1" display="Tableau 16 : Liste des organismes collecteurs retenus dans le périmètre" xr:uid="{6F13B0FA-8756-48EB-B729-967672B239DD}"/>
    <hyperlink ref="B18" location="'Tableau 17'!A1" display="Tableau 17 : Liste des flux de paiement retenus dans le périmètre" xr:uid="{C1BBA992-E6D0-442D-B79F-1B7861676302}"/>
    <hyperlink ref="B19" location="'Tableau 18'!A1" display="Tableau 18 : récapitulatif du formulaire de déclaration" xr:uid="{E85FD832-8935-4F37-B8A8-086A13CB070D}"/>
    <hyperlink ref="B20" location="'Section 3.3'!A1" display="Section 3.3 : Résultats des travaux de rapprochement" xr:uid="{F13AB2F8-5E7F-4B47-94AA-82FD5D5E3F1A}"/>
    <hyperlink ref="B21" location="'Tableau 19'!A1" display="Tableau 19 : Nombre des titres miniers et autorisations octroyés de 2022" xr:uid="{C65E8330-AAD4-4C90-B2A5-4F2564D31110}"/>
    <hyperlink ref="B22" location="'Tableau 20'!A1" display="Tableau 20 : Nombre des titres miniers en 2022" xr:uid="{00C6B715-6279-4A7A-A112-A1294BF461F6}"/>
    <hyperlink ref="B23" location="'Tableau 21'!A1" display="Tableau 21 : Participations directes de l’Etat dans les sociétés minières au 31 décembre 2022" xr:uid="{C15740FB-1907-404E-934D-AD9E006F9265}"/>
    <hyperlink ref="B24" location="'Section 4.1.11'!A1" display="Section 4.1.11 : Dépenses sociales et contenu local" xr:uid="{918B9125-364C-46F0-8B2E-FBC688B7E81E}"/>
    <hyperlink ref="B25" location="'Tableau 22'!A1" display="Tableau 22 : Total des paiements des taxes environnementales par les sociétés minières en 2022" xr:uid="{D483373A-4E10-4F4C-99D5-ED8EEBA9A79F}"/>
    <hyperlink ref="B26" location="'Tableau 23'!A1" display="Tableau 23 : Total des paiements environnementaux par les sociétés minières en 2022" xr:uid="{99AEC117-2E7B-427F-914E-CDE64F6D8CD8}"/>
    <hyperlink ref="B27" location="'Tableau 24'!A1" display="Tableau 24 : Total des paiements à la CDC par les sociétés minières en 2022" xr:uid="{A48415A4-9A74-441E-B1D5-2FCE57CD1B8F}"/>
    <hyperlink ref="B28" location="'Tableau 25'!A1" display="Tableau 25 : les intérêts effectifs dans les blocs pétroliers" xr:uid="{62ADA1C6-25BB-4E73-A014-5DFD4CE9D479}"/>
    <hyperlink ref="B29" location="'Tableau 26'!A1" display="Tableau 26 : les nouveaux pourcentages dans l’Accord d’Association pétrolier" xr:uid="{DA7A0683-53F2-4E58-95E9-A769E3B790F2}"/>
    <hyperlink ref="B30" location="'Tableau 27'!A1" display="Tableau 27 : la production totale du gaz" xr:uid="{1FAE1BE2-8078-454B-AA1C-B31D227959FD}"/>
    <hyperlink ref="B31" location="'Tableau 28'!A1" display="Tableau 28 : les droits et obligations pour les titres pétroliers" xr:uid="{7C003930-7C34-4577-A86B-6AE5B41663C9}"/>
    <hyperlink ref="B32" location="'Tableau 29'!A1" display="Tableau 29 : Les transferts des entreprises pétrolières à PETROSEN au titre de 2022" xr:uid="{A4C86C6E-36B0-4C04-98FE-AE95C50FA599}"/>
    <hyperlink ref="B33" location="'Section 4.2.9'!A1" display="Section 4.2.9 : Dépenses sociales et contenu local " xr:uid="{2E5CEEEE-C3B1-4B67-A0D1-951AE554FC2E}"/>
    <hyperlink ref="B34" location="'Section 4.4.8'!A1" display="Section 4.4.8 : Affectation et transferts des revenus extractifs" xr:uid="{FAED4C03-F211-4EB2-B5B8-2D686684538D}"/>
    <hyperlink ref="B35" location="'Tableau 30'!A1" display="Tableau 30 : Les paiements infranationaux dans le secteur minier en 2022" xr:uid="{A05203AF-845B-4D47-9555-B22CF30286B3}"/>
    <hyperlink ref="B36" location="'Tableau 31'!A1" display="Tableau 31 : Les protocoles signés (FADL) en 2022" xr:uid="{ACA28707-7CD9-40D2-9DFA-2F01062BD433}"/>
    <hyperlink ref="B37" location="'Tableau 32'!A1" display="Tableau 32 : Évaluation du Cadre de Contrôle et d’Audit au Sénégal" xr:uid="{E03F60BF-D671-4E43-8729-CB1F0CCFC954}"/>
    <hyperlink ref="B38" location="'Section 4.5.6'!A1" display="Section 4.5.6 : Exhaustivité et fiabilité des données reportées" xr:uid="{7956C74F-CEFB-4F22-A61E-A2DFA3F35F13}"/>
    <hyperlink ref="B39" location="'Section 5.1.1'!A1" display="Section 5.1.1 : Revenus budgétaires par secteur " xr:uid="{69F47625-530D-44D4-B416-80A11E6788AE}"/>
    <hyperlink ref="B40" location="'Tableau 33'!A1" display="Tableau 33 : Revenus budgétaires par organisme collecteur" xr:uid="{468133CF-2D5E-4127-9CFD-E861D422A23E}"/>
    <hyperlink ref="B41" location="'Section 5.2.1'!A1" display="Section 5.2.1 : Paiements des Entreprises par Secteur" xr:uid="{8F3F2F14-D7CD-4612-A95C-6BC698B21BA1}"/>
    <hyperlink ref="B42" location="'Tableau 34'!A1" display="Tableau 34 : Revenus globaux par organisme collecteur" xr:uid="{985C5750-1263-4BF7-9B49-B3B2F84E3F7F}"/>
    <hyperlink ref="B43" location="'Tableau 35'!A1" display="Tableau 35 : Etat de suivi de Reporting par projet (secteur des hydrocarbures)" xr:uid="{40180E13-3FEB-4AF9-B96A-B02FAE142351}"/>
    <hyperlink ref="B44" location="'Tableau 36'!A1" display="Tableau 36 : Etat de suivi de Reporting par projet (secteur minier)" xr:uid="{9772D3D5-B6B4-4ADD-BC1A-F779BD39CE8A}"/>
    <hyperlink ref="B45" location="'Tableau 37'!A1" display="Tableau 37 : Paiements par projet déclarés par les sociétés pétrolières du périmètre" xr:uid="{9FD164FA-DCF9-486F-92AC-4D586F54DA4D}"/>
    <hyperlink ref="B46" location="'Tableau 38'!A1" display="Tableau 38 : Paiements par projet déclarés par les sociétés minières" xr:uid="{884B2794-4875-45D6-ACAA-30749819CD1C}"/>
    <hyperlink ref="B47" location="'Tableau 39'!A1" display="Tableau 39 : Répartition des revenus budgétaires au Sénégal (2022)" xr:uid="{56D8EC3B-1B5A-4FAC-BC71-B23EB48FF3BA}"/>
    <hyperlink ref="B48" location="'Tableau 40'!A1" display="Tableau 40 : Contribution des revenus budgétaires du secteur extractif dans les recettes totales du pays" xr:uid="{F67CFC40-913A-44D5-B69F-1DA8FDB34EAB}"/>
    <hyperlink ref="B49" location="'Tableau 41'!A1" display="Tableau 41 : Contribution des recettes budgétaires du secteur extractif dans le PIB" xr:uid="{F9D5FA5E-7FB3-4817-927B-8FFF951FF718}"/>
    <hyperlink ref="B50" location="'Tableau 42'!A1" display="Tableau 42 : Contribution du secteur extractif dans les exportations du pays" xr:uid="{DAE3D166-231B-4645-BCBC-C4E086AFF344}"/>
    <hyperlink ref="B51" location="'Tableau 43'!A1" display="Tableau 43 : Détail de l’emploi désagrégé par genre et par qualification" xr:uid="{E7014F14-0C07-4396-AA74-353633AACFC5}"/>
    <hyperlink ref="B52" location="'Tableau 44'!A1" display="Tableau 44 : Contribution du secteur extractif dans l’emploi" xr:uid="{00CE9D3D-7C39-44E9-B6D2-22BB8EB6222C}"/>
    <hyperlink ref="B53" location="'Tableau 45'!A1" display="Tableau 45 : Détail des productions du secteur des hydrocarbures" xr:uid="{EBE36DF5-5520-4B5D-8FDC-10DF9603C73A}"/>
    <hyperlink ref="B54" location="'Tableau 46'!A1" display="Tableau 46 : Détail des productions de 2022" xr:uid="{6A531DB5-8602-4E73-85FC-620874BBE02A}"/>
    <hyperlink ref="B55" location="'Tableau 47'!A1" display="Tableau 47 : Détail des exportations et ventes locales du secteur minier" xr:uid="{652199DC-2311-40CE-994B-BC4493633AFE}"/>
    <hyperlink ref="B56" location="'Tableau 48'!A1" display="Tableau 48 : Détail des dépenses sociales par société" xr:uid="{DED968A6-30AD-4806-A5E1-7755C0FF9DB2}"/>
    <hyperlink ref="B57" location="'Tableau 49'!A1" display="Tableau 49 : Détail des dépenses environnementales par société" xr:uid="{27590732-4227-4D08-830E-68AA0808839D}"/>
    <hyperlink ref="B58" location="'Tableau 50'!A1" display="Tableau 50 :  Analyse des autres paiements/recettes significatifs" xr:uid="{8A3EE5D0-191F-425B-ACF1-C4B13242174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15"/>
  <sheetViews>
    <sheetView workbookViewId="0">
      <selection activeCell="B13" sqref="B13"/>
    </sheetView>
  </sheetViews>
  <sheetFormatPr baseColWidth="10" defaultColWidth="8.85546875" defaultRowHeight="15" x14ac:dyDescent="0.25"/>
  <cols>
    <col min="1" max="1" width="8.85546875" style="18"/>
    <col min="2" max="2" width="42.85546875" style="18" bestFit="1" customWidth="1"/>
    <col min="3" max="3" width="17.140625" style="18" bestFit="1" customWidth="1"/>
    <col min="4" max="4" width="6.28515625" style="18" bestFit="1" customWidth="1"/>
    <col min="5" max="16384" width="8.85546875" style="18"/>
  </cols>
  <sheetData>
    <row r="2" spans="2:4" x14ac:dyDescent="0.25">
      <c r="B2" s="584" t="s">
        <v>14</v>
      </c>
      <c r="C2" s="584"/>
      <c r="D2" s="584"/>
    </row>
    <row r="4" spans="2:4" ht="45" x14ac:dyDescent="0.25">
      <c r="B4" s="1" t="s">
        <v>0</v>
      </c>
      <c r="C4" s="2" t="s">
        <v>1</v>
      </c>
      <c r="D4" s="1" t="s">
        <v>2</v>
      </c>
    </row>
    <row r="5" spans="2:4" x14ac:dyDescent="0.25">
      <c r="B5" s="4" t="s">
        <v>3</v>
      </c>
      <c r="C5" s="5">
        <v>235.7135176029997</v>
      </c>
      <c r="D5" s="6">
        <v>0.8561181548181297</v>
      </c>
    </row>
    <row r="6" spans="2:4" x14ac:dyDescent="0.25">
      <c r="B6" s="7" t="s">
        <v>4</v>
      </c>
      <c r="C6" s="8">
        <v>24.699345574093169</v>
      </c>
      <c r="D6" s="9">
        <v>8.9708720879225823E-2</v>
      </c>
    </row>
    <row r="7" spans="2:4" ht="60" x14ac:dyDescent="0.25">
      <c r="B7" s="10" t="s">
        <v>5</v>
      </c>
      <c r="C7" s="11">
        <v>260.41286317709285</v>
      </c>
      <c r="D7" s="12">
        <v>0.94582687569735546</v>
      </c>
    </row>
    <row r="8" spans="2:4" x14ac:dyDescent="0.25">
      <c r="B8" s="4" t="s">
        <v>6</v>
      </c>
      <c r="C8" s="5">
        <v>5.0731118161605249</v>
      </c>
      <c r="D8" s="6">
        <v>1.8425685431212317E-2</v>
      </c>
    </row>
    <row r="9" spans="2:4" x14ac:dyDescent="0.25">
      <c r="B9" s="13" t="s">
        <v>7</v>
      </c>
      <c r="C9" s="14">
        <v>3.6961604596946867</v>
      </c>
      <c r="D9" s="15">
        <v>1.3424559205785979E-2</v>
      </c>
    </row>
    <row r="10" spans="2:4" x14ac:dyDescent="0.25">
      <c r="B10" s="13" t="s">
        <v>8</v>
      </c>
      <c r="C10" s="14">
        <v>1.3769513564658384</v>
      </c>
      <c r="D10" s="15">
        <v>5.0011262254263372E-3</v>
      </c>
    </row>
    <row r="11" spans="2:4" x14ac:dyDescent="0.25">
      <c r="B11" s="7" t="s">
        <v>9</v>
      </c>
      <c r="C11" s="8">
        <v>8.7276049056500007</v>
      </c>
      <c r="D11" s="9">
        <v>3.16989075713138E-2</v>
      </c>
    </row>
    <row r="12" spans="2:4" x14ac:dyDescent="0.25">
      <c r="B12" s="16" t="s">
        <v>10</v>
      </c>
      <c r="C12" s="11">
        <v>13.800716721810526</v>
      </c>
      <c r="D12" s="12">
        <v>5.0124593002526113E-2</v>
      </c>
    </row>
    <row r="13" spans="2:4" ht="30" x14ac:dyDescent="0.25">
      <c r="B13" s="10" t="s">
        <v>11</v>
      </c>
      <c r="C13" s="11">
        <v>1.114675058</v>
      </c>
      <c r="D13" s="12">
        <v>4.0485313001183913E-3</v>
      </c>
    </row>
    <row r="14" spans="2:4" x14ac:dyDescent="0.25">
      <c r="B14" s="16" t="s">
        <v>12</v>
      </c>
      <c r="C14" s="11">
        <v>275.32825495690338</v>
      </c>
      <c r="D14" s="17"/>
    </row>
    <row r="15" spans="2:4" x14ac:dyDescent="0.25">
      <c r="B15" s="16" t="s">
        <v>13</v>
      </c>
      <c r="C15" s="11">
        <v>443.27849048061444</v>
      </c>
      <c r="D15" s="17"/>
    </row>
  </sheetData>
  <mergeCells count="1">
    <mergeCell ref="B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30E3A-D0D0-40DE-BCAB-8A399E547197}">
  <dimension ref="B2:N8"/>
  <sheetViews>
    <sheetView workbookViewId="0">
      <selection activeCell="E19" sqref="E19"/>
    </sheetView>
  </sheetViews>
  <sheetFormatPr baseColWidth="10" defaultColWidth="11.5703125" defaultRowHeight="15" x14ac:dyDescent="0.25"/>
  <cols>
    <col min="1" max="1" width="11.5703125" style="18"/>
    <col min="2" max="2" width="18.7109375" style="18" bestFit="1" customWidth="1"/>
    <col min="3" max="14" width="8.85546875" style="18" customWidth="1"/>
    <col min="15" max="16384" width="11.5703125" style="18"/>
  </cols>
  <sheetData>
    <row r="2" spans="2:14" x14ac:dyDescent="0.25">
      <c r="B2" s="584" t="s">
        <v>20</v>
      </c>
      <c r="C2" s="584"/>
      <c r="D2" s="584"/>
      <c r="E2" s="584"/>
      <c r="F2" s="584"/>
      <c r="G2" s="584"/>
      <c r="H2" s="584"/>
      <c r="I2" s="584"/>
      <c r="J2" s="584"/>
      <c r="K2" s="584"/>
      <c r="L2" s="584"/>
      <c r="M2" s="584"/>
      <c r="N2" s="584"/>
    </row>
    <row r="3" spans="2:14" ht="15.75" thickBot="1" x14ac:dyDescent="0.3"/>
    <row r="4" spans="2:14" ht="15.75" thickBot="1" x14ac:dyDescent="0.3">
      <c r="B4" s="19" t="s">
        <v>15</v>
      </c>
      <c r="C4" s="20">
        <v>2022</v>
      </c>
      <c r="D4" s="21" t="s">
        <v>2</v>
      </c>
      <c r="E4" s="22">
        <v>2021</v>
      </c>
      <c r="F4" s="23" t="s">
        <v>2</v>
      </c>
      <c r="G4" s="24">
        <v>2020</v>
      </c>
      <c r="H4" s="25" t="s">
        <v>2</v>
      </c>
      <c r="I4" s="24">
        <v>2019</v>
      </c>
      <c r="J4" s="25" t="s">
        <v>2</v>
      </c>
      <c r="K4" s="24">
        <v>2018</v>
      </c>
      <c r="L4" s="25" t="s">
        <v>2</v>
      </c>
      <c r="M4" s="24">
        <v>2017</v>
      </c>
      <c r="N4" s="25" t="s">
        <v>2</v>
      </c>
    </row>
    <row r="5" spans="2:14" x14ac:dyDescent="0.25">
      <c r="B5" s="26" t="s">
        <v>16</v>
      </c>
      <c r="C5" s="27">
        <v>235.7135176029997</v>
      </c>
      <c r="D5" s="28">
        <v>0.90515312771897738</v>
      </c>
      <c r="E5" s="29">
        <v>203.01</v>
      </c>
      <c r="F5" s="30">
        <v>0.93159999999999998</v>
      </c>
      <c r="G5" s="31">
        <v>162.85</v>
      </c>
      <c r="H5" s="32">
        <v>0.91020000000000001</v>
      </c>
      <c r="I5" s="31">
        <v>132.16999999999999</v>
      </c>
      <c r="J5" s="32">
        <v>0.86</v>
      </c>
      <c r="K5" s="31">
        <v>111.9</v>
      </c>
      <c r="L5" s="32">
        <v>0.93</v>
      </c>
      <c r="M5" s="31">
        <v>105.2</v>
      </c>
      <c r="N5" s="32">
        <v>0.84</v>
      </c>
    </row>
    <row r="6" spans="2:14" x14ac:dyDescent="0.25">
      <c r="B6" s="33" t="s">
        <v>17</v>
      </c>
      <c r="C6" s="34">
        <v>24.699345574093169</v>
      </c>
      <c r="D6" s="35">
        <v>9.4846872281022718E-2</v>
      </c>
      <c r="E6" s="36">
        <v>14.9</v>
      </c>
      <c r="F6" s="37">
        <v>6.8400000000000002E-2</v>
      </c>
      <c r="G6" s="38">
        <v>16.07</v>
      </c>
      <c r="H6" s="39">
        <v>8.9800000000000005E-2</v>
      </c>
      <c r="I6" s="38">
        <v>22.58</v>
      </c>
      <c r="J6" s="39">
        <v>0.14000000000000001</v>
      </c>
      <c r="K6" s="38">
        <v>8.4</v>
      </c>
      <c r="L6" s="39">
        <v>7.0000000000000007E-2</v>
      </c>
      <c r="M6" s="38">
        <v>19.3</v>
      </c>
      <c r="N6" s="39">
        <v>0.16</v>
      </c>
    </row>
    <row r="7" spans="2:14" x14ac:dyDescent="0.25">
      <c r="B7" s="40" t="s">
        <v>18</v>
      </c>
      <c r="C7" s="41">
        <v>260.41286317709285</v>
      </c>
      <c r="D7" s="42">
        <v>1</v>
      </c>
      <c r="E7" s="43">
        <v>217.91</v>
      </c>
      <c r="F7" s="44">
        <v>1</v>
      </c>
      <c r="G7" s="45">
        <v>178.92</v>
      </c>
      <c r="H7" s="46">
        <v>1</v>
      </c>
      <c r="I7" s="45">
        <v>154.75</v>
      </c>
      <c r="J7" s="46">
        <v>1</v>
      </c>
      <c r="K7" s="45">
        <v>120.30000000000001</v>
      </c>
      <c r="L7" s="46">
        <v>1</v>
      </c>
      <c r="M7" s="45">
        <v>124.5</v>
      </c>
      <c r="N7" s="46">
        <v>1</v>
      </c>
    </row>
    <row r="8" spans="2:14" ht="15.75" thickBot="1" x14ac:dyDescent="0.3">
      <c r="B8" s="47" t="s">
        <v>19</v>
      </c>
      <c r="C8" s="48">
        <v>42.502863177092848</v>
      </c>
      <c r="D8" s="49">
        <v>0.19504778659580951</v>
      </c>
      <c r="E8" s="50">
        <v>38.99</v>
      </c>
      <c r="F8" s="51">
        <v>0.218</v>
      </c>
      <c r="G8" s="52">
        <v>24.16</v>
      </c>
      <c r="H8" s="53">
        <v>0.156</v>
      </c>
      <c r="I8" s="52">
        <v>34.450000000000003</v>
      </c>
      <c r="J8" s="53">
        <v>0.28999999999999998</v>
      </c>
      <c r="K8" s="54">
        <v>-4.2</v>
      </c>
      <c r="L8" s="53">
        <v>-0.03</v>
      </c>
      <c r="M8" s="54">
        <v>9.4</v>
      </c>
      <c r="N8" s="53">
        <v>0.08</v>
      </c>
    </row>
  </sheetData>
  <mergeCells count="1">
    <mergeCell ref="B2:N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2C035-5343-410B-AA68-40635EDCEA36}">
  <dimension ref="B2:F13"/>
  <sheetViews>
    <sheetView workbookViewId="0">
      <selection activeCell="B28" sqref="B28"/>
    </sheetView>
  </sheetViews>
  <sheetFormatPr baseColWidth="10" defaultColWidth="11.5703125" defaultRowHeight="15" x14ac:dyDescent="0.25"/>
  <cols>
    <col min="1" max="1" width="11.5703125" style="18"/>
    <col min="2" max="2" width="53.42578125" style="18" bestFit="1" customWidth="1"/>
    <col min="3" max="3" width="14.5703125" style="18" bestFit="1" customWidth="1"/>
    <col min="4" max="4" width="6.28515625" style="18" bestFit="1" customWidth="1"/>
    <col min="5" max="5" width="14.5703125" style="18" bestFit="1" customWidth="1"/>
    <col min="6" max="6" width="6.28515625" style="18" bestFit="1" customWidth="1"/>
    <col min="7" max="16384" width="11.5703125" style="18"/>
  </cols>
  <sheetData>
    <row r="2" spans="2:6" x14ac:dyDescent="0.25">
      <c r="B2" s="584" t="s">
        <v>33</v>
      </c>
      <c r="C2" s="584"/>
      <c r="D2" s="584"/>
      <c r="E2" s="584"/>
      <c r="F2" s="584"/>
    </row>
    <row r="4" spans="2:6" ht="45.75" thickBot="1" x14ac:dyDescent="0.3">
      <c r="B4" s="55" t="s">
        <v>21</v>
      </c>
      <c r="C4" s="24" t="s">
        <v>22</v>
      </c>
      <c r="D4" s="56" t="s">
        <v>23</v>
      </c>
      <c r="E4" s="24" t="s">
        <v>24</v>
      </c>
      <c r="F4" s="56" t="s">
        <v>23</v>
      </c>
    </row>
    <row r="5" spans="2:6" x14ac:dyDescent="0.25">
      <c r="B5" s="57" t="s">
        <v>25</v>
      </c>
      <c r="C5" s="31">
        <v>242.30074493700022</v>
      </c>
      <c r="D5" s="58">
        <v>0.88004315058375171</v>
      </c>
      <c r="E5" s="31">
        <v>206.04</v>
      </c>
      <c r="F5" s="58">
        <v>0.92332511763387848</v>
      </c>
    </row>
    <row r="6" spans="2:6" x14ac:dyDescent="0.25">
      <c r="B6" s="59" t="s">
        <v>26</v>
      </c>
      <c r="C6" s="38">
        <v>9.2229440569999994</v>
      </c>
      <c r="D6" s="60">
        <v>3.3497993362299958E-2</v>
      </c>
      <c r="E6" s="38">
        <v>4.09</v>
      </c>
      <c r="F6" s="60">
        <v>1.8328478601837329E-2</v>
      </c>
    </row>
    <row r="7" spans="2:6" x14ac:dyDescent="0.25">
      <c r="B7" s="57" t="s">
        <v>27</v>
      </c>
      <c r="C7" s="31">
        <v>1.3162118850931677</v>
      </c>
      <c r="D7" s="58">
        <v>4.780518749516606E-3</v>
      </c>
      <c r="E7" s="31">
        <v>1.58</v>
      </c>
      <c r="F7" s="58">
        <v>7.0804391664799462E-3</v>
      </c>
    </row>
    <row r="8" spans="2:6" x14ac:dyDescent="0.25">
      <c r="B8" s="59" t="s">
        <v>28</v>
      </c>
      <c r="C8" s="38">
        <v>7.1586502630000091</v>
      </c>
      <c r="D8" s="60">
        <v>2.6000419986392333E-2</v>
      </c>
      <c r="E8" s="38">
        <v>5.86</v>
      </c>
      <c r="F8" s="60">
        <v>2.6260362984539549E-2</v>
      </c>
    </row>
    <row r="9" spans="2:6" x14ac:dyDescent="0.25">
      <c r="B9" s="57" t="s">
        <v>29</v>
      </c>
      <c r="C9" s="31">
        <v>13.800716721810526</v>
      </c>
      <c r="D9" s="58">
        <v>5.0124593002526009E-2</v>
      </c>
      <c r="E9" s="31">
        <v>4.5199999999999996</v>
      </c>
      <c r="F9" s="58">
        <v>2.0255433564866678E-2</v>
      </c>
    </row>
    <row r="10" spans="2:6" x14ac:dyDescent="0.25">
      <c r="B10" s="59" t="s">
        <v>30</v>
      </c>
      <c r="C10" s="38">
        <v>0.41431203499999991</v>
      </c>
      <c r="D10" s="60">
        <v>1.504793015394844E-3</v>
      </c>
      <c r="E10" s="38">
        <v>0.33</v>
      </c>
      <c r="F10" s="60">
        <v>1.4788259018597356E-3</v>
      </c>
    </row>
    <row r="11" spans="2:6" x14ac:dyDescent="0.25">
      <c r="B11" s="57" t="s">
        <v>31</v>
      </c>
      <c r="C11" s="31">
        <v>1.114675058</v>
      </c>
      <c r="D11" s="58">
        <v>4.0485313001183834E-3</v>
      </c>
      <c r="E11" s="31">
        <v>0.74</v>
      </c>
      <c r="F11" s="58">
        <v>3.3161550526551644E-3</v>
      </c>
    </row>
    <row r="12" spans="2:6" ht="15.75" thickBot="1" x14ac:dyDescent="0.3">
      <c r="B12" s="61" t="s">
        <v>32</v>
      </c>
      <c r="C12" s="62">
        <v>275.32825495690395</v>
      </c>
      <c r="D12" s="63">
        <v>0.99999999999999989</v>
      </c>
      <c r="E12" s="62">
        <v>223.15</v>
      </c>
      <c r="F12" s="63">
        <v>1.000044812906117</v>
      </c>
    </row>
    <row r="13" spans="2:6" x14ac:dyDescent="0.25">
      <c r="B13" s="64" t="s">
        <v>13</v>
      </c>
      <c r="C13" s="45">
        <v>443.2784993461853</v>
      </c>
      <c r="D13" s="65"/>
      <c r="E13" s="45">
        <v>385.31</v>
      </c>
      <c r="F13" s="65"/>
    </row>
  </sheetData>
  <mergeCells count="1">
    <mergeCell ref="B2:F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3FC06-229C-4E48-AB24-ECE08D9F9A37}">
  <dimension ref="B2:L9"/>
  <sheetViews>
    <sheetView workbookViewId="0"/>
  </sheetViews>
  <sheetFormatPr baseColWidth="10" defaultColWidth="11.5703125" defaultRowHeight="15" x14ac:dyDescent="0.25"/>
  <cols>
    <col min="1" max="1" width="11.5703125" style="18"/>
    <col min="2" max="2" width="26.140625" style="18" bestFit="1" customWidth="1"/>
    <col min="3" max="3" width="13" style="18" bestFit="1" customWidth="1"/>
    <col min="4" max="4" width="12.85546875" style="18" bestFit="1" customWidth="1"/>
    <col min="5" max="5" width="7.85546875" style="18" bestFit="1" customWidth="1"/>
    <col min="6" max="7" width="12.28515625" style="18" bestFit="1" customWidth="1"/>
    <col min="8" max="8" width="13.7109375" style="18" bestFit="1" customWidth="1"/>
    <col min="9" max="11" width="5" style="18" bestFit="1" customWidth="1"/>
    <col min="12" max="12" width="6.7109375" style="18" bestFit="1" customWidth="1"/>
    <col min="13" max="16384" width="11.5703125" style="18"/>
  </cols>
  <sheetData>
    <row r="2" spans="2:12" x14ac:dyDescent="0.25">
      <c r="B2" s="584" t="s">
        <v>49</v>
      </c>
      <c r="C2" s="584"/>
      <c r="D2" s="584"/>
      <c r="E2" s="584"/>
      <c r="F2" s="584"/>
      <c r="G2" s="584"/>
      <c r="H2" s="584"/>
      <c r="I2" s="584"/>
      <c r="J2" s="584"/>
      <c r="K2" s="584"/>
      <c r="L2" s="584"/>
    </row>
    <row r="4" spans="2:12" ht="75.75" thickBot="1" x14ac:dyDescent="0.3">
      <c r="B4" s="25" t="s">
        <v>34</v>
      </c>
      <c r="C4" s="24" t="s">
        <v>46</v>
      </c>
      <c r="D4" s="24" t="s">
        <v>47</v>
      </c>
      <c r="E4" s="24" t="s">
        <v>35</v>
      </c>
      <c r="F4" s="24" t="s">
        <v>48</v>
      </c>
      <c r="G4" s="24" t="s">
        <v>36</v>
      </c>
      <c r="H4" s="70" t="s">
        <v>37</v>
      </c>
      <c r="I4" s="24" t="s">
        <v>38</v>
      </c>
      <c r="J4" s="24" t="s">
        <v>39</v>
      </c>
      <c r="K4" s="24" t="s">
        <v>40</v>
      </c>
      <c r="L4" s="24" t="s">
        <v>41</v>
      </c>
    </row>
    <row r="5" spans="2:12" ht="30" x14ac:dyDescent="0.25">
      <c r="B5" s="71" t="s">
        <v>42</v>
      </c>
      <c r="C5" s="72">
        <v>17.14</v>
      </c>
      <c r="D5" s="72">
        <v>5.12</v>
      </c>
      <c r="E5" s="73">
        <v>0</v>
      </c>
      <c r="F5" s="73" t="s">
        <v>43</v>
      </c>
      <c r="G5" s="72">
        <v>1.32</v>
      </c>
      <c r="H5" s="72">
        <v>1.79</v>
      </c>
      <c r="I5" s="72">
        <v>0.01</v>
      </c>
      <c r="J5" s="72">
        <v>0.27</v>
      </c>
      <c r="K5" s="72" t="s">
        <v>43</v>
      </c>
      <c r="L5" s="72">
        <v>25.65</v>
      </c>
    </row>
    <row r="6" spans="2:12" ht="30" x14ac:dyDescent="0.25">
      <c r="B6" s="74" t="s">
        <v>44</v>
      </c>
      <c r="C6" s="75">
        <v>224.32</v>
      </c>
      <c r="D6" s="75">
        <v>4.1100000000000003</v>
      </c>
      <c r="E6" s="76">
        <v>0.41</v>
      </c>
      <c r="F6" s="75">
        <v>1.41</v>
      </c>
      <c r="G6" s="77"/>
      <c r="H6" s="75">
        <v>12.01</v>
      </c>
      <c r="I6" s="75">
        <v>0.86</v>
      </c>
      <c r="J6" s="75">
        <v>4.5999999999999996</v>
      </c>
      <c r="K6" s="75">
        <v>1.1200000000000001</v>
      </c>
      <c r="L6" s="75">
        <v>248.84</v>
      </c>
    </row>
    <row r="7" spans="2:12" x14ac:dyDescent="0.25">
      <c r="B7" s="78" t="s">
        <v>45</v>
      </c>
      <c r="C7" s="79">
        <v>0.84</v>
      </c>
      <c r="D7" s="80"/>
      <c r="E7" s="81"/>
      <c r="F7" s="81"/>
      <c r="G7" s="80"/>
      <c r="H7" s="80"/>
      <c r="I7" s="80"/>
      <c r="J7" s="80"/>
      <c r="K7" s="80"/>
      <c r="L7" s="79">
        <v>0.84</v>
      </c>
    </row>
    <row r="8" spans="2:12" ht="15.75" thickBot="1" x14ac:dyDescent="0.3">
      <c r="B8" s="61" t="s">
        <v>32</v>
      </c>
      <c r="C8" s="62">
        <v>242.3</v>
      </c>
      <c r="D8" s="62">
        <v>9.23</v>
      </c>
      <c r="E8" s="62">
        <v>0.41</v>
      </c>
      <c r="F8" s="62">
        <v>1.41</v>
      </c>
      <c r="G8" s="62">
        <v>1.32</v>
      </c>
      <c r="H8" s="62">
        <v>13.8</v>
      </c>
      <c r="I8" s="62">
        <v>0.87</v>
      </c>
      <c r="J8" s="62">
        <v>4.87</v>
      </c>
      <c r="K8" s="62">
        <v>1.1200000000000001</v>
      </c>
      <c r="L8" s="62">
        <v>275.33</v>
      </c>
    </row>
    <row r="9" spans="2:12" ht="15.75" thickBot="1" x14ac:dyDescent="0.3">
      <c r="B9" s="61" t="s">
        <v>13</v>
      </c>
      <c r="C9" s="62">
        <v>390.1</v>
      </c>
      <c r="D9" s="62">
        <v>14.85</v>
      </c>
      <c r="E9" s="62">
        <v>0.67</v>
      </c>
      <c r="F9" s="62">
        <v>2.2799999999999998</v>
      </c>
      <c r="G9" s="62">
        <v>2.12</v>
      </c>
      <c r="H9" s="62">
        <v>22.22</v>
      </c>
      <c r="I9" s="62">
        <v>1.41</v>
      </c>
      <c r="J9" s="62">
        <v>7.85</v>
      </c>
      <c r="K9" s="62">
        <v>1.8</v>
      </c>
      <c r="L9" s="62">
        <v>443.28</v>
      </c>
    </row>
  </sheetData>
  <mergeCells count="1">
    <mergeCell ref="B2:L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1F8AD-CE95-4277-A054-516F59AD1C3C}">
  <dimension ref="B2:C10"/>
  <sheetViews>
    <sheetView workbookViewId="0">
      <selection activeCell="B34" sqref="B34"/>
    </sheetView>
  </sheetViews>
  <sheetFormatPr baseColWidth="10" defaultColWidth="11.5703125" defaultRowHeight="15" x14ac:dyDescent="0.25"/>
  <cols>
    <col min="1" max="1" width="11.5703125" style="18"/>
    <col min="2" max="2" width="57.42578125" style="18" bestFit="1" customWidth="1"/>
    <col min="3" max="3" width="19.28515625" style="18" bestFit="1" customWidth="1"/>
    <col min="4" max="16384" width="11.5703125" style="18"/>
  </cols>
  <sheetData>
    <row r="2" spans="2:3" x14ac:dyDescent="0.25">
      <c r="B2" s="584" t="s">
        <v>56</v>
      </c>
      <c r="C2" s="584"/>
    </row>
    <row r="3" spans="2:3" ht="15.75" thickBot="1" x14ac:dyDescent="0.3"/>
    <row r="4" spans="2:3" ht="30.75" thickBot="1" x14ac:dyDescent="0.3">
      <c r="B4" s="83" t="s">
        <v>50</v>
      </c>
      <c r="C4" s="83" t="s">
        <v>51</v>
      </c>
    </row>
    <row r="5" spans="2:3" x14ac:dyDescent="0.25">
      <c r="B5" s="78" t="s">
        <v>52</v>
      </c>
      <c r="C5" s="31">
        <v>0.84118322981366467</v>
      </c>
    </row>
    <row r="6" spans="2:3" x14ac:dyDescent="0.25">
      <c r="B6" s="74" t="s">
        <v>53</v>
      </c>
      <c r="C6" s="38">
        <v>0.47502865527950311</v>
      </c>
    </row>
    <row r="7" spans="2:3" ht="30" x14ac:dyDescent="0.25">
      <c r="B7" s="78" t="s">
        <v>54</v>
      </c>
      <c r="C7" s="31">
        <v>0.14980650400000001</v>
      </c>
    </row>
    <row r="8" spans="2:3" x14ac:dyDescent="0.25">
      <c r="B8" s="74" t="s">
        <v>55</v>
      </c>
      <c r="C8" s="38">
        <v>0</v>
      </c>
    </row>
    <row r="9" spans="2:3" x14ac:dyDescent="0.25">
      <c r="B9" s="84" t="s">
        <v>41</v>
      </c>
      <c r="C9" s="85">
        <v>1.4660183890931677</v>
      </c>
    </row>
    <row r="10" spans="2:3" x14ac:dyDescent="0.25">
      <c r="B10" s="86" t="s">
        <v>13</v>
      </c>
      <c r="C10" s="87">
        <v>2.3602896536457929</v>
      </c>
    </row>
  </sheetData>
  <mergeCells count="1">
    <mergeCell ref="B2:C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A3B8D-A1D4-4774-8F94-26B689C841B1}">
  <dimension ref="B2:E8"/>
  <sheetViews>
    <sheetView workbookViewId="0">
      <selection activeCell="D27" sqref="D27"/>
    </sheetView>
  </sheetViews>
  <sheetFormatPr baseColWidth="10" defaultColWidth="11.5703125" defaultRowHeight="15" x14ac:dyDescent="0.25"/>
  <cols>
    <col min="1" max="1" width="11.5703125" style="18"/>
    <col min="2" max="2" width="30.5703125" style="18" customWidth="1"/>
    <col min="3" max="3" width="14.42578125" style="18" bestFit="1" customWidth="1"/>
    <col min="4" max="16384" width="11.5703125" style="18"/>
  </cols>
  <sheetData>
    <row r="2" spans="2:5" x14ac:dyDescent="0.25">
      <c r="B2" s="584" t="s">
        <v>59</v>
      </c>
      <c r="C2" s="584"/>
      <c r="D2" s="584"/>
      <c r="E2" s="584"/>
    </row>
    <row r="3" spans="2:5" ht="15.75" thickBot="1" x14ac:dyDescent="0.3"/>
    <row r="4" spans="2:5" ht="45.75" thickBot="1" x14ac:dyDescent="0.3">
      <c r="B4" s="83" t="s">
        <v>50</v>
      </c>
      <c r="C4" s="83" t="s">
        <v>58</v>
      </c>
    </row>
    <row r="5" spans="2:5" x14ac:dyDescent="0.25">
      <c r="B5" s="78" t="s">
        <v>57</v>
      </c>
      <c r="C5" s="31">
        <v>17.983984207999999</v>
      </c>
    </row>
    <row r="6" spans="2:5" x14ac:dyDescent="0.25">
      <c r="B6" s="74" t="s">
        <v>3</v>
      </c>
      <c r="C6" s="38">
        <v>224.31676072899972</v>
      </c>
    </row>
    <row r="7" spans="2:5" x14ac:dyDescent="0.25">
      <c r="B7" s="84" t="s">
        <v>41</v>
      </c>
      <c r="C7" s="85">
        <v>242.30074493699973</v>
      </c>
    </row>
    <row r="8" spans="2:5" x14ac:dyDescent="0.25">
      <c r="B8" s="86" t="s">
        <v>13</v>
      </c>
      <c r="C8" s="87">
        <v>390.10420715065368</v>
      </c>
    </row>
  </sheetData>
  <mergeCells count="1">
    <mergeCell ref="B2:E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ABBCF-0A7E-48D6-B202-5556D571B067}">
  <dimension ref="B2:I6"/>
  <sheetViews>
    <sheetView workbookViewId="0">
      <selection activeCell="I23" sqref="I23"/>
    </sheetView>
  </sheetViews>
  <sheetFormatPr baseColWidth="10" defaultColWidth="11.5703125" defaultRowHeight="15" x14ac:dyDescent="0.25"/>
  <cols>
    <col min="1" max="2" width="11.5703125" style="18"/>
    <col min="3" max="3" width="7.85546875" style="18" bestFit="1" customWidth="1"/>
    <col min="4" max="4" width="5.7109375" style="18" bestFit="1" customWidth="1"/>
    <col min="5" max="5" width="8.28515625" style="18" bestFit="1" customWidth="1"/>
    <col min="6" max="6" width="6.42578125" style="18" bestFit="1" customWidth="1"/>
    <col min="7" max="7" width="7.140625" style="18" bestFit="1" customWidth="1"/>
    <col min="8" max="8" width="17" style="18" bestFit="1" customWidth="1"/>
    <col min="9" max="16384" width="11.5703125" style="18"/>
  </cols>
  <sheetData>
    <row r="2" spans="2:9" x14ac:dyDescent="0.25">
      <c r="B2" s="94" t="s">
        <v>60</v>
      </c>
      <c r="C2" s="94"/>
      <c r="D2" s="94"/>
      <c r="E2" s="94"/>
      <c r="F2" s="94"/>
      <c r="G2" s="94"/>
      <c r="H2" s="94"/>
      <c r="I2" s="94"/>
    </row>
    <row r="5" spans="2:9" ht="57.75" thickBot="1" x14ac:dyDescent="0.3">
      <c r="C5" s="88" t="s">
        <v>61</v>
      </c>
      <c r="D5" s="88" t="s">
        <v>62</v>
      </c>
      <c r="E5" s="88" t="s">
        <v>63</v>
      </c>
      <c r="F5" s="88" t="s">
        <v>64</v>
      </c>
      <c r="G5" s="88" t="s">
        <v>65</v>
      </c>
      <c r="H5" s="88" t="s">
        <v>66</v>
      </c>
    </row>
    <row r="6" spans="2:9" ht="29.25" thickTop="1" x14ac:dyDescent="0.25">
      <c r="C6" s="89" t="s">
        <v>67</v>
      </c>
      <c r="D6" s="90" t="s">
        <v>68</v>
      </c>
      <c r="E6" s="90" t="s">
        <v>69</v>
      </c>
      <c r="F6" s="91" t="s">
        <v>70</v>
      </c>
      <c r="G6" s="92">
        <v>4446906</v>
      </c>
      <c r="H6" s="93">
        <v>876.97500000000002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77675-CBFE-415B-9463-06B35D58685E}">
  <dimension ref="B2:E27"/>
  <sheetViews>
    <sheetView workbookViewId="0">
      <selection activeCell="F23" sqref="F23"/>
    </sheetView>
  </sheetViews>
  <sheetFormatPr baseColWidth="10" defaultColWidth="11.5703125" defaultRowHeight="15" x14ac:dyDescent="0.25"/>
  <cols>
    <col min="1" max="1" width="11.5703125" style="18"/>
    <col min="2" max="2" width="25.28515625" style="18" bestFit="1" customWidth="1"/>
    <col min="3" max="3" width="11.42578125" style="18" bestFit="1" customWidth="1"/>
    <col min="4" max="4" width="9" style="18" bestFit="1" customWidth="1"/>
    <col min="5" max="5" width="18.140625" style="18" bestFit="1" customWidth="1"/>
    <col min="6" max="16384" width="11.5703125" style="18"/>
  </cols>
  <sheetData>
    <row r="2" spans="2:5" x14ac:dyDescent="0.25">
      <c r="B2" s="94" t="s">
        <v>99</v>
      </c>
    </row>
    <row r="4" spans="2:5" ht="45.75" thickBot="1" x14ac:dyDescent="0.3">
      <c r="B4" s="95" t="s">
        <v>71</v>
      </c>
      <c r="C4" s="95" t="s">
        <v>62</v>
      </c>
      <c r="D4" s="95" t="s">
        <v>72</v>
      </c>
      <c r="E4" s="95" t="s">
        <v>73</v>
      </c>
    </row>
    <row r="5" spans="2:5" ht="15.75" thickTop="1" x14ac:dyDescent="0.25">
      <c r="B5" s="96" t="s">
        <v>74</v>
      </c>
      <c r="C5" s="96" t="s">
        <v>75</v>
      </c>
      <c r="D5" s="97">
        <v>15.074027009600837</v>
      </c>
      <c r="E5" s="97">
        <v>539698675869</v>
      </c>
    </row>
    <row r="6" spans="2:5" x14ac:dyDescent="0.25">
      <c r="B6" s="98" t="s">
        <v>76</v>
      </c>
      <c r="C6" s="98" t="s">
        <v>75</v>
      </c>
      <c r="D6" s="99">
        <v>4019398</v>
      </c>
      <c r="E6" s="99">
        <v>179409239495</v>
      </c>
    </row>
    <row r="7" spans="2:5" x14ac:dyDescent="0.25">
      <c r="B7" s="100" t="s">
        <v>77</v>
      </c>
      <c r="C7" s="100" t="s">
        <v>75</v>
      </c>
      <c r="D7" s="101">
        <v>2348892</v>
      </c>
      <c r="E7" s="101">
        <v>83039776543</v>
      </c>
    </row>
    <row r="8" spans="2:5" x14ac:dyDescent="0.25">
      <c r="B8" s="98" t="s">
        <v>78</v>
      </c>
      <c r="C8" s="98" t="s">
        <v>75</v>
      </c>
      <c r="D8" s="99">
        <v>328742</v>
      </c>
      <c r="E8" s="99">
        <v>66987102119</v>
      </c>
    </row>
    <row r="9" spans="2:5" x14ac:dyDescent="0.25">
      <c r="B9" s="100" t="s">
        <v>79</v>
      </c>
      <c r="C9" s="100" t="s">
        <v>75</v>
      </c>
      <c r="D9" s="101">
        <v>1987398</v>
      </c>
      <c r="E9" s="101">
        <v>59957389947</v>
      </c>
    </row>
    <row r="10" spans="2:5" x14ac:dyDescent="0.25">
      <c r="B10" s="98" t="s">
        <v>80</v>
      </c>
      <c r="C10" s="98" t="s">
        <v>75</v>
      </c>
      <c r="D10" s="99">
        <v>549556</v>
      </c>
      <c r="E10" s="99">
        <v>56442979011</v>
      </c>
    </row>
    <row r="11" spans="2:5" x14ac:dyDescent="0.25">
      <c r="B11" s="100" t="s">
        <v>81</v>
      </c>
      <c r="C11" s="100" t="s">
        <v>75</v>
      </c>
      <c r="D11" s="101">
        <v>34583</v>
      </c>
      <c r="E11" s="101">
        <v>46680083232</v>
      </c>
    </row>
    <row r="12" spans="2:5" x14ac:dyDescent="0.25">
      <c r="B12" s="98" t="s">
        <v>82</v>
      </c>
      <c r="C12" s="98" t="s">
        <v>75</v>
      </c>
      <c r="D12" s="99">
        <v>4053382</v>
      </c>
      <c r="E12" s="99">
        <v>32711986033</v>
      </c>
    </row>
    <row r="13" spans="2:5" x14ac:dyDescent="0.25">
      <c r="B13" s="100" t="s">
        <v>83</v>
      </c>
      <c r="C13" s="100" t="s">
        <v>75</v>
      </c>
      <c r="D13" s="101">
        <v>22498</v>
      </c>
      <c r="E13" s="101">
        <v>29136495247</v>
      </c>
    </row>
    <row r="14" spans="2:5" x14ac:dyDescent="0.25">
      <c r="B14" s="98" t="s">
        <v>84</v>
      </c>
      <c r="C14" s="98" t="s">
        <v>75</v>
      </c>
      <c r="D14" s="99">
        <v>133804</v>
      </c>
      <c r="E14" s="99">
        <v>28951526564</v>
      </c>
    </row>
    <row r="15" spans="2:5" x14ac:dyDescent="0.25">
      <c r="B15" s="100" t="s">
        <v>85</v>
      </c>
      <c r="C15" s="100" t="s">
        <v>86</v>
      </c>
      <c r="D15" s="101">
        <v>1599934</v>
      </c>
      <c r="E15" s="101">
        <v>7999670000</v>
      </c>
    </row>
    <row r="16" spans="2:5" x14ac:dyDescent="0.25">
      <c r="B16" s="98" t="s">
        <v>87</v>
      </c>
      <c r="C16" s="98" t="s">
        <v>75</v>
      </c>
      <c r="D16" s="99">
        <v>35551</v>
      </c>
      <c r="E16" s="99">
        <v>7543497575</v>
      </c>
    </row>
    <row r="17" spans="2:5" x14ac:dyDescent="0.25">
      <c r="B17" s="100" t="s">
        <v>88</v>
      </c>
      <c r="C17" s="100" t="s">
        <v>75</v>
      </c>
      <c r="D17" s="101">
        <v>26981</v>
      </c>
      <c r="E17" s="101">
        <v>7039966533</v>
      </c>
    </row>
    <row r="18" spans="2:5" x14ac:dyDescent="0.25">
      <c r="B18" s="98" t="s">
        <v>89</v>
      </c>
      <c r="C18" s="98" t="s">
        <v>75</v>
      </c>
      <c r="D18" s="99">
        <v>69006</v>
      </c>
      <c r="E18" s="99">
        <v>6091675324</v>
      </c>
    </row>
    <row r="19" spans="2:5" x14ac:dyDescent="0.25">
      <c r="B19" s="100" t="s">
        <v>90</v>
      </c>
      <c r="C19" s="100" t="s">
        <v>75</v>
      </c>
      <c r="D19" s="101">
        <v>6284</v>
      </c>
      <c r="E19" s="101">
        <v>5343597553</v>
      </c>
    </row>
    <row r="20" spans="2:5" x14ac:dyDescent="0.25">
      <c r="B20" s="98" t="s">
        <v>91</v>
      </c>
      <c r="C20" s="98" t="s">
        <v>75</v>
      </c>
      <c r="D20" s="99">
        <v>4203</v>
      </c>
      <c r="E20" s="99">
        <v>5251482196</v>
      </c>
    </row>
    <row r="21" spans="2:5" x14ac:dyDescent="0.25">
      <c r="B21" s="100" t="s">
        <v>92</v>
      </c>
      <c r="C21" s="100" t="s">
        <v>75</v>
      </c>
      <c r="D21" s="101">
        <v>1990935</v>
      </c>
      <c r="E21" s="101">
        <v>4370102325</v>
      </c>
    </row>
    <row r="22" spans="2:5" x14ac:dyDescent="0.25">
      <c r="B22" s="98" t="s">
        <v>85</v>
      </c>
      <c r="C22" s="98" t="s">
        <v>75</v>
      </c>
      <c r="D22" s="99">
        <v>4242228</v>
      </c>
      <c r="E22" s="99">
        <v>3557171168</v>
      </c>
    </row>
    <row r="23" spans="2:5" x14ac:dyDescent="0.25">
      <c r="B23" s="100" t="s">
        <v>93</v>
      </c>
      <c r="C23" s="100" t="s">
        <v>75</v>
      </c>
      <c r="D23" s="101">
        <v>1.3254080961780155</v>
      </c>
      <c r="E23" s="101">
        <v>524686399</v>
      </c>
    </row>
    <row r="24" spans="2:5" x14ac:dyDescent="0.25">
      <c r="B24" s="98" t="s">
        <v>94</v>
      </c>
      <c r="C24" s="98" t="s">
        <v>75</v>
      </c>
      <c r="D24" s="99">
        <v>183914</v>
      </c>
      <c r="E24" s="99">
        <v>395011254</v>
      </c>
    </row>
    <row r="25" spans="2:5" x14ac:dyDescent="0.25">
      <c r="B25" s="100" t="s">
        <v>95</v>
      </c>
      <c r="C25" s="100" t="s">
        <v>75</v>
      </c>
      <c r="D25" s="101">
        <v>400578</v>
      </c>
      <c r="E25" s="102" t="s">
        <v>96</v>
      </c>
    </row>
    <row r="26" spans="2:5" x14ac:dyDescent="0.25">
      <c r="B26" s="103" t="s">
        <v>97</v>
      </c>
      <c r="C26" s="103" t="s">
        <v>75</v>
      </c>
      <c r="D26" s="104">
        <v>31092</v>
      </c>
      <c r="E26" s="105" t="s">
        <v>96</v>
      </c>
    </row>
    <row r="27" spans="2:5" x14ac:dyDescent="0.25">
      <c r="B27" s="585" t="s">
        <v>98</v>
      </c>
      <c r="C27" s="585"/>
      <c r="D27" s="585"/>
      <c r="E27" s="106">
        <f>SUM(E5:E26)</f>
        <v>1171132114387</v>
      </c>
    </row>
  </sheetData>
  <mergeCells count="1">
    <mergeCell ref="B27:D2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780E1-340A-4C0B-9868-DCD8D5B777DE}">
  <dimension ref="B2:G54"/>
  <sheetViews>
    <sheetView workbookViewId="0">
      <selection activeCell="E35" sqref="E35"/>
    </sheetView>
  </sheetViews>
  <sheetFormatPr baseColWidth="10" defaultColWidth="11.5703125" defaultRowHeight="15" x14ac:dyDescent="0.25"/>
  <cols>
    <col min="1" max="1" width="11.5703125" style="18"/>
    <col min="2" max="2" width="23.7109375" style="18" customWidth="1"/>
    <col min="3" max="3" width="10.140625" style="18" bestFit="1" customWidth="1"/>
    <col min="4" max="4" width="25.28515625" style="18" bestFit="1" customWidth="1"/>
    <col min="5" max="5" width="11.42578125" style="18" bestFit="1" customWidth="1"/>
    <col min="6" max="6" width="9" style="18" bestFit="1" customWidth="1"/>
    <col min="7" max="7" width="15" style="18" bestFit="1" customWidth="1"/>
    <col min="8" max="16384" width="11.5703125" style="18"/>
  </cols>
  <sheetData>
    <row r="2" spans="2:7" x14ac:dyDescent="0.25">
      <c r="B2" s="94" t="s">
        <v>100</v>
      </c>
    </row>
    <row r="4" spans="2:7" ht="30.75" thickBot="1" x14ac:dyDescent="0.3">
      <c r="B4" s="95" t="s">
        <v>61</v>
      </c>
      <c r="C4" s="95" t="s">
        <v>62</v>
      </c>
      <c r="D4" s="95" t="s">
        <v>71</v>
      </c>
      <c r="E4" s="95" t="s">
        <v>101</v>
      </c>
      <c r="F4" s="95" t="s">
        <v>72</v>
      </c>
      <c r="G4" s="95" t="s">
        <v>102</v>
      </c>
    </row>
    <row r="5" spans="2:7" ht="15.75" thickTop="1" x14ac:dyDescent="0.25">
      <c r="B5" s="592" t="s">
        <v>103</v>
      </c>
      <c r="C5" s="592" t="s">
        <v>104</v>
      </c>
      <c r="D5" s="121" t="s">
        <v>74</v>
      </c>
      <c r="E5" s="121" t="s">
        <v>75</v>
      </c>
      <c r="F5" s="122">
        <v>11</v>
      </c>
      <c r="G5" s="123">
        <v>393709507828</v>
      </c>
    </row>
    <row r="6" spans="2:7" x14ac:dyDescent="0.25">
      <c r="B6" s="590"/>
      <c r="C6" s="590"/>
      <c r="D6" s="98" t="s">
        <v>93</v>
      </c>
      <c r="E6" s="98" t="s">
        <v>75</v>
      </c>
      <c r="F6" s="124">
        <v>1</v>
      </c>
      <c r="G6" s="99">
        <v>382666065</v>
      </c>
    </row>
    <row r="7" spans="2:7" x14ac:dyDescent="0.25">
      <c r="B7" s="586" t="s">
        <v>105</v>
      </c>
      <c r="C7" s="587"/>
      <c r="D7" s="587"/>
      <c r="E7" s="588"/>
      <c r="F7" s="125">
        <f>SUM(F5:F6)</f>
        <v>12</v>
      </c>
      <c r="G7" s="126">
        <f>SUM(G5:G6)</f>
        <v>394092173893</v>
      </c>
    </row>
    <row r="8" spans="2:7" x14ac:dyDescent="0.25">
      <c r="B8" s="591" t="s">
        <v>106</v>
      </c>
      <c r="C8" s="591" t="s">
        <v>107</v>
      </c>
      <c r="D8" s="127" t="s">
        <v>76</v>
      </c>
      <c r="E8" s="100" t="s">
        <v>75</v>
      </c>
      <c r="F8" s="102">
        <v>3373277</v>
      </c>
      <c r="G8" s="102">
        <v>160037236423</v>
      </c>
    </row>
    <row r="9" spans="2:7" x14ac:dyDescent="0.25">
      <c r="B9" s="591"/>
      <c r="C9" s="591"/>
      <c r="D9" s="100" t="s">
        <v>77</v>
      </c>
      <c r="E9" s="100" t="s">
        <v>75</v>
      </c>
      <c r="F9" s="102">
        <v>1881642</v>
      </c>
      <c r="G9" s="102">
        <v>69606686944</v>
      </c>
    </row>
    <row r="10" spans="2:7" x14ac:dyDescent="0.25">
      <c r="B10" s="591"/>
      <c r="C10" s="591"/>
      <c r="D10" s="100" t="s">
        <v>92</v>
      </c>
      <c r="E10" s="100" t="s">
        <v>75</v>
      </c>
      <c r="F10" s="102">
        <v>1990935</v>
      </c>
      <c r="G10" s="102">
        <v>4370102325</v>
      </c>
    </row>
    <row r="11" spans="2:7" x14ac:dyDescent="0.25">
      <c r="B11" s="591"/>
      <c r="C11" s="100" t="s">
        <v>108</v>
      </c>
      <c r="D11" s="100" t="s">
        <v>85</v>
      </c>
      <c r="E11" s="100" t="s">
        <v>75</v>
      </c>
      <c r="F11" s="102">
        <v>762283</v>
      </c>
      <c r="G11" s="102">
        <v>1673211185</v>
      </c>
    </row>
    <row r="12" spans="2:7" x14ac:dyDescent="0.25">
      <c r="B12" s="591"/>
      <c r="C12" s="100" t="s">
        <v>109</v>
      </c>
      <c r="D12" s="100" t="s">
        <v>94</v>
      </c>
      <c r="E12" s="100" t="s">
        <v>75</v>
      </c>
      <c r="F12" s="102">
        <v>101441</v>
      </c>
      <c r="G12" s="102">
        <v>395011254</v>
      </c>
    </row>
    <row r="13" spans="2:7" x14ac:dyDescent="0.25">
      <c r="B13" s="591"/>
      <c r="C13" s="100" t="s">
        <v>110</v>
      </c>
      <c r="D13" s="100" t="s">
        <v>85</v>
      </c>
      <c r="E13" s="100" t="s">
        <v>75</v>
      </c>
      <c r="F13" s="102">
        <v>140987</v>
      </c>
      <c r="G13" s="102">
        <v>309466465</v>
      </c>
    </row>
    <row r="14" spans="2:7" x14ac:dyDescent="0.25">
      <c r="B14" s="586" t="s">
        <v>111</v>
      </c>
      <c r="C14" s="587"/>
      <c r="D14" s="587"/>
      <c r="E14" s="588"/>
      <c r="F14" s="126">
        <f>SUM(F8:F13)</f>
        <v>8250565</v>
      </c>
      <c r="G14" s="126">
        <f>SUM(G8:G13)</f>
        <v>236391714596</v>
      </c>
    </row>
    <row r="15" spans="2:7" x14ac:dyDescent="0.25">
      <c r="B15" s="590" t="s">
        <v>112</v>
      </c>
      <c r="C15" s="590" t="s">
        <v>113</v>
      </c>
      <c r="D15" s="98" t="s">
        <v>78</v>
      </c>
      <c r="E15" s="98" t="s">
        <v>75</v>
      </c>
      <c r="F15" s="128">
        <v>328742</v>
      </c>
      <c r="G15" s="128">
        <v>66987102119</v>
      </c>
    </row>
    <row r="16" spans="2:7" x14ac:dyDescent="0.25">
      <c r="B16" s="590"/>
      <c r="C16" s="590"/>
      <c r="D16" s="98" t="s">
        <v>81</v>
      </c>
      <c r="E16" s="98" t="s">
        <v>75</v>
      </c>
      <c r="F16" s="128">
        <v>34583</v>
      </c>
      <c r="G16" s="128">
        <v>46680083232</v>
      </c>
    </row>
    <row r="17" spans="2:7" x14ac:dyDescent="0.25">
      <c r="B17" s="590"/>
      <c r="C17" s="590"/>
      <c r="D17" s="98" t="s">
        <v>83</v>
      </c>
      <c r="E17" s="98" t="s">
        <v>75</v>
      </c>
      <c r="F17" s="128">
        <v>22498</v>
      </c>
      <c r="G17" s="128">
        <v>29136495247</v>
      </c>
    </row>
    <row r="18" spans="2:7" x14ac:dyDescent="0.25">
      <c r="B18" s="590"/>
      <c r="C18" s="590"/>
      <c r="D18" s="129" t="s">
        <v>84</v>
      </c>
      <c r="E18" s="98" t="s">
        <v>75</v>
      </c>
      <c r="F18" s="128">
        <v>133804</v>
      </c>
      <c r="G18" s="128">
        <v>28951526564</v>
      </c>
    </row>
    <row r="19" spans="2:7" x14ac:dyDescent="0.25">
      <c r="B19" s="590"/>
      <c r="C19" s="590"/>
      <c r="D19" s="129" t="s">
        <v>87</v>
      </c>
      <c r="E19" s="98" t="s">
        <v>75</v>
      </c>
      <c r="F19" s="128">
        <v>35551</v>
      </c>
      <c r="G19" s="128">
        <v>7543497575</v>
      </c>
    </row>
    <row r="20" spans="2:7" x14ac:dyDescent="0.25">
      <c r="B20" s="590"/>
      <c r="C20" s="590"/>
      <c r="D20" s="98" t="s">
        <v>88</v>
      </c>
      <c r="E20" s="98" t="s">
        <v>75</v>
      </c>
      <c r="F20" s="128">
        <v>26981</v>
      </c>
      <c r="G20" s="128">
        <v>7039966533</v>
      </c>
    </row>
    <row r="21" spans="2:7" x14ac:dyDescent="0.25">
      <c r="B21" s="590"/>
      <c r="C21" s="590"/>
      <c r="D21" s="98" t="s">
        <v>90</v>
      </c>
      <c r="E21" s="98" t="s">
        <v>75</v>
      </c>
      <c r="F21" s="128">
        <v>6284</v>
      </c>
      <c r="G21" s="128">
        <v>5343597553</v>
      </c>
    </row>
    <row r="22" spans="2:7" x14ac:dyDescent="0.25">
      <c r="B22" s="590"/>
      <c r="C22" s="590"/>
      <c r="D22" s="98" t="s">
        <v>91</v>
      </c>
      <c r="E22" s="98" t="s">
        <v>75</v>
      </c>
      <c r="F22" s="128">
        <v>4203</v>
      </c>
      <c r="G22" s="128">
        <v>5251482196</v>
      </c>
    </row>
    <row r="23" spans="2:7" x14ac:dyDescent="0.25">
      <c r="B23" s="586" t="s">
        <v>114</v>
      </c>
      <c r="C23" s="587"/>
      <c r="D23" s="587"/>
      <c r="E23" s="588"/>
      <c r="F23" s="126">
        <f>SUM(F15:F22)</f>
        <v>592646</v>
      </c>
      <c r="G23" s="126">
        <f>SUM(G15:G22)</f>
        <v>196933751019</v>
      </c>
    </row>
    <row r="24" spans="2:7" x14ac:dyDescent="0.25">
      <c r="B24" s="591" t="s">
        <v>115</v>
      </c>
      <c r="C24" s="591" t="s">
        <v>116</v>
      </c>
      <c r="D24" s="100" t="s">
        <v>74</v>
      </c>
      <c r="E24" s="100" t="s">
        <v>75</v>
      </c>
      <c r="F24" s="130">
        <v>4.0255270096008351</v>
      </c>
      <c r="G24" s="102">
        <v>145989168041</v>
      </c>
    </row>
    <row r="25" spans="2:7" x14ac:dyDescent="0.25">
      <c r="B25" s="591"/>
      <c r="C25" s="591"/>
      <c r="D25" s="100" t="s">
        <v>93</v>
      </c>
      <c r="E25" s="100" t="s">
        <v>75</v>
      </c>
      <c r="F25" s="130">
        <v>0.32540809617801553</v>
      </c>
      <c r="G25" s="102">
        <v>142020334</v>
      </c>
    </row>
    <row r="26" spans="2:7" x14ac:dyDescent="0.25">
      <c r="B26" s="586" t="s">
        <v>117</v>
      </c>
      <c r="C26" s="587"/>
      <c r="D26" s="587"/>
      <c r="E26" s="588"/>
      <c r="F26" s="131">
        <f>SUM(F24:F25)</f>
        <v>4.3509351057788503</v>
      </c>
      <c r="G26" s="126">
        <f>SUM(G24:G25)</f>
        <v>146131188375</v>
      </c>
    </row>
    <row r="27" spans="2:7" x14ac:dyDescent="0.25">
      <c r="B27" s="98" t="s">
        <v>118</v>
      </c>
      <c r="C27" s="98" t="s">
        <v>119</v>
      </c>
      <c r="D27" s="98" t="s">
        <v>80</v>
      </c>
      <c r="E27" s="98" t="s">
        <v>75</v>
      </c>
      <c r="F27" s="128">
        <v>549556</v>
      </c>
      <c r="G27" s="128">
        <v>56442979011</v>
      </c>
    </row>
    <row r="28" spans="2:7" x14ac:dyDescent="0.25">
      <c r="B28" s="586" t="s">
        <v>120</v>
      </c>
      <c r="C28" s="587"/>
      <c r="D28" s="587"/>
      <c r="E28" s="588"/>
      <c r="F28" s="126">
        <f>+F27</f>
        <v>549556</v>
      </c>
      <c r="G28" s="126">
        <f>+G27</f>
        <v>56442979011</v>
      </c>
    </row>
    <row r="29" spans="2:7" x14ac:dyDescent="0.25">
      <c r="B29" s="100" t="s">
        <v>121</v>
      </c>
      <c r="C29" s="100" t="s">
        <v>122</v>
      </c>
      <c r="D29" s="127" t="s">
        <v>79</v>
      </c>
      <c r="E29" s="100" t="s">
        <v>75</v>
      </c>
      <c r="F29" s="102">
        <v>1771000</v>
      </c>
      <c r="G29" s="102">
        <v>56392615820.073318</v>
      </c>
    </row>
    <row r="30" spans="2:7" x14ac:dyDescent="0.25">
      <c r="B30" s="586" t="s">
        <v>123</v>
      </c>
      <c r="C30" s="587"/>
      <c r="D30" s="587"/>
      <c r="E30" s="588"/>
      <c r="F30" s="126">
        <f>+F29</f>
        <v>1771000</v>
      </c>
      <c r="G30" s="126">
        <f>+G29</f>
        <v>56392615820.073318</v>
      </c>
    </row>
    <row r="31" spans="2:7" x14ac:dyDescent="0.25">
      <c r="B31" s="590" t="s">
        <v>124</v>
      </c>
      <c r="C31" s="590" t="s">
        <v>108</v>
      </c>
      <c r="D31" s="98" t="s">
        <v>76</v>
      </c>
      <c r="E31" s="98" t="s">
        <v>75</v>
      </c>
      <c r="F31" s="128">
        <v>646121</v>
      </c>
      <c r="G31" s="128">
        <v>19372003072</v>
      </c>
    </row>
    <row r="32" spans="2:7" x14ac:dyDescent="0.25">
      <c r="B32" s="590"/>
      <c r="C32" s="590"/>
      <c r="D32" s="98" t="s">
        <v>77</v>
      </c>
      <c r="E32" s="98" t="s">
        <v>75</v>
      </c>
      <c r="F32" s="128">
        <v>467250</v>
      </c>
      <c r="G32" s="128">
        <v>13433089599</v>
      </c>
    </row>
    <row r="33" spans="2:7" x14ac:dyDescent="0.25">
      <c r="B33" s="586" t="s">
        <v>125</v>
      </c>
      <c r="C33" s="587"/>
      <c r="D33" s="587"/>
      <c r="E33" s="588"/>
      <c r="F33" s="126">
        <f>SUM(F31:F32)</f>
        <v>1113371</v>
      </c>
      <c r="G33" s="126">
        <f>SUM(G31:G32)</f>
        <v>32805092671</v>
      </c>
    </row>
    <row r="34" spans="2:7" x14ac:dyDescent="0.25">
      <c r="B34" s="591" t="s">
        <v>126</v>
      </c>
      <c r="C34" s="591" t="s">
        <v>96</v>
      </c>
      <c r="D34" s="127" t="s">
        <v>82</v>
      </c>
      <c r="E34" s="100" t="s">
        <v>75</v>
      </c>
      <c r="F34" s="102">
        <v>2205996</v>
      </c>
      <c r="G34" s="102">
        <v>18482949000</v>
      </c>
    </row>
    <row r="35" spans="2:7" x14ac:dyDescent="0.25">
      <c r="B35" s="591"/>
      <c r="C35" s="591"/>
      <c r="D35" s="100" t="s">
        <v>85</v>
      </c>
      <c r="E35" s="100" t="s">
        <v>86</v>
      </c>
      <c r="F35" s="102">
        <v>1599934</v>
      </c>
      <c r="G35" s="102">
        <v>7999670000</v>
      </c>
    </row>
    <row r="36" spans="2:7" x14ac:dyDescent="0.25">
      <c r="B36" s="586" t="s">
        <v>127</v>
      </c>
      <c r="C36" s="587"/>
      <c r="D36" s="587"/>
      <c r="E36" s="588"/>
      <c r="F36" s="126">
        <f>SUM(F34:F35)</f>
        <v>3805930</v>
      </c>
      <c r="G36" s="126">
        <f>SUM(G34:G35)</f>
        <v>26482619000</v>
      </c>
    </row>
    <row r="37" spans="2:7" x14ac:dyDescent="0.25">
      <c r="B37" s="590" t="s">
        <v>128</v>
      </c>
      <c r="C37" s="98" t="s">
        <v>109</v>
      </c>
      <c r="D37" s="129" t="s">
        <v>82</v>
      </c>
      <c r="E37" s="98" t="s">
        <v>75</v>
      </c>
      <c r="F37" s="128">
        <v>1847386</v>
      </c>
      <c r="G37" s="128">
        <v>14229037033</v>
      </c>
    </row>
    <row r="38" spans="2:7" x14ac:dyDescent="0.25">
      <c r="B38" s="590"/>
      <c r="C38" s="98" t="s">
        <v>110</v>
      </c>
      <c r="D38" s="98" t="s">
        <v>85</v>
      </c>
      <c r="E38" s="98" t="s">
        <v>75</v>
      </c>
      <c r="F38" s="128">
        <v>436732</v>
      </c>
      <c r="G38" s="128">
        <v>1574493518</v>
      </c>
    </row>
    <row r="39" spans="2:7" x14ac:dyDescent="0.25">
      <c r="B39" s="586" t="s">
        <v>129</v>
      </c>
      <c r="C39" s="587"/>
      <c r="D39" s="587"/>
      <c r="E39" s="588"/>
      <c r="F39" s="126">
        <f>SUM(F37:F38)</f>
        <v>2284118</v>
      </c>
      <c r="G39" s="126">
        <f>SUM(G37:G38)</f>
        <v>15803530551</v>
      </c>
    </row>
    <row r="40" spans="2:7" x14ac:dyDescent="0.25">
      <c r="B40" s="100" t="s">
        <v>130</v>
      </c>
      <c r="C40" s="100" t="s">
        <v>131</v>
      </c>
      <c r="D40" s="100" t="s">
        <v>89</v>
      </c>
      <c r="E40" s="100" t="s">
        <v>75</v>
      </c>
      <c r="F40" s="102">
        <v>69006</v>
      </c>
      <c r="G40" s="102">
        <v>6091675324</v>
      </c>
    </row>
    <row r="41" spans="2:7" x14ac:dyDescent="0.25">
      <c r="B41" s="586" t="s">
        <v>132</v>
      </c>
      <c r="C41" s="587"/>
      <c r="D41" s="587"/>
      <c r="E41" s="588"/>
      <c r="F41" s="126">
        <f>+F40</f>
        <v>69006</v>
      </c>
      <c r="G41" s="126">
        <f>+G40</f>
        <v>6091675324</v>
      </c>
    </row>
    <row r="42" spans="2:7" x14ac:dyDescent="0.25">
      <c r="B42" s="98" t="s">
        <v>133</v>
      </c>
      <c r="C42" s="98" t="s">
        <v>134</v>
      </c>
      <c r="D42" s="98" t="s">
        <v>79</v>
      </c>
      <c r="E42" s="98" t="s">
        <v>75</v>
      </c>
      <c r="F42" s="128">
        <v>144956</v>
      </c>
      <c r="G42" s="128">
        <v>3564774127</v>
      </c>
    </row>
    <row r="43" spans="2:7" x14ac:dyDescent="0.25">
      <c r="B43" s="586" t="s">
        <v>135</v>
      </c>
      <c r="C43" s="587"/>
      <c r="D43" s="587"/>
      <c r="E43" s="588"/>
      <c r="F43" s="126">
        <f>+F42</f>
        <v>144956</v>
      </c>
      <c r="G43" s="126">
        <f>+G42</f>
        <v>3564774127</v>
      </c>
    </row>
    <row r="44" spans="2:7" x14ac:dyDescent="0.25">
      <c r="B44" s="591" t="s">
        <v>136</v>
      </c>
      <c r="C44" s="591" t="s">
        <v>96</v>
      </c>
      <c r="D44" s="127" t="s">
        <v>85</v>
      </c>
      <c r="E44" s="100" t="s">
        <v>75</v>
      </c>
      <c r="F44" s="102">
        <v>2902226</v>
      </c>
      <c r="G44" s="102" t="s">
        <v>96</v>
      </c>
    </row>
    <row r="45" spans="2:7" x14ac:dyDescent="0.25">
      <c r="B45" s="591"/>
      <c r="C45" s="591"/>
      <c r="D45" s="100" t="s">
        <v>95</v>
      </c>
      <c r="E45" s="100" t="s">
        <v>75</v>
      </c>
      <c r="F45" s="102">
        <v>400578</v>
      </c>
      <c r="G45" s="102" t="s">
        <v>96</v>
      </c>
    </row>
    <row r="46" spans="2:7" x14ac:dyDescent="0.25">
      <c r="B46" s="591"/>
      <c r="C46" s="591"/>
      <c r="D46" s="100" t="s">
        <v>94</v>
      </c>
      <c r="E46" s="100" t="s">
        <v>75</v>
      </c>
      <c r="F46" s="102">
        <v>82473</v>
      </c>
      <c r="G46" s="102" t="s">
        <v>96</v>
      </c>
    </row>
    <row r="47" spans="2:7" x14ac:dyDescent="0.25">
      <c r="B47" s="586" t="s">
        <v>137</v>
      </c>
      <c r="C47" s="587"/>
      <c r="D47" s="587"/>
      <c r="E47" s="588"/>
      <c r="F47" s="126">
        <f>SUM(F44:F46)</f>
        <v>3385277</v>
      </c>
      <c r="G47" s="132" t="str">
        <f>+G46</f>
        <v>NC</v>
      </c>
    </row>
    <row r="48" spans="2:7" x14ac:dyDescent="0.25">
      <c r="B48" s="98" t="s">
        <v>138</v>
      </c>
      <c r="C48" s="98" t="s">
        <v>96</v>
      </c>
      <c r="D48" s="98" t="s">
        <v>79</v>
      </c>
      <c r="E48" s="98" t="s">
        <v>75</v>
      </c>
      <c r="F48" s="128">
        <v>71442</v>
      </c>
      <c r="G48" s="128" t="s">
        <v>96</v>
      </c>
    </row>
    <row r="49" spans="2:7" x14ac:dyDescent="0.25">
      <c r="B49" s="586" t="s">
        <v>139</v>
      </c>
      <c r="C49" s="587"/>
      <c r="D49" s="587"/>
      <c r="E49" s="588"/>
      <c r="F49" s="126">
        <f>+F48</f>
        <v>71442</v>
      </c>
      <c r="G49" s="132" t="str">
        <f>+G48</f>
        <v>NC</v>
      </c>
    </row>
    <row r="50" spans="2:7" x14ac:dyDescent="0.25">
      <c r="B50" s="100" t="s">
        <v>140</v>
      </c>
      <c r="C50" s="100" t="s">
        <v>96</v>
      </c>
      <c r="D50" s="100" t="s">
        <v>97</v>
      </c>
      <c r="E50" s="100" t="s">
        <v>75</v>
      </c>
      <c r="F50" s="102">
        <v>31092</v>
      </c>
      <c r="G50" s="102">
        <v>0</v>
      </c>
    </row>
    <row r="51" spans="2:7" x14ac:dyDescent="0.25">
      <c r="B51" s="586" t="s">
        <v>141</v>
      </c>
      <c r="C51" s="587"/>
      <c r="D51" s="587"/>
      <c r="E51" s="588"/>
      <c r="F51" s="126">
        <f>+F50</f>
        <v>31092</v>
      </c>
      <c r="G51" s="132">
        <f>+G50</f>
        <v>0</v>
      </c>
    </row>
    <row r="52" spans="2:7" x14ac:dyDescent="0.25">
      <c r="B52" s="98" t="s">
        <v>142</v>
      </c>
      <c r="C52" s="98" t="s">
        <v>96</v>
      </c>
      <c r="D52" s="98" t="s">
        <v>74</v>
      </c>
      <c r="E52" s="98" t="s">
        <v>75</v>
      </c>
      <c r="F52" s="133">
        <v>4.8500000000000001E-2</v>
      </c>
      <c r="G52" s="128" t="s">
        <v>96</v>
      </c>
    </row>
    <row r="53" spans="2:7" x14ac:dyDescent="0.25">
      <c r="B53" s="586" t="s">
        <v>143</v>
      </c>
      <c r="C53" s="587"/>
      <c r="D53" s="587"/>
      <c r="E53" s="588"/>
      <c r="F53" s="131">
        <f>+F52</f>
        <v>4.8500000000000001E-2</v>
      </c>
      <c r="G53" s="132" t="str">
        <f>+G52</f>
        <v>NC</v>
      </c>
    </row>
    <row r="54" spans="2:7" x14ac:dyDescent="0.25">
      <c r="B54" s="589" t="s">
        <v>144</v>
      </c>
      <c r="C54" s="589"/>
      <c r="D54" s="589"/>
      <c r="E54" s="589"/>
      <c r="F54" s="134"/>
      <c r="G54" s="135">
        <f>+G7+G14+G23+G26+G28+G30+G33+G36+G39+G41+G43</f>
        <v>1171132114387.0732</v>
      </c>
    </row>
  </sheetData>
  <mergeCells count="31">
    <mergeCell ref="B26:E26"/>
    <mergeCell ref="B5:B6"/>
    <mergeCell ref="C5:C6"/>
    <mergeCell ref="B7:E7"/>
    <mergeCell ref="B8:B13"/>
    <mergeCell ref="C8:C10"/>
    <mergeCell ref="B14:E14"/>
    <mergeCell ref="B15:B22"/>
    <mergeCell ref="C15:C22"/>
    <mergeCell ref="B23:E23"/>
    <mergeCell ref="B24:B25"/>
    <mergeCell ref="C24:C25"/>
    <mergeCell ref="B44:B46"/>
    <mergeCell ref="C44:C46"/>
    <mergeCell ref="B28:E28"/>
    <mergeCell ref="B30:E30"/>
    <mergeCell ref="B31:B32"/>
    <mergeCell ref="C31:C32"/>
    <mergeCell ref="B33:E33"/>
    <mergeCell ref="B34:B35"/>
    <mergeCell ref="C34:C35"/>
    <mergeCell ref="B36:E36"/>
    <mergeCell ref="B37:B38"/>
    <mergeCell ref="B39:E39"/>
    <mergeCell ref="B41:E41"/>
    <mergeCell ref="B43:E43"/>
    <mergeCell ref="B47:E47"/>
    <mergeCell ref="B49:E49"/>
    <mergeCell ref="B51:E51"/>
    <mergeCell ref="B53:E53"/>
    <mergeCell ref="B54:E5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73B4D-7F80-48AE-B949-44333FCC5476}">
  <dimension ref="B2:E26"/>
  <sheetViews>
    <sheetView workbookViewId="0">
      <selection activeCell="D14" sqref="D14"/>
    </sheetView>
  </sheetViews>
  <sheetFormatPr baseColWidth="10" defaultColWidth="11.5703125" defaultRowHeight="15" x14ac:dyDescent="0.25"/>
  <cols>
    <col min="1" max="1" width="11.5703125" style="18"/>
    <col min="2" max="2" width="25.28515625" style="18" bestFit="1" customWidth="1"/>
    <col min="3" max="3" width="6.42578125" style="18" bestFit="1" customWidth="1"/>
    <col min="4" max="4" width="9" style="18" bestFit="1" customWidth="1"/>
    <col min="5" max="5" width="15.28515625" style="18" bestFit="1" customWidth="1"/>
    <col min="6" max="16384" width="11.5703125" style="18"/>
  </cols>
  <sheetData>
    <row r="2" spans="2:5" x14ac:dyDescent="0.25">
      <c r="B2" s="94" t="s">
        <v>160</v>
      </c>
    </row>
    <row r="4" spans="2:5" ht="30.75" thickBot="1" x14ac:dyDescent="0.3">
      <c r="B4" s="107" t="s">
        <v>145</v>
      </c>
      <c r="C4" s="107" t="s">
        <v>101</v>
      </c>
      <c r="D4" s="107" t="s">
        <v>146</v>
      </c>
      <c r="E4" s="107" t="s">
        <v>147</v>
      </c>
    </row>
    <row r="5" spans="2:5" ht="15.75" thickTop="1" x14ac:dyDescent="0.25">
      <c r="B5" s="108" t="s">
        <v>74</v>
      </c>
      <c r="C5" s="108" t="s">
        <v>75</v>
      </c>
      <c r="D5" s="109">
        <v>14.922000000000001</v>
      </c>
      <c r="E5" s="110">
        <v>540541389228</v>
      </c>
    </row>
    <row r="6" spans="2:5" x14ac:dyDescent="0.25">
      <c r="B6" s="111" t="s">
        <v>148</v>
      </c>
      <c r="C6" s="111" t="s">
        <v>75</v>
      </c>
      <c r="D6" s="112">
        <v>558409</v>
      </c>
      <c r="E6" s="112">
        <v>533842674117</v>
      </c>
    </row>
    <row r="7" spans="2:5" x14ac:dyDescent="0.25">
      <c r="B7" s="113" t="s">
        <v>78</v>
      </c>
      <c r="C7" s="113" t="s">
        <v>75</v>
      </c>
      <c r="D7" s="114">
        <v>356935</v>
      </c>
      <c r="E7" s="114">
        <v>72776672707</v>
      </c>
    </row>
    <row r="8" spans="2:5" x14ac:dyDescent="0.25">
      <c r="B8" s="111" t="s">
        <v>149</v>
      </c>
      <c r="C8" s="111" t="s">
        <v>75</v>
      </c>
      <c r="D8" s="112">
        <v>1384936</v>
      </c>
      <c r="E8" s="112">
        <v>62940618214</v>
      </c>
    </row>
    <row r="9" spans="2:5" x14ac:dyDescent="0.25">
      <c r="B9" s="113" t="s">
        <v>81</v>
      </c>
      <c r="C9" s="113" t="s">
        <v>75</v>
      </c>
      <c r="D9" s="114">
        <v>35715</v>
      </c>
      <c r="E9" s="114">
        <v>48895978845</v>
      </c>
    </row>
    <row r="10" spans="2:5" x14ac:dyDescent="0.25">
      <c r="B10" s="111" t="s">
        <v>83</v>
      </c>
      <c r="C10" s="111" t="s">
        <v>75</v>
      </c>
      <c r="D10" s="112">
        <v>23581</v>
      </c>
      <c r="E10" s="112">
        <v>30845923467</v>
      </c>
    </row>
    <row r="11" spans="2:5" x14ac:dyDescent="0.25">
      <c r="B11" s="113" t="s">
        <v>84</v>
      </c>
      <c r="C11" s="113" t="s">
        <v>75</v>
      </c>
      <c r="D11" s="114">
        <v>134596</v>
      </c>
      <c r="E11" s="114">
        <v>29181447345</v>
      </c>
    </row>
    <row r="12" spans="2:5" x14ac:dyDescent="0.25">
      <c r="B12" s="111" t="s">
        <v>150</v>
      </c>
      <c r="C12" s="111" t="s">
        <v>75</v>
      </c>
      <c r="D12" s="112">
        <v>308637</v>
      </c>
      <c r="E12" s="112">
        <v>26927258414</v>
      </c>
    </row>
    <row r="13" spans="2:5" x14ac:dyDescent="0.25">
      <c r="B13" s="113" t="s">
        <v>151</v>
      </c>
      <c r="C13" s="113" t="s">
        <v>75</v>
      </c>
      <c r="D13" s="114">
        <v>31449</v>
      </c>
      <c r="E13" s="114">
        <v>8410080484</v>
      </c>
    </row>
    <row r="14" spans="2:5" x14ac:dyDescent="0.25">
      <c r="B14" s="111" t="s">
        <v>87</v>
      </c>
      <c r="C14" s="111" t="s">
        <v>75</v>
      </c>
      <c r="D14" s="112">
        <v>35216</v>
      </c>
      <c r="E14" s="112">
        <v>7578109574</v>
      </c>
    </row>
    <row r="15" spans="2:5" x14ac:dyDescent="0.25">
      <c r="B15" s="113" t="s">
        <v>90</v>
      </c>
      <c r="C15" s="113" t="s">
        <v>75</v>
      </c>
      <c r="D15" s="114">
        <v>6340</v>
      </c>
      <c r="E15" s="114">
        <v>5532814748</v>
      </c>
    </row>
    <row r="16" spans="2:5" x14ac:dyDescent="0.25">
      <c r="B16" s="111" t="s">
        <v>91</v>
      </c>
      <c r="C16" s="111" t="s">
        <v>75</v>
      </c>
      <c r="D16" s="112">
        <v>4160</v>
      </c>
      <c r="E16" s="112">
        <v>5290813193</v>
      </c>
    </row>
    <row r="17" spans="2:5" x14ac:dyDescent="0.25">
      <c r="B17" s="113" t="s">
        <v>152</v>
      </c>
      <c r="C17" s="113" t="s">
        <v>75</v>
      </c>
      <c r="D17" s="114">
        <v>108432</v>
      </c>
      <c r="E17" s="114">
        <v>3062194436</v>
      </c>
    </row>
    <row r="18" spans="2:5" x14ac:dyDescent="0.25">
      <c r="B18" s="111" t="s">
        <v>153</v>
      </c>
      <c r="C18" s="111" t="s">
        <v>75</v>
      </c>
      <c r="D18" s="112">
        <v>8873</v>
      </c>
      <c r="E18" s="112">
        <v>2153939878</v>
      </c>
    </row>
    <row r="19" spans="2:5" x14ac:dyDescent="0.25">
      <c r="B19" s="113" t="s">
        <v>154</v>
      </c>
      <c r="C19" s="113" t="s">
        <v>75</v>
      </c>
      <c r="D19" s="114">
        <v>3445</v>
      </c>
      <c r="E19" s="114">
        <v>1175025002</v>
      </c>
    </row>
    <row r="20" spans="2:5" x14ac:dyDescent="0.25">
      <c r="B20" s="111" t="s">
        <v>155</v>
      </c>
      <c r="C20" s="111" t="s">
        <v>75</v>
      </c>
      <c r="D20" s="112">
        <v>0</v>
      </c>
      <c r="E20" s="112">
        <v>752749640</v>
      </c>
    </row>
    <row r="21" spans="2:5" x14ac:dyDescent="0.25">
      <c r="B21" s="113" t="s">
        <v>93</v>
      </c>
      <c r="C21" s="113" t="s">
        <v>156</v>
      </c>
      <c r="D21" s="114">
        <v>38694</v>
      </c>
      <c r="E21" s="114">
        <v>518532099</v>
      </c>
    </row>
    <row r="22" spans="2:5" x14ac:dyDescent="0.25">
      <c r="B22" s="111" t="s">
        <v>77</v>
      </c>
      <c r="C22" s="111" t="s">
        <v>75</v>
      </c>
      <c r="D22" s="112">
        <v>13646</v>
      </c>
      <c r="E22" s="112">
        <v>504794510</v>
      </c>
    </row>
    <row r="23" spans="2:5" x14ac:dyDescent="0.25">
      <c r="B23" s="113" t="s">
        <v>157</v>
      </c>
      <c r="C23" s="113" t="s">
        <v>96</v>
      </c>
      <c r="D23" s="114">
        <v>0</v>
      </c>
      <c r="E23" s="114">
        <v>20438660</v>
      </c>
    </row>
    <row r="24" spans="2:5" x14ac:dyDescent="0.25">
      <c r="B24" s="111" t="s">
        <v>158</v>
      </c>
      <c r="C24" s="111" t="s">
        <v>75</v>
      </c>
      <c r="D24" s="112">
        <v>779970</v>
      </c>
      <c r="E24" s="112">
        <v>10790700</v>
      </c>
    </row>
    <row r="25" spans="2:5" x14ac:dyDescent="0.25">
      <c r="B25" s="115" t="s">
        <v>159</v>
      </c>
      <c r="C25" s="115" t="s">
        <v>75</v>
      </c>
      <c r="D25" s="116">
        <v>1</v>
      </c>
      <c r="E25" s="116">
        <v>205000</v>
      </c>
    </row>
    <row r="26" spans="2:5" x14ac:dyDescent="0.25">
      <c r="B26" s="117" t="s">
        <v>144</v>
      </c>
      <c r="C26" s="117"/>
      <c r="D26" s="118"/>
      <c r="E26" s="118">
        <v>1380962450261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55AD3-3E25-4176-A2E3-280BF60CEE60}">
  <dimension ref="B2:I118"/>
  <sheetViews>
    <sheetView workbookViewId="0">
      <selection activeCell="L15" sqref="L15"/>
    </sheetView>
  </sheetViews>
  <sheetFormatPr baseColWidth="10" defaultColWidth="11.5703125" defaultRowHeight="15" x14ac:dyDescent="0.25"/>
  <cols>
    <col min="1" max="1" width="11.5703125" style="18"/>
    <col min="2" max="2" width="20.5703125" style="18" customWidth="1"/>
    <col min="3" max="3" width="14.140625" style="18" bestFit="1" customWidth="1"/>
    <col min="4" max="4" width="9.28515625" style="18" bestFit="1" customWidth="1"/>
    <col min="5" max="5" width="12.7109375" style="18" bestFit="1" customWidth="1"/>
    <col min="6" max="6" width="6.42578125" style="18" bestFit="1" customWidth="1"/>
    <col min="7" max="7" width="9" style="18" bestFit="1" customWidth="1"/>
    <col min="8" max="8" width="15.28515625" style="18" bestFit="1" customWidth="1"/>
    <col min="9" max="9" width="12.140625" style="18" bestFit="1" customWidth="1"/>
    <col min="10" max="16384" width="11.5703125" style="18"/>
  </cols>
  <sheetData>
    <row r="2" spans="2:9" x14ac:dyDescent="0.25">
      <c r="B2" s="94" t="s">
        <v>161</v>
      </c>
    </row>
    <row r="4" spans="2:9" ht="30.75" thickBot="1" x14ac:dyDescent="0.3">
      <c r="B4" s="107" t="s">
        <v>145</v>
      </c>
      <c r="C4" s="107" t="s">
        <v>162</v>
      </c>
      <c r="D4" s="107" t="s">
        <v>62</v>
      </c>
      <c r="E4" s="107" t="s">
        <v>163</v>
      </c>
      <c r="F4" s="107" t="s">
        <v>101</v>
      </c>
      <c r="G4" s="107" t="s">
        <v>146</v>
      </c>
      <c r="H4" s="107" t="s">
        <v>147</v>
      </c>
      <c r="I4" s="107" t="s">
        <v>164</v>
      </c>
    </row>
    <row r="5" spans="2:9" ht="15.75" thickTop="1" x14ac:dyDescent="0.25">
      <c r="B5" s="595" t="s">
        <v>74</v>
      </c>
      <c r="C5" s="142" t="s">
        <v>103</v>
      </c>
      <c r="D5" s="142" t="s">
        <v>104</v>
      </c>
      <c r="E5" s="142" t="s">
        <v>165</v>
      </c>
      <c r="F5" s="142" t="s">
        <v>75</v>
      </c>
      <c r="G5" s="143">
        <v>10.541600000000001</v>
      </c>
      <c r="H5" s="144">
        <v>380045730082</v>
      </c>
      <c r="I5" s="144">
        <v>611873638</v>
      </c>
    </row>
    <row r="6" spans="2:9" x14ac:dyDescent="0.25">
      <c r="B6" s="594"/>
      <c r="C6" s="113" t="s">
        <v>115</v>
      </c>
      <c r="D6" s="113" t="s">
        <v>116</v>
      </c>
      <c r="E6" s="113" t="s">
        <v>166</v>
      </c>
      <c r="F6" s="113" t="s">
        <v>75</v>
      </c>
      <c r="G6" s="145">
        <v>4.0319000000000003</v>
      </c>
      <c r="H6" s="114">
        <v>147954684761</v>
      </c>
      <c r="I6" s="114">
        <v>238207047</v>
      </c>
    </row>
    <row r="7" spans="2:9" x14ac:dyDescent="0.25">
      <c r="B7" s="594"/>
      <c r="C7" s="113" t="s">
        <v>103</v>
      </c>
      <c r="D7" s="113" t="s">
        <v>104</v>
      </c>
      <c r="E7" s="113" t="s">
        <v>167</v>
      </c>
      <c r="F7" s="113" t="s">
        <v>75</v>
      </c>
      <c r="G7" s="145">
        <v>0.34849999999999998</v>
      </c>
      <c r="H7" s="114">
        <v>12540974385</v>
      </c>
      <c r="I7" s="114">
        <v>20190969</v>
      </c>
    </row>
    <row r="8" spans="2:9" x14ac:dyDescent="0.25">
      <c r="B8" s="146" t="s">
        <v>168</v>
      </c>
      <c r="C8" s="146"/>
      <c r="D8" s="146"/>
      <c r="E8" s="146"/>
      <c r="F8" s="146"/>
      <c r="G8" s="147">
        <f>SUM(G5:G7)</f>
        <v>14.922000000000001</v>
      </c>
      <c r="H8" s="148">
        <f t="shared" ref="H8:I8" si="0">SUM(H5:H7)</f>
        <v>540541389228</v>
      </c>
      <c r="I8" s="148">
        <f t="shared" si="0"/>
        <v>870271654</v>
      </c>
    </row>
    <row r="9" spans="2:9" x14ac:dyDescent="0.25">
      <c r="B9" s="113" t="s">
        <v>148</v>
      </c>
      <c r="C9" s="113" t="s">
        <v>121</v>
      </c>
      <c r="D9" s="113" t="s">
        <v>122</v>
      </c>
      <c r="E9" s="113" t="s">
        <v>169</v>
      </c>
      <c r="F9" s="113" t="s">
        <v>75</v>
      </c>
      <c r="G9" s="114">
        <v>558409</v>
      </c>
      <c r="H9" s="114">
        <v>533842674117</v>
      </c>
      <c r="I9" s="114">
        <v>859486723</v>
      </c>
    </row>
    <row r="10" spans="2:9" x14ac:dyDescent="0.25">
      <c r="B10" s="146" t="s">
        <v>170</v>
      </c>
      <c r="C10" s="146"/>
      <c r="D10" s="146"/>
      <c r="E10" s="146"/>
      <c r="F10" s="146"/>
      <c r="G10" s="148">
        <f>+G9</f>
        <v>558409</v>
      </c>
      <c r="H10" s="148">
        <f t="shared" ref="H10:I10" si="1">+H9</f>
        <v>533842674117</v>
      </c>
      <c r="I10" s="148">
        <f t="shared" si="1"/>
        <v>859486723</v>
      </c>
    </row>
    <row r="11" spans="2:9" x14ac:dyDescent="0.25">
      <c r="B11" s="594" t="s">
        <v>78</v>
      </c>
      <c r="C11" s="594" t="s">
        <v>112</v>
      </c>
      <c r="D11" s="594" t="s">
        <v>113</v>
      </c>
      <c r="E11" s="113" t="s">
        <v>171</v>
      </c>
      <c r="F11" s="113" t="s">
        <v>75</v>
      </c>
      <c r="G11" s="114">
        <v>255142</v>
      </c>
      <c r="H11" s="114">
        <v>55201748257</v>
      </c>
      <c r="I11" s="114">
        <v>88874816</v>
      </c>
    </row>
    <row r="12" spans="2:9" x14ac:dyDescent="0.25">
      <c r="B12" s="594"/>
      <c r="C12" s="594"/>
      <c r="D12" s="594"/>
      <c r="E12" s="113" t="s">
        <v>172</v>
      </c>
      <c r="F12" s="113" t="s">
        <v>75</v>
      </c>
      <c r="G12" s="114">
        <v>101793</v>
      </c>
      <c r="H12" s="114">
        <v>17574924450</v>
      </c>
      <c r="I12" s="114">
        <v>28295629</v>
      </c>
    </row>
    <row r="13" spans="2:9" x14ac:dyDescent="0.25">
      <c r="B13" s="146" t="s">
        <v>173</v>
      </c>
      <c r="C13" s="146"/>
      <c r="D13" s="146"/>
      <c r="E13" s="146"/>
      <c r="F13" s="146"/>
      <c r="G13" s="148">
        <f>SUM(G11:G12)</f>
        <v>356935</v>
      </c>
      <c r="H13" s="148">
        <f>SUM(H11:H12)</f>
        <v>72776672707</v>
      </c>
      <c r="I13" s="148">
        <f t="shared" ref="I13" si="2">SUM(I11:I12)</f>
        <v>117170445</v>
      </c>
    </row>
    <row r="14" spans="2:9" x14ac:dyDescent="0.25">
      <c r="B14" s="594" t="s">
        <v>149</v>
      </c>
      <c r="C14" s="594" t="s">
        <v>136</v>
      </c>
      <c r="D14" s="113" t="s">
        <v>96</v>
      </c>
      <c r="E14" s="113" t="s">
        <v>174</v>
      </c>
      <c r="F14" s="113" t="s">
        <v>75</v>
      </c>
      <c r="G14" s="114">
        <v>586349</v>
      </c>
      <c r="H14" s="114">
        <v>27805006450</v>
      </c>
      <c r="I14" s="114">
        <v>44766061</v>
      </c>
    </row>
    <row r="15" spans="2:9" x14ac:dyDescent="0.25">
      <c r="B15" s="594"/>
      <c r="C15" s="594"/>
      <c r="D15" s="113" t="s">
        <v>96</v>
      </c>
      <c r="E15" s="113" t="s">
        <v>175</v>
      </c>
      <c r="F15" s="113" t="s">
        <v>75</v>
      </c>
      <c r="G15" s="114">
        <v>487563</v>
      </c>
      <c r="H15" s="114">
        <v>21800118950</v>
      </c>
      <c r="I15" s="114">
        <v>35098192</v>
      </c>
    </row>
    <row r="16" spans="2:9" x14ac:dyDescent="0.25">
      <c r="B16" s="594"/>
      <c r="C16" s="594" t="s">
        <v>106</v>
      </c>
      <c r="D16" s="594" t="s">
        <v>107</v>
      </c>
      <c r="E16" s="113" t="s">
        <v>174</v>
      </c>
      <c r="F16" s="113" t="s">
        <v>75</v>
      </c>
      <c r="G16" s="114">
        <v>132612</v>
      </c>
      <c r="H16" s="114">
        <v>5920144025</v>
      </c>
      <c r="I16" s="114">
        <v>9531432</v>
      </c>
    </row>
    <row r="17" spans="2:9" x14ac:dyDescent="0.25">
      <c r="B17" s="594"/>
      <c r="C17" s="594"/>
      <c r="D17" s="594"/>
      <c r="E17" s="113" t="s">
        <v>175</v>
      </c>
      <c r="F17" s="113" t="s">
        <v>75</v>
      </c>
      <c r="G17" s="114">
        <v>44460</v>
      </c>
      <c r="H17" s="114">
        <v>1994599434</v>
      </c>
      <c r="I17" s="114">
        <v>3211305</v>
      </c>
    </row>
    <row r="18" spans="2:9" x14ac:dyDescent="0.25">
      <c r="B18" s="594"/>
      <c r="C18" s="113" t="s">
        <v>176</v>
      </c>
      <c r="D18" s="113" t="s">
        <v>108</v>
      </c>
      <c r="E18" s="113" t="s">
        <v>175</v>
      </c>
      <c r="F18" s="113" t="s">
        <v>75</v>
      </c>
      <c r="G18" s="114">
        <v>51948</v>
      </c>
      <c r="H18" s="114">
        <v>1949347100</v>
      </c>
      <c r="I18" s="114">
        <v>3138449</v>
      </c>
    </row>
    <row r="19" spans="2:9" x14ac:dyDescent="0.25">
      <c r="B19" s="594"/>
      <c r="C19" s="113" t="s">
        <v>136</v>
      </c>
      <c r="D19" s="113" t="s">
        <v>96</v>
      </c>
      <c r="E19" s="113" t="s">
        <v>177</v>
      </c>
      <c r="F19" s="113" t="s">
        <v>75</v>
      </c>
      <c r="G19" s="114">
        <v>35174</v>
      </c>
      <c r="H19" s="114">
        <v>1572723200</v>
      </c>
      <c r="I19" s="114">
        <v>2532084</v>
      </c>
    </row>
    <row r="20" spans="2:9" x14ac:dyDescent="0.25">
      <c r="B20" s="594"/>
      <c r="C20" s="594" t="s">
        <v>176</v>
      </c>
      <c r="D20" s="594" t="s">
        <v>108</v>
      </c>
      <c r="E20" s="113" t="s">
        <v>174</v>
      </c>
      <c r="F20" s="113" t="s">
        <v>75</v>
      </c>
      <c r="G20" s="114">
        <v>27637</v>
      </c>
      <c r="H20" s="114">
        <v>1094455440</v>
      </c>
      <c r="I20" s="114">
        <v>1762073</v>
      </c>
    </row>
    <row r="21" spans="2:9" x14ac:dyDescent="0.25">
      <c r="B21" s="594"/>
      <c r="C21" s="594"/>
      <c r="D21" s="594"/>
      <c r="E21" s="113" t="s">
        <v>178</v>
      </c>
      <c r="F21" s="113" t="s">
        <v>75</v>
      </c>
      <c r="G21" s="114">
        <v>7991</v>
      </c>
      <c r="H21" s="114">
        <v>300244740</v>
      </c>
      <c r="I21" s="114">
        <v>483394</v>
      </c>
    </row>
    <row r="22" spans="2:9" x14ac:dyDescent="0.25">
      <c r="B22" s="594"/>
      <c r="C22" s="113" t="s">
        <v>136</v>
      </c>
      <c r="D22" s="113" t="s">
        <v>96</v>
      </c>
      <c r="E22" s="113" t="s">
        <v>178</v>
      </c>
      <c r="F22" s="113" t="s">
        <v>75</v>
      </c>
      <c r="G22" s="114">
        <v>2836</v>
      </c>
      <c r="H22" s="114">
        <v>134463000</v>
      </c>
      <c r="I22" s="114">
        <v>216485</v>
      </c>
    </row>
    <row r="23" spans="2:9" x14ac:dyDescent="0.25">
      <c r="B23" s="594"/>
      <c r="C23" s="113" t="s">
        <v>176</v>
      </c>
      <c r="D23" s="113" t="s">
        <v>108</v>
      </c>
      <c r="E23" s="113" t="s">
        <v>179</v>
      </c>
      <c r="F23" s="113" t="s">
        <v>75</v>
      </c>
      <c r="G23" s="114">
        <v>3396</v>
      </c>
      <c r="H23" s="114">
        <v>130813500</v>
      </c>
      <c r="I23" s="114">
        <v>210610</v>
      </c>
    </row>
    <row r="24" spans="2:9" x14ac:dyDescent="0.25">
      <c r="B24" s="594"/>
      <c r="C24" s="594" t="s">
        <v>106</v>
      </c>
      <c r="D24" s="594" t="s">
        <v>107</v>
      </c>
      <c r="E24" s="113" t="s">
        <v>177</v>
      </c>
      <c r="F24" s="113" t="s">
        <v>75</v>
      </c>
      <c r="G24" s="114">
        <v>2484</v>
      </c>
      <c r="H24" s="114">
        <v>111807125</v>
      </c>
      <c r="I24" s="114">
        <v>180009</v>
      </c>
    </row>
    <row r="25" spans="2:9" x14ac:dyDescent="0.25">
      <c r="B25" s="594"/>
      <c r="C25" s="594"/>
      <c r="D25" s="594"/>
      <c r="E25" s="113" t="s">
        <v>180</v>
      </c>
      <c r="F25" s="113" t="s">
        <v>75</v>
      </c>
      <c r="G25" s="114">
        <v>1462</v>
      </c>
      <c r="H25" s="114">
        <v>69090250</v>
      </c>
      <c r="I25" s="114">
        <v>111235</v>
      </c>
    </row>
    <row r="26" spans="2:9" x14ac:dyDescent="0.25">
      <c r="B26" s="594"/>
      <c r="C26" s="594"/>
      <c r="D26" s="594"/>
      <c r="E26" s="113" t="s">
        <v>178</v>
      </c>
      <c r="F26" s="113" t="s">
        <v>75</v>
      </c>
      <c r="G26" s="114">
        <v>533</v>
      </c>
      <c r="H26" s="114">
        <v>34820000</v>
      </c>
      <c r="I26" s="114">
        <v>56060</v>
      </c>
    </row>
    <row r="27" spans="2:9" x14ac:dyDescent="0.25">
      <c r="B27" s="594"/>
      <c r="C27" s="594" t="s">
        <v>136</v>
      </c>
      <c r="D27" s="594" t="s">
        <v>96</v>
      </c>
      <c r="E27" s="113" t="s">
        <v>179</v>
      </c>
      <c r="F27" s="113" t="s">
        <v>75</v>
      </c>
      <c r="G27" s="114">
        <v>384</v>
      </c>
      <c r="H27" s="114">
        <v>18200000</v>
      </c>
      <c r="I27" s="114">
        <v>29302</v>
      </c>
    </row>
    <row r="28" spans="2:9" x14ac:dyDescent="0.25">
      <c r="B28" s="594"/>
      <c r="C28" s="594"/>
      <c r="D28" s="594"/>
      <c r="E28" s="113" t="s">
        <v>180</v>
      </c>
      <c r="F28" s="113" t="s">
        <v>75</v>
      </c>
      <c r="G28" s="114">
        <v>107</v>
      </c>
      <c r="H28" s="114">
        <v>4785000</v>
      </c>
      <c r="I28" s="114">
        <v>7704</v>
      </c>
    </row>
    <row r="29" spans="2:9" x14ac:dyDescent="0.25">
      <c r="B29" s="146" t="s">
        <v>181</v>
      </c>
      <c r="C29" s="146"/>
      <c r="D29" s="146"/>
      <c r="E29" s="146"/>
      <c r="F29" s="146"/>
      <c r="G29" s="148">
        <f>SUM(G14:G28)</f>
        <v>1384936</v>
      </c>
      <c r="H29" s="148">
        <f t="shared" ref="H29:I29" si="3">SUM(H14:H28)</f>
        <v>62940618214</v>
      </c>
      <c r="I29" s="148">
        <f t="shared" si="3"/>
        <v>101334395</v>
      </c>
    </row>
    <row r="30" spans="2:9" x14ac:dyDescent="0.25">
      <c r="B30" s="593" t="s">
        <v>81</v>
      </c>
      <c r="C30" s="593" t="s">
        <v>112</v>
      </c>
      <c r="D30" s="593" t="s">
        <v>113</v>
      </c>
      <c r="E30" s="111" t="s">
        <v>171</v>
      </c>
      <c r="F30" s="111" t="s">
        <v>75</v>
      </c>
      <c r="G30" s="112">
        <v>26783</v>
      </c>
      <c r="H30" s="112">
        <v>37837012342</v>
      </c>
      <c r="I30" s="112">
        <v>60917590</v>
      </c>
    </row>
    <row r="31" spans="2:9" x14ac:dyDescent="0.25">
      <c r="B31" s="593"/>
      <c r="C31" s="593"/>
      <c r="D31" s="593"/>
      <c r="E31" s="111" t="s">
        <v>182</v>
      </c>
      <c r="F31" s="111" t="s">
        <v>75</v>
      </c>
      <c r="G31" s="112">
        <v>2241</v>
      </c>
      <c r="H31" s="112">
        <v>2672529707</v>
      </c>
      <c r="I31" s="112">
        <v>4302773</v>
      </c>
    </row>
    <row r="32" spans="2:9" x14ac:dyDescent="0.25">
      <c r="B32" s="593"/>
      <c r="C32" s="593"/>
      <c r="D32" s="593"/>
      <c r="E32" s="111" t="s">
        <v>183</v>
      </c>
      <c r="F32" s="111" t="s">
        <v>75</v>
      </c>
      <c r="G32" s="112">
        <v>1763</v>
      </c>
      <c r="H32" s="112">
        <v>2159428247</v>
      </c>
      <c r="I32" s="112">
        <v>3476680</v>
      </c>
    </row>
    <row r="33" spans="2:9" x14ac:dyDescent="0.25">
      <c r="B33" s="593"/>
      <c r="C33" s="593"/>
      <c r="D33" s="593"/>
      <c r="E33" s="111" t="s">
        <v>184</v>
      </c>
      <c r="F33" s="111" t="s">
        <v>75</v>
      </c>
      <c r="G33" s="112">
        <v>1553</v>
      </c>
      <c r="H33" s="112">
        <v>1972277908</v>
      </c>
      <c r="I33" s="112">
        <v>3175367</v>
      </c>
    </row>
    <row r="34" spans="2:9" x14ac:dyDescent="0.25">
      <c r="B34" s="593"/>
      <c r="C34" s="593"/>
      <c r="D34" s="593"/>
      <c r="E34" s="111" t="s">
        <v>185</v>
      </c>
      <c r="F34" s="111" t="s">
        <v>75</v>
      </c>
      <c r="G34" s="112">
        <v>899</v>
      </c>
      <c r="H34" s="112">
        <v>1151481123</v>
      </c>
      <c r="I34" s="112">
        <v>1853885</v>
      </c>
    </row>
    <row r="35" spans="2:9" x14ac:dyDescent="0.25">
      <c r="B35" s="593"/>
      <c r="C35" s="593"/>
      <c r="D35" s="593"/>
      <c r="E35" s="111" t="s">
        <v>166</v>
      </c>
      <c r="F35" s="111" t="s">
        <v>75</v>
      </c>
      <c r="G35" s="112">
        <v>680</v>
      </c>
      <c r="H35" s="112">
        <v>879535090</v>
      </c>
      <c r="I35" s="112">
        <v>1416052</v>
      </c>
    </row>
    <row r="36" spans="2:9" x14ac:dyDescent="0.25">
      <c r="B36" s="593"/>
      <c r="C36" s="593"/>
      <c r="D36" s="593"/>
      <c r="E36" s="111" t="s">
        <v>186</v>
      </c>
      <c r="F36" s="111" t="s">
        <v>75</v>
      </c>
      <c r="G36" s="112">
        <v>661</v>
      </c>
      <c r="H36" s="112">
        <v>805310967</v>
      </c>
      <c r="I36" s="112">
        <v>1296551</v>
      </c>
    </row>
    <row r="37" spans="2:9" x14ac:dyDescent="0.25">
      <c r="B37" s="593"/>
      <c r="C37" s="593"/>
      <c r="D37" s="593"/>
      <c r="E37" s="111" t="s">
        <v>187</v>
      </c>
      <c r="F37" s="111" t="s">
        <v>75</v>
      </c>
      <c r="G37" s="112">
        <v>595</v>
      </c>
      <c r="H37" s="112">
        <v>738090401</v>
      </c>
      <c r="I37" s="112">
        <v>1188326</v>
      </c>
    </row>
    <row r="38" spans="2:9" x14ac:dyDescent="0.25">
      <c r="B38" s="593"/>
      <c r="C38" s="593"/>
      <c r="D38" s="593"/>
      <c r="E38" s="111" t="s">
        <v>188</v>
      </c>
      <c r="F38" s="111" t="s">
        <v>75</v>
      </c>
      <c r="G38" s="112">
        <v>160</v>
      </c>
      <c r="H38" s="112">
        <v>205255608</v>
      </c>
      <c r="I38" s="112">
        <v>330462</v>
      </c>
    </row>
    <row r="39" spans="2:9" x14ac:dyDescent="0.25">
      <c r="B39" s="593"/>
      <c r="C39" s="593"/>
      <c r="D39" s="593"/>
      <c r="E39" s="111" t="s">
        <v>189</v>
      </c>
      <c r="F39" s="111" t="s">
        <v>75</v>
      </c>
      <c r="G39" s="112">
        <v>140</v>
      </c>
      <c r="H39" s="112">
        <v>176061353</v>
      </c>
      <c r="I39" s="112">
        <v>283459</v>
      </c>
    </row>
    <row r="40" spans="2:9" x14ac:dyDescent="0.25">
      <c r="B40" s="593"/>
      <c r="C40" s="593"/>
      <c r="D40" s="593"/>
      <c r="E40" s="111" t="s">
        <v>190</v>
      </c>
      <c r="F40" s="111" t="s">
        <v>75</v>
      </c>
      <c r="G40" s="112">
        <v>110</v>
      </c>
      <c r="H40" s="112">
        <v>137806911</v>
      </c>
      <c r="I40" s="112">
        <v>221869</v>
      </c>
    </row>
    <row r="41" spans="2:9" x14ac:dyDescent="0.25">
      <c r="B41" s="593"/>
      <c r="C41" s="593"/>
      <c r="D41" s="593"/>
      <c r="E41" s="111" t="s">
        <v>191</v>
      </c>
      <c r="F41" s="111" t="s">
        <v>75</v>
      </c>
      <c r="G41" s="112">
        <v>66</v>
      </c>
      <c r="H41" s="112">
        <v>82182071</v>
      </c>
      <c r="I41" s="112">
        <v>132313</v>
      </c>
    </row>
    <row r="42" spans="2:9" x14ac:dyDescent="0.25">
      <c r="B42" s="593"/>
      <c r="C42" s="593"/>
      <c r="D42" s="593"/>
      <c r="E42" s="111" t="s">
        <v>169</v>
      </c>
      <c r="F42" s="111" t="s">
        <v>75</v>
      </c>
      <c r="G42" s="112">
        <v>64</v>
      </c>
      <c r="H42" s="112">
        <v>79007117</v>
      </c>
      <c r="I42" s="112">
        <v>127201</v>
      </c>
    </row>
    <row r="43" spans="2:9" x14ac:dyDescent="0.25">
      <c r="B43" s="146" t="s">
        <v>192</v>
      </c>
      <c r="C43" s="146"/>
      <c r="D43" s="146"/>
      <c r="E43" s="146"/>
      <c r="F43" s="146"/>
      <c r="G43" s="148">
        <f>SUM(G30:G42)</f>
        <v>35715</v>
      </c>
      <c r="H43" s="148">
        <f t="shared" ref="H43:I43" si="4">SUM(H30:H42)</f>
        <v>48895978845</v>
      </c>
      <c r="I43" s="148">
        <f t="shared" si="4"/>
        <v>78722528</v>
      </c>
    </row>
    <row r="44" spans="2:9" x14ac:dyDescent="0.25">
      <c r="B44" s="594" t="s">
        <v>83</v>
      </c>
      <c r="C44" s="594" t="s">
        <v>112</v>
      </c>
      <c r="D44" s="594" t="s">
        <v>113</v>
      </c>
      <c r="E44" s="113" t="s">
        <v>171</v>
      </c>
      <c r="F44" s="113" t="s">
        <v>75</v>
      </c>
      <c r="G44" s="114">
        <v>16915</v>
      </c>
      <c r="H44" s="114">
        <v>22797650023</v>
      </c>
      <c r="I44" s="114">
        <v>36704217</v>
      </c>
    </row>
    <row r="45" spans="2:9" x14ac:dyDescent="0.25">
      <c r="B45" s="594"/>
      <c r="C45" s="594"/>
      <c r="D45" s="594"/>
      <c r="E45" s="113" t="s">
        <v>183</v>
      </c>
      <c r="F45" s="113" t="s">
        <v>75</v>
      </c>
      <c r="G45" s="114">
        <v>3591</v>
      </c>
      <c r="H45" s="114">
        <v>4215746222</v>
      </c>
      <c r="I45" s="114">
        <v>6787352</v>
      </c>
    </row>
    <row r="46" spans="2:9" x14ac:dyDescent="0.25">
      <c r="B46" s="594"/>
      <c r="C46" s="594"/>
      <c r="D46" s="594"/>
      <c r="E46" s="113" t="s">
        <v>191</v>
      </c>
      <c r="F46" s="113" t="s">
        <v>75</v>
      </c>
      <c r="G46" s="114">
        <v>1678</v>
      </c>
      <c r="H46" s="114">
        <v>2119199304</v>
      </c>
      <c r="I46" s="114">
        <v>3411911</v>
      </c>
    </row>
    <row r="47" spans="2:9" x14ac:dyDescent="0.25">
      <c r="B47" s="594"/>
      <c r="C47" s="594"/>
      <c r="D47" s="594"/>
      <c r="E47" s="113" t="s">
        <v>190</v>
      </c>
      <c r="F47" s="113" t="s">
        <v>75</v>
      </c>
      <c r="G47" s="114">
        <v>463</v>
      </c>
      <c r="H47" s="114">
        <v>569141409</v>
      </c>
      <c r="I47" s="114">
        <v>916318</v>
      </c>
    </row>
    <row r="48" spans="2:9" x14ac:dyDescent="0.25">
      <c r="B48" s="594"/>
      <c r="C48" s="594"/>
      <c r="D48" s="594"/>
      <c r="E48" s="113" t="s">
        <v>184</v>
      </c>
      <c r="F48" s="113" t="s">
        <v>75</v>
      </c>
      <c r="G48" s="114">
        <v>368</v>
      </c>
      <c r="H48" s="114">
        <v>436920695</v>
      </c>
      <c r="I48" s="114">
        <v>703442</v>
      </c>
    </row>
    <row r="49" spans="2:9" x14ac:dyDescent="0.25">
      <c r="B49" s="594"/>
      <c r="C49" s="594"/>
      <c r="D49" s="594"/>
      <c r="E49" s="113" t="s">
        <v>169</v>
      </c>
      <c r="F49" s="113" t="s">
        <v>75</v>
      </c>
      <c r="G49" s="114">
        <v>234</v>
      </c>
      <c r="H49" s="114">
        <v>298525342</v>
      </c>
      <c r="I49" s="114">
        <v>480626</v>
      </c>
    </row>
    <row r="50" spans="2:9" x14ac:dyDescent="0.25">
      <c r="B50" s="594"/>
      <c r="C50" s="594"/>
      <c r="D50" s="594"/>
      <c r="E50" s="113" t="s">
        <v>182</v>
      </c>
      <c r="F50" s="113" t="s">
        <v>75</v>
      </c>
      <c r="G50" s="114">
        <v>132</v>
      </c>
      <c r="H50" s="114">
        <v>158946658</v>
      </c>
      <c r="I50" s="114">
        <v>255904</v>
      </c>
    </row>
    <row r="51" spans="2:9" x14ac:dyDescent="0.25">
      <c r="B51" s="594"/>
      <c r="C51" s="594"/>
      <c r="D51" s="594"/>
      <c r="E51" s="113" t="s">
        <v>185</v>
      </c>
      <c r="F51" s="113" t="s">
        <v>75</v>
      </c>
      <c r="G51" s="114">
        <v>120</v>
      </c>
      <c r="H51" s="114">
        <v>149568411</v>
      </c>
      <c r="I51" s="114">
        <v>240805</v>
      </c>
    </row>
    <row r="52" spans="2:9" x14ac:dyDescent="0.25">
      <c r="B52" s="594"/>
      <c r="C52" s="594"/>
      <c r="D52" s="594"/>
      <c r="E52" s="113" t="s">
        <v>172</v>
      </c>
      <c r="F52" s="113" t="s">
        <v>75</v>
      </c>
      <c r="G52" s="114">
        <v>80</v>
      </c>
      <c r="H52" s="114">
        <v>100225403</v>
      </c>
      <c r="I52" s="114">
        <v>161363</v>
      </c>
    </row>
    <row r="53" spans="2:9" x14ac:dyDescent="0.25">
      <c r="B53" s="146" t="s">
        <v>193</v>
      </c>
      <c r="C53" s="146"/>
      <c r="D53" s="146"/>
      <c r="E53" s="146"/>
      <c r="F53" s="146"/>
      <c r="G53" s="148">
        <f>SUM(G44:G52)</f>
        <v>23581</v>
      </c>
      <c r="H53" s="148">
        <f t="shared" ref="H53:I53" si="5">SUM(H44:H52)</f>
        <v>30845923467</v>
      </c>
      <c r="I53" s="148">
        <f t="shared" si="5"/>
        <v>49661938</v>
      </c>
    </row>
    <row r="54" spans="2:9" x14ac:dyDescent="0.25">
      <c r="B54" s="594" t="s">
        <v>84</v>
      </c>
      <c r="C54" s="594" t="s">
        <v>112</v>
      </c>
      <c r="D54" s="594" t="s">
        <v>113</v>
      </c>
      <c r="E54" s="113" t="s">
        <v>171</v>
      </c>
      <c r="F54" s="113" t="s">
        <v>75</v>
      </c>
      <c r="G54" s="114">
        <v>105551</v>
      </c>
      <c r="H54" s="114">
        <v>23782278269</v>
      </c>
      <c r="I54" s="114">
        <v>38289469</v>
      </c>
    </row>
    <row r="55" spans="2:9" x14ac:dyDescent="0.25">
      <c r="B55" s="594"/>
      <c r="C55" s="594"/>
      <c r="D55" s="594"/>
      <c r="E55" s="113" t="s">
        <v>182</v>
      </c>
      <c r="F55" s="113" t="s">
        <v>75</v>
      </c>
      <c r="G55" s="114">
        <v>29005</v>
      </c>
      <c r="H55" s="114">
        <v>5376147493</v>
      </c>
      <c r="I55" s="114">
        <v>8655598</v>
      </c>
    </row>
    <row r="56" spans="2:9" x14ac:dyDescent="0.25">
      <c r="B56" s="594"/>
      <c r="C56" s="594"/>
      <c r="D56" s="594"/>
      <c r="E56" s="113" t="s">
        <v>194</v>
      </c>
      <c r="F56" s="113" t="s">
        <v>75</v>
      </c>
      <c r="G56" s="114">
        <v>40</v>
      </c>
      <c r="H56" s="114">
        <v>23021583</v>
      </c>
      <c r="I56" s="114">
        <v>37065</v>
      </c>
    </row>
    <row r="57" spans="2:9" x14ac:dyDescent="0.25">
      <c r="B57" s="146" t="s">
        <v>195</v>
      </c>
      <c r="C57" s="146"/>
      <c r="D57" s="146"/>
      <c r="E57" s="146"/>
      <c r="F57" s="146"/>
      <c r="G57" s="148">
        <f>SUM(G54:G56)</f>
        <v>134596</v>
      </c>
      <c r="H57" s="148">
        <f t="shared" ref="H57:I57" si="6">SUM(H54:H56)</f>
        <v>29181447345</v>
      </c>
      <c r="I57" s="148">
        <f t="shared" si="6"/>
        <v>46982132</v>
      </c>
    </row>
    <row r="58" spans="2:9" x14ac:dyDescent="0.25">
      <c r="B58" s="593" t="s">
        <v>150</v>
      </c>
      <c r="C58" s="111" t="s">
        <v>118</v>
      </c>
      <c r="D58" s="111" t="s">
        <v>96</v>
      </c>
      <c r="E58" s="111" t="s">
        <v>96</v>
      </c>
      <c r="F58" s="111" t="s">
        <v>75</v>
      </c>
      <c r="G58" s="112">
        <v>204722</v>
      </c>
      <c r="H58" s="112">
        <v>19685664021</v>
      </c>
      <c r="I58" s="112">
        <v>31693920</v>
      </c>
    </row>
    <row r="59" spans="2:9" x14ac:dyDescent="0.25">
      <c r="B59" s="593"/>
      <c r="C59" s="111" t="s">
        <v>130</v>
      </c>
      <c r="D59" s="111" t="s">
        <v>131</v>
      </c>
      <c r="E59" s="111" t="s">
        <v>196</v>
      </c>
      <c r="F59" s="111" t="s">
        <v>75</v>
      </c>
      <c r="G59" s="112">
        <v>43408</v>
      </c>
      <c r="H59" s="112">
        <v>3655055730</v>
      </c>
      <c r="I59" s="112">
        <v>5884640</v>
      </c>
    </row>
    <row r="60" spans="2:9" x14ac:dyDescent="0.25">
      <c r="B60" s="593"/>
      <c r="C60" s="111" t="s">
        <v>138</v>
      </c>
      <c r="D60" s="111" t="s">
        <v>138</v>
      </c>
      <c r="E60" s="111" t="s">
        <v>169</v>
      </c>
      <c r="F60" s="111" t="s">
        <v>75</v>
      </c>
      <c r="G60" s="112">
        <v>49106</v>
      </c>
      <c r="H60" s="112">
        <v>2483353653</v>
      </c>
      <c r="I60" s="112">
        <v>3998199</v>
      </c>
    </row>
    <row r="61" spans="2:9" x14ac:dyDescent="0.25">
      <c r="B61" s="593"/>
      <c r="C61" s="593" t="s">
        <v>130</v>
      </c>
      <c r="D61" s="593" t="s">
        <v>131</v>
      </c>
      <c r="E61" s="111" t="s">
        <v>197</v>
      </c>
      <c r="F61" s="111" t="s">
        <v>75</v>
      </c>
      <c r="G61" s="112">
        <v>5500</v>
      </c>
      <c r="H61" s="112">
        <v>785469071</v>
      </c>
      <c r="I61" s="112">
        <v>1264605</v>
      </c>
    </row>
    <row r="62" spans="2:9" x14ac:dyDescent="0.25">
      <c r="B62" s="593"/>
      <c r="C62" s="593"/>
      <c r="D62" s="593"/>
      <c r="E62" s="111" t="s">
        <v>167</v>
      </c>
      <c r="F62" s="111" t="s">
        <v>75</v>
      </c>
      <c r="G62" s="112">
        <v>3336</v>
      </c>
      <c r="H62" s="112">
        <v>171436989</v>
      </c>
      <c r="I62" s="112">
        <v>276014</v>
      </c>
    </row>
    <row r="63" spans="2:9" x14ac:dyDescent="0.25">
      <c r="B63" s="593"/>
      <c r="C63" s="111" t="s">
        <v>138</v>
      </c>
      <c r="D63" s="111" t="s">
        <v>138</v>
      </c>
      <c r="E63" s="111" t="s">
        <v>167</v>
      </c>
      <c r="F63" s="111" t="s">
        <v>75</v>
      </c>
      <c r="G63" s="112">
        <v>2565</v>
      </c>
      <c r="H63" s="112">
        <v>146278950</v>
      </c>
      <c r="I63" s="112">
        <v>235509</v>
      </c>
    </row>
    <row r="64" spans="2:9" x14ac:dyDescent="0.25">
      <c r="B64" s="146" t="s">
        <v>198</v>
      </c>
      <c r="C64" s="146"/>
      <c r="D64" s="146"/>
      <c r="E64" s="146"/>
      <c r="F64" s="146"/>
      <c r="G64" s="148">
        <f>SUM(G58:G63)</f>
        <v>308637</v>
      </c>
      <c r="H64" s="148">
        <f t="shared" ref="H64:I64" si="7">SUM(H58:H63)</f>
        <v>26927258414</v>
      </c>
      <c r="I64" s="148">
        <f t="shared" si="7"/>
        <v>43352887</v>
      </c>
    </row>
    <row r="65" spans="2:9" x14ac:dyDescent="0.25">
      <c r="B65" s="594" t="s">
        <v>151</v>
      </c>
      <c r="C65" s="594" t="s">
        <v>112</v>
      </c>
      <c r="D65" s="594" t="s">
        <v>113</v>
      </c>
      <c r="E65" s="113" t="s">
        <v>171</v>
      </c>
      <c r="F65" s="113" t="s">
        <v>75</v>
      </c>
      <c r="G65" s="114">
        <v>25033</v>
      </c>
      <c r="H65" s="114">
        <v>6221775946</v>
      </c>
      <c r="I65" s="114">
        <v>10017059</v>
      </c>
    </row>
    <row r="66" spans="2:9" x14ac:dyDescent="0.25">
      <c r="B66" s="594"/>
      <c r="C66" s="594"/>
      <c r="D66" s="594"/>
      <c r="E66" s="113" t="s">
        <v>184</v>
      </c>
      <c r="F66" s="113" t="s">
        <v>75</v>
      </c>
      <c r="G66" s="114">
        <v>6416</v>
      </c>
      <c r="H66" s="114">
        <v>2188304538</v>
      </c>
      <c r="I66" s="114">
        <v>3523170</v>
      </c>
    </row>
    <row r="67" spans="2:9" x14ac:dyDescent="0.25">
      <c r="B67" s="146" t="s">
        <v>199</v>
      </c>
      <c r="C67" s="146"/>
      <c r="D67" s="146"/>
      <c r="E67" s="146"/>
      <c r="F67" s="146"/>
      <c r="G67" s="148">
        <f>SUM(G65:G66)</f>
        <v>31449</v>
      </c>
      <c r="H67" s="148">
        <f t="shared" ref="H67:I67" si="8">SUM(H65:H66)</f>
        <v>8410080484</v>
      </c>
      <c r="I67" s="148">
        <f t="shared" si="8"/>
        <v>13540229</v>
      </c>
    </row>
    <row r="68" spans="2:9" x14ac:dyDescent="0.25">
      <c r="B68" s="111" t="s">
        <v>87</v>
      </c>
      <c r="C68" s="111" t="s">
        <v>112</v>
      </c>
      <c r="D68" s="111" t="s">
        <v>113</v>
      </c>
      <c r="E68" s="111" t="s">
        <v>171</v>
      </c>
      <c r="F68" s="111" t="s">
        <v>75</v>
      </c>
      <c r="G68" s="112">
        <v>35216</v>
      </c>
      <c r="H68" s="112">
        <v>7578109574</v>
      </c>
      <c r="I68" s="112">
        <v>12200757</v>
      </c>
    </row>
    <row r="69" spans="2:9" x14ac:dyDescent="0.25">
      <c r="B69" s="146" t="s">
        <v>200</v>
      </c>
      <c r="C69" s="146"/>
      <c r="D69" s="146"/>
      <c r="E69" s="146"/>
      <c r="F69" s="146"/>
      <c r="G69" s="148">
        <f>+G68</f>
        <v>35216</v>
      </c>
      <c r="H69" s="148">
        <f t="shared" ref="H69:I69" si="9">+H68</f>
        <v>7578109574</v>
      </c>
      <c r="I69" s="148">
        <f t="shared" si="9"/>
        <v>12200757</v>
      </c>
    </row>
    <row r="70" spans="2:9" x14ac:dyDescent="0.25">
      <c r="B70" s="593" t="s">
        <v>90</v>
      </c>
      <c r="C70" s="593" t="s">
        <v>112</v>
      </c>
      <c r="D70" s="593" t="s">
        <v>113</v>
      </c>
      <c r="E70" s="111" t="s">
        <v>171</v>
      </c>
      <c r="F70" s="111" t="s">
        <v>75</v>
      </c>
      <c r="G70" s="112">
        <v>4540</v>
      </c>
      <c r="H70" s="112">
        <v>4153250167</v>
      </c>
      <c r="I70" s="112">
        <v>6686733</v>
      </c>
    </row>
    <row r="71" spans="2:9" x14ac:dyDescent="0.25">
      <c r="B71" s="593"/>
      <c r="C71" s="593"/>
      <c r="D71" s="593"/>
      <c r="E71" s="111" t="s">
        <v>201</v>
      </c>
      <c r="F71" s="111" t="s">
        <v>75</v>
      </c>
      <c r="G71" s="112">
        <v>440</v>
      </c>
      <c r="H71" s="112">
        <v>341151279</v>
      </c>
      <c r="I71" s="112">
        <v>549254</v>
      </c>
    </row>
    <row r="72" spans="2:9" x14ac:dyDescent="0.25">
      <c r="B72" s="593"/>
      <c r="C72" s="593"/>
      <c r="D72" s="593"/>
      <c r="E72" s="111" t="s">
        <v>184</v>
      </c>
      <c r="F72" s="111" t="s">
        <v>75</v>
      </c>
      <c r="G72" s="112">
        <v>400</v>
      </c>
      <c r="H72" s="112">
        <v>303853087</v>
      </c>
      <c r="I72" s="112">
        <v>489203</v>
      </c>
    </row>
    <row r="73" spans="2:9" x14ac:dyDescent="0.25">
      <c r="B73" s="593"/>
      <c r="C73" s="593"/>
      <c r="D73" s="593"/>
      <c r="E73" s="111" t="s">
        <v>194</v>
      </c>
      <c r="F73" s="111" t="s">
        <v>75</v>
      </c>
      <c r="G73" s="112">
        <v>400</v>
      </c>
      <c r="H73" s="112">
        <v>298442192</v>
      </c>
      <c r="I73" s="112">
        <v>480492</v>
      </c>
    </row>
    <row r="74" spans="2:9" x14ac:dyDescent="0.25">
      <c r="B74" s="593"/>
      <c r="C74" s="593"/>
      <c r="D74" s="593"/>
      <c r="E74" s="111" t="s">
        <v>190</v>
      </c>
      <c r="F74" s="111" t="s">
        <v>75</v>
      </c>
      <c r="G74" s="112">
        <v>180</v>
      </c>
      <c r="H74" s="112">
        <v>142683113</v>
      </c>
      <c r="I74" s="112">
        <v>229720</v>
      </c>
    </row>
    <row r="75" spans="2:9" x14ac:dyDescent="0.25">
      <c r="B75" s="593"/>
      <c r="C75" s="593"/>
      <c r="D75" s="593"/>
      <c r="E75" s="111" t="s">
        <v>185</v>
      </c>
      <c r="F75" s="111" t="s">
        <v>75</v>
      </c>
      <c r="G75" s="112">
        <v>120</v>
      </c>
      <c r="H75" s="112">
        <v>99738379</v>
      </c>
      <c r="I75" s="112">
        <v>160579</v>
      </c>
    </row>
    <row r="76" spans="2:9" x14ac:dyDescent="0.25">
      <c r="B76" s="593"/>
      <c r="C76" s="593"/>
      <c r="D76" s="593"/>
      <c r="E76" s="111" t="s">
        <v>188</v>
      </c>
      <c r="F76" s="111" t="s">
        <v>75</v>
      </c>
      <c r="G76" s="112">
        <v>120</v>
      </c>
      <c r="H76" s="112">
        <v>87597760</v>
      </c>
      <c r="I76" s="112">
        <v>141032</v>
      </c>
    </row>
    <row r="77" spans="2:9" x14ac:dyDescent="0.25">
      <c r="B77" s="593"/>
      <c r="C77" s="593"/>
      <c r="D77" s="593"/>
      <c r="E77" s="111" t="s">
        <v>202</v>
      </c>
      <c r="F77" s="111" t="s">
        <v>75</v>
      </c>
      <c r="G77" s="112">
        <v>100</v>
      </c>
      <c r="H77" s="112">
        <v>76434262</v>
      </c>
      <c r="I77" s="112">
        <v>123059</v>
      </c>
    </row>
    <row r="78" spans="2:9" x14ac:dyDescent="0.25">
      <c r="B78" s="593"/>
      <c r="C78" s="593"/>
      <c r="D78" s="593"/>
      <c r="E78" s="111" t="s">
        <v>191</v>
      </c>
      <c r="F78" s="111" t="s">
        <v>75</v>
      </c>
      <c r="G78" s="112">
        <v>40</v>
      </c>
      <c r="H78" s="112">
        <v>29664509</v>
      </c>
      <c r="I78" s="112">
        <v>47760</v>
      </c>
    </row>
    <row r="79" spans="2:9" x14ac:dyDescent="0.25">
      <c r="B79" s="146" t="s">
        <v>203</v>
      </c>
      <c r="C79" s="146"/>
      <c r="D79" s="146"/>
      <c r="E79" s="146"/>
      <c r="F79" s="146"/>
      <c r="G79" s="148">
        <f>SUM(G70:G78)</f>
        <v>6340</v>
      </c>
      <c r="H79" s="148">
        <f t="shared" ref="H79:I79" si="10">SUM(H70:H78)</f>
        <v>5532814748</v>
      </c>
      <c r="I79" s="148">
        <f t="shared" si="10"/>
        <v>8907832</v>
      </c>
    </row>
    <row r="80" spans="2:9" x14ac:dyDescent="0.25">
      <c r="B80" s="594" t="s">
        <v>91</v>
      </c>
      <c r="C80" s="594" t="s">
        <v>112</v>
      </c>
      <c r="D80" s="594" t="s">
        <v>113</v>
      </c>
      <c r="E80" s="113" t="s">
        <v>171</v>
      </c>
      <c r="F80" s="113" t="s">
        <v>75</v>
      </c>
      <c r="G80" s="114">
        <v>2840</v>
      </c>
      <c r="H80" s="114">
        <v>3827194780</v>
      </c>
      <c r="I80" s="114">
        <v>6161784</v>
      </c>
    </row>
    <row r="81" spans="2:9" x14ac:dyDescent="0.25">
      <c r="B81" s="594"/>
      <c r="C81" s="594"/>
      <c r="D81" s="594"/>
      <c r="E81" s="113" t="s">
        <v>194</v>
      </c>
      <c r="F81" s="113" t="s">
        <v>75</v>
      </c>
      <c r="G81" s="114">
        <v>580</v>
      </c>
      <c r="H81" s="114">
        <v>634237080</v>
      </c>
      <c r="I81" s="114">
        <v>1021122</v>
      </c>
    </row>
    <row r="82" spans="2:9" x14ac:dyDescent="0.25">
      <c r="B82" s="594"/>
      <c r="C82" s="594"/>
      <c r="D82" s="594"/>
      <c r="E82" s="113" t="s">
        <v>185</v>
      </c>
      <c r="F82" s="113" t="s">
        <v>75</v>
      </c>
      <c r="G82" s="114">
        <v>240</v>
      </c>
      <c r="H82" s="114">
        <v>237528598</v>
      </c>
      <c r="I82" s="114">
        <v>382421</v>
      </c>
    </row>
    <row r="83" spans="2:9" x14ac:dyDescent="0.25">
      <c r="B83" s="594"/>
      <c r="C83" s="594"/>
      <c r="D83" s="594"/>
      <c r="E83" s="113" t="s">
        <v>188</v>
      </c>
      <c r="F83" s="113" t="s">
        <v>75</v>
      </c>
      <c r="G83" s="114">
        <v>100</v>
      </c>
      <c r="H83" s="114">
        <v>131314917</v>
      </c>
      <c r="I83" s="114">
        <v>211417</v>
      </c>
    </row>
    <row r="84" spans="2:9" x14ac:dyDescent="0.25">
      <c r="B84" s="594"/>
      <c r="C84" s="594"/>
      <c r="D84" s="594"/>
      <c r="E84" s="113" t="s">
        <v>190</v>
      </c>
      <c r="F84" s="113" t="s">
        <v>75</v>
      </c>
      <c r="G84" s="114">
        <v>100</v>
      </c>
      <c r="H84" s="114">
        <v>126512108</v>
      </c>
      <c r="I84" s="114">
        <v>203684</v>
      </c>
    </row>
    <row r="85" spans="2:9" x14ac:dyDescent="0.25">
      <c r="B85" s="594"/>
      <c r="C85" s="594"/>
      <c r="D85" s="594"/>
      <c r="E85" s="113" t="s">
        <v>184</v>
      </c>
      <c r="F85" s="113" t="s">
        <v>75</v>
      </c>
      <c r="G85" s="114">
        <v>80</v>
      </c>
      <c r="H85" s="114">
        <v>96661461</v>
      </c>
      <c r="I85" s="114">
        <v>155625</v>
      </c>
    </row>
    <row r="86" spans="2:9" x14ac:dyDescent="0.25">
      <c r="B86" s="594"/>
      <c r="C86" s="594"/>
      <c r="D86" s="594"/>
      <c r="E86" s="113" t="s">
        <v>204</v>
      </c>
      <c r="F86" s="113" t="s">
        <v>75</v>
      </c>
      <c r="G86" s="114">
        <v>60</v>
      </c>
      <c r="H86" s="114">
        <v>66222480</v>
      </c>
      <c r="I86" s="114">
        <v>106618</v>
      </c>
    </row>
    <row r="87" spans="2:9" x14ac:dyDescent="0.25">
      <c r="B87" s="594"/>
      <c r="C87" s="594"/>
      <c r="D87" s="594"/>
      <c r="E87" s="113" t="s">
        <v>183</v>
      </c>
      <c r="F87" s="113" t="s">
        <v>75</v>
      </c>
      <c r="G87" s="114">
        <v>60</v>
      </c>
      <c r="H87" s="114">
        <v>64976444</v>
      </c>
      <c r="I87" s="114">
        <v>104612</v>
      </c>
    </row>
    <row r="88" spans="2:9" x14ac:dyDescent="0.25">
      <c r="B88" s="594"/>
      <c r="C88" s="594"/>
      <c r="D88" s="594"/>
      <c r="E88" s="113" t="s">
        <v>201</v>
      </c>
      <c r="F88" s="113" t="s">
        <v>75</v>
      </c>
      <c r="G88" s="114">
        <v>60</v>
      </c>
      <c r="H88" s="114">
        <v>63697902</v>
      </c>
      <c r="I88" s="114">
        <v>102554</v>
      </c>
    </row>
    <row r="89" spans="2:9" x14ac:dyDescent="0.25">
      <c r="B89" s="594"/>
      <c r="C89" s="594"/>
      <c r="D89" s="594"/>
      <c r="E89" s="113" t="s">
        <v>182</v>
      </c>
      <c r="F89" s="113" t="s">
        <v>75</v>
      </c>
      <c r="G89" s="114">
        <v>20</v>
      </c>
      <c r="H89" s="114">
        <v>26978417</v>
      </c>
      <c r="I89" s="114">
        <v>43435</v>
      </c>
    </row>
    <row r="90" spans="2:9" x14ac:dyDescent="0.25">
      <c r="B90" s="594"/>
      <c r="C90" s="594"/>
      <c r="D90" s="594"/>
      <c r="E90" s="113" t="s">
        <v>169</v>
      </c>
      <c r="F90" s="113" t="s">
        <v>75</v>
      </c>
      <c r="G90" s="114">
        <v>20</v>
      </c>
      <c r="H90" s="114">
        <v>15489006</v>
      </c>
      <c r="I90" s="114">
        <v>24937</v>
      </c>
    </row>
    <row r="91" spans="2:9" x14ac:dyDescent="0.25">
      <c r="B91" s="146" t="s">
        <v>205</v>
      </c>
      <c r="C91" s="146"/>
      <c r="D91" s="146"/>
      <c r="E91" s="146"/>
      <c r="F91" s="146"/>
      <c r="G91" s="148">
        <f>SUM(G80:G90)</f>
        <v>4160</v>
      </c>
      <c r="H91" s="148">
        <f t="shared" ref="H91:I91" si="11">SUM(H80:H90)</f>
        <v>5290813193</v>
      </c>
      <c r="I91" s="148">
        <f t="shared" si="11"/>
        <v>8518209</v>
      </c>
    </row>
    <row r="92" spans="2:9" x14ac:dyDescent="0.25">
      <c r="B92" s="593" t="s">
        <v>152</v>
      </c>
      <c r="C92" s="593" t="s">
        <v>133</v>
      </c>
      <c r="D92" s="593" t="s">
        <v>134</v>
      </c>
      <c r="E92" s="111" t="s">
        <v>171</v>
      </c>
      <c r="F92" s="111" t="s">
        <v>75</v>
      </c>
      <c r="G92" s="112">
        <v>42629</v>
      </c>
      <c r="H92" s="112">
        <v>1283260095</v>
      </c>
      <c r="I92" s="112">
        <v>2066049</v>
      </c>
    </row>
    <row r="93" spans="2:9" x14ac:dyDescent="0.25">
      <c r="B93" s="593"/>
      <c r="C93" s="593"/>
      <c r="D93" s="593"/>
      <c r="E93" s="111" t="s">
        <v>206</v>
      </c>
      <c r="F93" s="111" t="s">
        <v>75</v>
      </c>
      <c r="G93" s="112">
        <v>37352</v>
      </c>
      <c r="H93" s="112">
        <v>1050899906</v>
      </c>
      <c r="I93" s="112">
        <v>1691949</v>
      </c>
    </row>
    <row r="94" spans="2:9" x14ac:dyDescent="0.25">
      <c r="B94" s="593"/>
      <c r="C94" s="593"/>
      <c r="D94" s="593"/>
      <c r="E94" s="111" t="s">
        <v>207</v>
      </c>
      <c r="F94" s="111" t="s">
        <v>75</v>
      </c>
      <c r="G94" s="112">
        <v>25442</v>
      </c>
      <c r="H94" s="112">
        <v>667908065</v>
      </c>
      <c r="I94" s="112">
        <v>1075333</v>
      </c>
    </row>
    <row r="95" spans="2:9" x14ac:dyDescent="0.25">
      <c r="B95" s="593"/>
      <c r="C95" s="593"/>
      <c r="D95" s="111" t="s">
        <v>208</v>
      </c>
      <c r="E95" s="111" t="s">
        <v>206</v>
      </c>
      <c r="F95" s="111" t="s">
        <v>75</v>
      </c>
      <c r="G95" s="112">
        <v>3009</v>
      </c>
      <c r="H95" s="112">
        <v>60126370</v>
      </c>
      <c r="I95" s="112">
        <v>96803</v>
      </c>
    </row>
    <row r="96" spans="2:9" x14ac:dyDescent="0.25">
      <c r="B96" s="146" t="s">
        <v>209</v>
      </c>
      <c r="C96" s="146"/>
      <c r="D96" s="146"/>
      <c r="E96" s="146"/>
      <c r="F96" s="146"/>
      <c r="G96" s="148">
        <f>SUM(G92:G95)</f>
        <v>108432</v>
      </c>
      <c r="H96" s="148">
        <f t="shared" ref="H96:I96" si="12">SUM(H92:H95)</f>
        <v>3062194436</v>
      </c>
      <c r="I96" s="148">
        <f t="shared" si="12"/>
        <v>4930134</v>
      </c>
    </row>
    <row r="97" spans="2:9" x14ac:dyDescent="0.25">
      <c r="B97" s="594" t="s">
        <v>153</v>
      </c>
      <c r="C97" s="594" t="s">
        <v>121</v>
      </c>
      <c r="D97" s="594" t="s">
        <v>122</v>
      </c>
      <c r="E97" s="113" t="s">
        <v>96</v>
      </c>
      <c r="F97" s="113" t="s">
        <v>75</v>
      </c>
      <c r="G97" s="114">
        <v>4477</v>
      </c>
      <c r="H97" s="114">
        <v>1676673578</v>
      </c>
      <c r="I97" s="114">
        <v>2699445</v>
      </c>
    </row>
    <row r="98" spans="2:9" x14ac:dyDescent="0.25">
      <c r="B98" s="594"/>
      <c r="C98" s="594"/>
      <c r="D98" s="594"/>
      <c r="E98" s="113" t="s">
        <v>174</v>
      </c>
      <c r="F98" s="113" t="s">
        <v>75</v>
      </c>
      <c r="G98" s="114">
        <v>4349</v>
      </c>
      <c r="H98" s="114">
        <v>471203100</v>
      </c>
      <c r="I98" s="114">
        <v>758637</v>
      </c>
    </row>
    <row r="99" spans="2:9" x14ac:dyDescent="0.25">
      <c r="B99" s="594"/>
      <c r="C99" s="594"/>
      <c r="D99" s="594"/>
      <c r="E99" s="113" t="s">
        <v>179</v>
      </c>
      <c r="F99" s="113" t="s">
        <v>75</v>
      </c>
      <c r="G99" s="114">
        <v>47</v>
      </c>
      <c r="H99" s="114">
        <v>6063200</v>
      </c>
      <c r="I99" s="114">
        <v>9762</v>
      </c>
    </row>
    <row r="100" spans="2:9" x14ac:dyDescent="0.25">
      <c r="B100" s="146" t="s">
        <v>210</v>
      </c>
      <c r="C100" s="146"/>
      <c r="D100" s="146"/>
      <c r="E100" s="146"/>
      <c r="F100" s="146"/>
      <c r="G100" s="148">
        <f>SUM(G97:G99)</f>
        <v>8873</v>
      </c>
      <c r="H100" s="148">
        <f t="shared" ref="H100:I100" si="13">SUM(H97:H99)</f>
        <v>2153939878</v>
      </c>
      <c r="I100" s="148">
        <f t="shared" si="13"/>
        <v>3467844</v>
      </c>
    </row>
    <row r="101" spans="2:9" x14ac:dyDescent="0.25">
      <c r="B101" s="593" t="s">
        <v>154</v>
      </c>
      <c r="C101" s="593" t="s">
        <v>121</v>
      </c>
      <c r="D101" s="593" t="s">
        <v>122</v>
      </c>
      <c r="E101" s="111" t="s">
        <v>175</v>
      </c>
      <c r="F101" s="111" t="s">
        <v>75</v>
      </c>
      <c r="G101" s="112">
        <v>2455</v>
      </c>
      <c r="H101" s="112">
        <v>795369377</v>
      </c>
      <c r="I101" s="112">
        <v>1280544</v>
      </c>
    </row>
    <row r="102" spans="2:9" x14ac:dyDescent="0.25">
      <c r="B102" s="593"/>
      <c r="C102" s="593"/>
      <c r="D102" s="593"/>
      <c r="E102" s="111" t="s">
        <v>180</v>
      </c>
      <c r="F102" s="111" t="s">
        <v>75</v>
      </c>
      <c r="G102" s="112">
        <v>990</v>
      </c>
      <c r="H102" s="112">
        <v>379655625</v>
      </c>
      <c r="I102" s="112">
        <v>611246</v>
      </c>
    </row>
    <row r="103" spans="2:9" x14ac:dyDescent="0.25">
      <c r="B103" s="146" t="s">
        <v>211</v>
      </c>
      <c r="C103" s="146"/>
      <c r="D103" s="146"/>
      <c r="E103" s="146"/>
      <c r="F103" s="146"/>
      <c r="G103" s="148">
        <f>SUM(G101:G102)</f>
        <v>3445</v>
      </c>
      <c r="H103" s="148">
        <f t="shared" ref="H103:I103" si="14">SUM(H101:H102)</f>
        <v>1175025002</v>
      </c>
      <c r="I103" s="148">
        <f t="shared" si="14"/>
        <v>1891790</v>
      </c>
    </row>
    <row r="104" spans="2:9" x14ac:dyDescent="0.25">
      <c r="B104" s="111" t="s">
        <v>155</v>
      </c>
      <c r="C104" s="111" t="s">
        <v>128</v>
      </c>
      <c r="D104" s="111" t="s">
        <v>109</v>
      </c>
      <c r="E104" s="111" t="s">
        <v>175</v>
      </c>
      <c r="F104" s="111" t="s">
        <v>75</v>
      </c>
      <c r="G104" s="112" t="s">
        <v>96</v>
      </c>
      <c r="H104" s="112">
        <v>752749640</v>
      </c>
      <c r="I104" s="112">
        <v>1211927</v>
      </c>
    </row>
    <row r="105" spans="2:9" x14ac:dyDescent="0.25">
      <c r="B105" s="146" t="s">
        <v>212</v>
      </c>
      <c r="C105" s="146"/>
      <c r="D105" s="146"/>
      <c r="E105" s="146"/>
      <c r="F105" s="146"/>
      <c r="G105" s="148" t="str">
        <f>+G104</f>
        <v>NC</v>
      </c>
      <c r="H105" s="148">
        <f t="shared" ref="H105:I105" si="15">+H104</f>
        <v>752749640</v>
      </c>
      <c r="I105" s="148">
        <f t="shared" si="15"/>
        <v>1211927</v>
      </c>
    </row>
    <row r="106" spans="2:9" x14ac:dyDescent="0.25">
      <c r="B106" s="594" t="s">
        <v>93</v>
      </c>
      <c r="C106" s="113" t="s">
        <v>103</v>
      </c>
      <c r="D106" s="113" t="s">
        <v>104</v>
      </c>
      <c r="E106" s="113" t="s">
        <v>165</v>
      </c>
      <c r="F106" s="113" t="s">
        <v>156</v>
      </c>
      <c r="G106" s="114">
        <v>27299</v>
      </c>
      <c r="H106" s="114">
        <v>374908490</v>
      </c>
      <c r="I106" s="114">
        <v>603603</v>
      </c>
    </row>
    <row r="107" spans="2:9" x14ac:dyDescent="0.25">
      <c r="B107" s="594"/>
      <c r="C107" s="113" t="s">
        <v>115</v>
      </c>
      <c r="D107" s="113" t="s">
        <v>116</v>
      </c>
      <c r="E107" s="113" t="s">
        <v>166</v>
      </c>
      <c r="F107" s="113" t="s">
        <v>156</v>
      </c>
      <c r="G107" s="114">
        <v>11395</v>
      </c>
      <c r="H107" s="114">
        <v>143623609</v>
      </c>
      <c r="I107" s="114">
        <v>231234</v>
      </c>
    </row>
    <row r="108" spans="2:9" x14ac:dyDescent="0.25">
      <c r="B108" s="146" t="s">
        <v>213</v>
      </c>
      <c r="C108" s="146"/>
      <c r="D108" s="146"/>
      <c r="E108" s="146"/>
      <c r="F108" s="146"/>
      <c r="G108" s="148">
        <f>SUM(G106:G107)</f>
        <v>38694</v>
      </c>
      <c r="H108" s="148">
        <f t="shared" ref="H108:I108" si="16">SUM(H106:H107)</f>
        <v>518532099</v>
      </c>
      <c r="I108" s="148">
        <f t="shared" si="16"/>
        <v>834837</v>
      </c>
    </row>
    <row r="109" spans="2:9" x14ac:dyDescent="0.25">
      <c r="B109" s="111" t="s">
        <v>77</v>
      </c>
      <c r="C109" s="111" t="s">
        <v>106</v>
      </c>
      <c r="D109" s="111" t="s">
        <v>107</v>
      </c>
      <c r="E109" s="111" t="s">
        <v>174</v>
      </c>
      <c r="F109" s="111" t="s">
        <v>75</v>
      </c>
      <c r="G109" s="112">
        <v>13646</v>
      </c>
      <c r="H109" s="112">
        <v>504794510</v>
      </c>
      <c r="I109" s="112">
        <v>812719</v>
      </c>
    </row>
    <row r="110" spans="2:9" x14ac:dyDescent="0.25">
      <c r="B110" s="146" t="s">
        <v>214</v>
      </c>
      <c r="C110" s="146"/>
      <c r="D110" s="146"/>
      <c r="E110" s="146"/>
      <c r="F110" s="146"/>
      <c r="G110" s="148">
        <f>+G109</f>
        <v>13646</v>
      </c>
      <c r="H110" s="148">
        <f t="shared" ref="H110:I110" si="17">+H109</f>
        <v>504794510</v>
      </c>
      <c r="I110" s="148">
        <f t="shared" si="17"/>
        <v>812719</v>
      </c>
    </row>
    <row r="111" spans="2:9" x14ac:dyDescent="0.25">
      <c r="B111" s="593" t="s">
        <v>158</v>
      </c>
      <c r="C111" s="593" t="s">
        <v>121</v>
      </c>
      <c r="D111" s="593" t="s">
        <v>122</v>
      </c>
      <c r="E111" s="111" t="s">
        <v>174</v>
      </c>
      <c r="F111" s="111" t="s">
        <v>75</v>
      </c>
      <c r="G111" s="112">
        <v>1020</v>
      </c>
      <c r="H111" s="112">
        <v>6117000</v>
      </c>
      <c r="I111" s="112">
        <v>9848</v>
      </c>
    </row>
    <row r="112" spans="2:9" x14ac:dyDescent="0.25">
      <c r="B112" s="593"/>
      <c r="C112" s="593"/>
      <c r="D112" s="593"/>
      <c r="E112" s="111" t="s">
        <v>178</v>
      </c>
      <c r="F112" s="111" t="s">
        <v>75</v>
      </c>
      <c r="G112" s="112">
        <v>778950</v>
      </c>
      <c r="H112" s="112">
        <v>4673700</v>
      </c>
      <c r="I112" s="112">
        <v>7525</v>
      </c>
    </row>
    <row r="113" spans="2:9" x14ac:dyDescent="0.25">
      <c r="B113" s="146" t="s">
        <v>215</v>
      </c>
      <c r="C113" s="146"/>
      <c r="D113" s="146"/>
      <c r="E113" s="146"/>
      <c r="F113" s="146"/>
      <c r="G113" s="148">
        <f>SUM(G111:G112)</f>
        <v>779970</v>
      </c>
      <c r="H113" s="148">
        <f>SUM(H111:H112)</f>
        <v>10790700</v>
      </c>
      <c r="I113" s="148">
        <f>SUM(I111:I112)</f>
        <v>17373</v>
      </c>
    </row>
    <row r="114" spans="2:9" x14ac:dyDescent="0.25">
      <c r="B114" s="113" t="s">
        <v>157</v>
      </c>
      <c r="C114" s="113" t="s">
        <v>106</v>
      </c>
      <c r="D114" s="113" t="s">
        <v>107</v>
      </c>
      <c r="E114" s="113" t="s">
        <v>175</v>
      </c>
      <c r="F114" s="113" t="s">
        <v>96</v>
      </c>
      <c r="G114" s="114" t="s">
        <v>96</v>
      </c>
      <c r="H114" s="114">
        <v>20438660</v>
      </c>
      <c r="I114" s="114">
        <v>32906</v>
      </c>
    </row>
    <row r="115" spans="2:9" x14ac:dyDescent="0.25">
      <c r="B115" s="146" t="s">
        <v>216</v>
      </c>
      <c r="C115" s="146"/>
      <c r="D115" s="146"/>
      <c r="E115" s="146"/>
      <c r="F115" s="146"/>
      <c r="G115" s="148" t="str">
        <f>+G114</f>
        <v>NC</v>
      </c>
      <c r="H115" s="148">
        <f t="shared" ref="H115:I115" si="18">+H114</f>
        <v>20438660</v>
      </c>
      <c r="I115" s="148">
        <f t="shared" si="18"/>
        <v>32906</v>
      </c>
    </row>
    <row r="116" spans="2:9" x14ac:dyDescent="0.25">
      <c r="B116" s="111" t="s">
        <v>159</v>
      </c>
      <c r="C116" s="111" t="s">
        <v>121</v>
      </c>
      <c r="D116" s="111" t="s">
        <v>122</v>
      </c>
      <c r="E116" s="111" t="s">
        <v>178</v>
      </c>
      <c r="F116" s="111" t="s">
        <v>75</v>
      </c>
      <c r="G116" s="112">
        <v>1</v>
      </c>
      <c r="H116" s="112">
        <v>205000</v>
      </c>
      <c r="I116" s="112">
        <v>330</v>
      </c>
    </row>
    <row r="117" spans="2:9" x14ac:dyDescent="0.25">
      <c r="B117" s="146" t="s">
        <v>217</v>
      </c>
      <c r="C117" s="146"/>
      <c r="D117" s="146"/>
      <c r="E117" s="146"/>
      <c r="F117" s="146"/>
      <c r="G117" s="148">
        <f>+G116</f>
        <v>1</v>
      </c>
      <c r="H117" s="148">
        <f t="shared" ref="H117:I117" si="19">+H116</f>
        <v>205000</v>
      </c>
      <c r="I117" s="148">
        <f t="shared" si="19"/>
        <v>330</v>
      </c>
    </row>
    <row r="118" spans="2:9" x14ac:dyDescent="0.25">
      <c r="B118" s="149"/>
      <c r="C118" s="149"/>
      <c r="D118" s="149"/>
      <c r="E118" s="149"/>
      <c r="F118" s="149"/>
      <c r="G118" s="149"/>
      <c r="H118" s="150">
        <f>+H8+H10+H13+H29+H43+H53+H57+H64+H67+H69+H79+H91+H96+H100+H103+H105+H108+H110+H113+H115+H117</f>
        <v>1380962450261</v>
      </c>
      <c r="I118" s="150">
        <f>+I8+I10+I13+I29+I43+I53+I57+I64+I67+I69+I79+I91+I96+I100+I103+I105+I108+I110+I113+I115+I117</f>
        <v>2223349589</v>
      </c>
    </row>
  </sheetData>
  <mergeCells count="48">
    <mergeCell ref="B5:B7"/>
    <mergeCell ref="B11:B12"/>
    <mergeCell ref="C11:C12"/>
    <mergeCell ref="D11:D12"/>
    <mergeCell ref="B14:B28"/>
    <mergeCell ref="C14:C15"/>
    <mergeCell ref="C16:C17"/>
    <mergeCell ref="D16:D17"/>
    <mergeCell ref="C20:C21"/>
    <mergeCell ref="D20:D21"/>
    <mergeCell ref="C24:C26"/>
    <mergeCell ref="D24:D26"/>
    <mergeCell ref="C27:C28"/>
    <mergeCell ref="D27:D28"/>
    <mergeCell ref="B30:B42"/>
    <mergeCell ref="C30:C42"/>
    <mergeCell ref="D30:D42"/>
    <mergeCell ref="B44:B52"/>
    <mergeCell ref="C44:C52"/>
    <mergeCell ref="D44:D52"/>
    <mergeCell ref="B54:B56"/>
    <mergeCell ref="C54:C56"/>
    <mergeCell ref="D54:D56"/>
    <mergeCell ref="B58:B63"/>
    <mergeCell ref="C61:C62"/>
    <mergeCell ref="D61:D62"/>
    <mergeCell ref="B65:B66"/>
    <mergeCell ref="C65:C66"/>
    <mergeCell ref="D65:D66"/>
    <mergeCell ref="B70:B78"/>
    <mergeCell ref="C70:C78"/>
    <mergeCell ref="D70:D78"/>
    <mergeCell ref="B80:B90"/>
    <mergeCell ref="C80:C90"/>
    <mergeCell ref="D80:D90"/>
    <mergeCell ref="B92:B95"/>
    <mergeCell ref="C92:C95"/>
    <mergeCell ref="D92:D94"/>
    <mergeCell ref="B97:B99"/>
    <mergeCell ref="C97:C99"/>
    <mergeCell ref="D97:D99"/>
    <mergeCell ref="B101:B102"/>
    <mergeCell ref="C101:C102"/>
    <mergeCell ref="D101:D102"/>
    <mergeCell ref="B106:B107"/>
    <mergeCell ref="B111:B112"/>
    <mergeCell ref="C111:C112"/>
    <mergeCell ref="D111:D11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E3FD2-473B-46E5-9352-D5757BE6EF89}">
  <dimension ref="B2:D8"/>
  <sheetViews>
    <sheetView workbookViewId="0"/>
  </sheetViews>
  <sheetFormatPr baseColWidth="10" defaultColWidth="11.5703125" defaultRowHeight="16.5" x14ac:dyDescent="0.25"/>
  <cols>
    <col min="1" max="1" width="11.5703125" style="120"/>
    <col min="2" max="2" width="11.28515625" style="120" bestFit="1" customWidth="1"/>
    <col min="3" max="4" width="7.28515625" style="120" bestFit="1" customWidth="1"/>
    <col min="5" max="16384" width="11.5703125" style="120"/>
  </cols>
  <sheetData>
    <row r="2" spans="2:4" x14ac:dyDescent="0.25">
      <c r="B2" s="119" t="s">
        <v>223</v>
      </c>
    </row>
    <row r="4" spans="2:4" ht="50.25" thickBot="1" x14ac:dyDescent="0.3">
      <c r="B4" s="137" t="s">
        <v>218</v>
      </c>
      <c r="C4" s="137">
        <v>2022</v>
      </c>
      <c r="D4" s="137">
        <v>2021</v>
      </c>
    </row>
    <row r="5" spans="2:4" x14ac:dyDescent="0.25">
      <c r="B5" s="138" t="s">
        <v>219</v>
      </c>
      <c r="C5" s="139">
        <v>0.3216</v>
      </c>
      <c r="D5" s="139">
        <v>0.30630000000000002</v>
      </c>
    </row>
    <row r="6" spans="2:4" x14ac:dyDescent="0.25">
      <c r="B6" s="140" t="s">
        <v>220</v>
      </c>
      <c r="C6" s="141">
        <v>6.8500000000000005E-2</v>
      </c>
      <c r="D6" s="141">
        <v>6.9400000000000003E-2</v>
      </c>
    </row>
    <row r="7" spans="2:4" x14ac:dyDescent="0.25">
      <c r="B7" s="138" t="s">
        <v>221</v>
      </c>
      <c r="C7" s="139">
        <v>4.4999999999999998E-2</v>
      </c>
      <c r="D7" s="139">
        <v>4.9799999999999997E-2</v>
      </c>
    </row>
    <row r="8" spans="2:4" x14ac:dyDescent="0.25">
      <c r="B8" s="140" t="s">
        <v>222</v>
      </c>
      <c r="C8" s="141">
        <v>1.6999999999999999E-3</v>
      </c>
      <c r="D8" s="141">
        <v>2.3E-3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89144-47A5-4AA0-8BF4-27BD593A6B9D}">
  <dimension ref="B2:E8"/>
  <sheetViews>
    <sheetView workbookViewId="0">
      <selection activeCell="G22" sqref="G22"/>
    </sheetView>
  </sheetViews>
  <sheetFormatPr baseColWidth="10" defaultColWidth="11.5703125" defaultRowHeight="15" x14ac:dyDescent="0.25"/>
  <cols>
    <col min="1" max="1" width="11.5703125" style="18"/>
    <col min="2" max="2" width="17.85546875" style="18" bestFit="1" customWidth="1"/>
    <col min="3" max="3" width="17.140625" style="18" bestFit="1" customWidth="1"/>
    <col min="4" max="4" width="9.5703125" style="18" bestFit="1" customWidth="1"/>
    <col min="5" max="5" width="17.28515625" style="18" bestFit="1" customWidth="1"/>
    <col min="6" max="16384" width="11.5703125" style="18"/>
  </cols>
  <sheetData>
    <row r="2" spans="2:5" x14ac:dyDescent="0.25">
      <c r="B2" s="94" t="s">
        <v>232</v>
      </c>
    </row>
    <row r="4" spans="2:5" ht="60.75" thickBot="1" x14ac:dyDescent="0.3">
      <c r="B4" s="151" t="s">
        <v>224</v>
      </c>
      <c r="C4" s="152" t="s">
        <v>225</v>
      </c>
      <c r="D4" s="153" t="s">
        <v>226</v>
      </c>
      <c r="E4" s="152" t="s">
        <v>227</v>
      </c>
    </row>
    <row r="5" spans="2:5" x14ac:dyDescent="0.25">
      <c r="B5" s="154" t="s">
        <v>228</v>
      </c>
      <c r="C5" s="155">
        <v>259.39735929604223</v>
      </c>
      <c r="D5" s="155">
        <v>-2.7559357039867307</v>
      </c>
      <c r="E5" s="155">
        <v>256.64142359205545</v>
      </c>
    </row>
    <row r="6" spans="2:5" x14ac:dyDescent="0.25">
      <c r="B6" s="156" t="s">
        <v>229</v>
      </c>
      <c r="C6" s="157">
        <v>201.90003315034784</v>
      </c>
      <c r="D6" s="158">
        <v>55.207815665745336</v>
      </c>
      <c r="E6" s="157">
        <v>257.10784881609317</v>
      </c>
    </row>
    <row r="7" spans="2:5" x14ac:dyDescent="0.25">
      <c r="B7" s="159" t="s">
        <v>230</v>
      </c>
      <c r="C7" s="160">
        <v>57.497326145694387</v>
      </c>
      <c r="D7" s="160">
        <v>-57.963751369732066</v>
      </c>
      <c r="E7" s="160">
        <v>-0.46642522403772091</v>
      </c>
    </row>
    <row r="8" spans="2:5" x14ac:dyDescent="0.25">
      <c r="B8" s="161" t="s">
        <v>231</v>
      </c>
      <c r="C8" s="162">
        <v>0.2847811624819207</v>
      </c>
      <c r="D8" s="163"/>
      <c r="E8" s="162">
        <v>-1.8141228522795913E-3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10F44-5763-444B-B71C-EB5751773455}">
  <dimension ref="B2:D14"/>
  <sheetViews>
    <sheetView workbookViewId="0">
      <selection activeCell="F13" sqref="F13"/>
    </sheetView>
  </sheetViews>
  <sheetFormatPr baseColWidth="10" defaultColWidth="11.5703125" defaultRowHeight="15" x14ac:dyDescent="0.25"/>
  <cols>
    <col min="1" max="1" width="11.5703125" style="18"/>
    <col min="2" max="2" width="2.28515625" style="18" bestFit="1" customWidth="1"/>
    <col min="3" max="3" width="26.85546875" style="18" bestFit="1" customWidth="1"/>
    <col min="4" max="4" width="10.85546875" style="18" bestFit="1" customWidth="1"/>
    <col min="5" max="16384" width="11.5703125" style="18"/>
  </cols>
  <sheetData>
    <row r="2" spans="2:4" x14ac:dyDescent="0.25">
      <c r="B2" s="94" t="s">
        <v>249</v>
      </c>
    </row>
    <row r="4" spans="2:4" ht="29.25" thickBot="1" x14ac:dyDescent="0.3">
      <c r="B4" s="164" t="s">
        <v>233</v>
      </c>
      <c r="C4" s="164" t="s">
        <v>234</v>
      </c>
      <c r="D4" s="164" t="s">
        <v>235</v>
      </c>
    </row>
    <row r="5" spans="2:4" x14ac:dyDescent="0.25">
      <c r="B5" s="596" t="s">
        <v>236</v>
      </c>
      <c r="C5" s="596"/>
      <c r="D5" s="596"/>
    </row>
    <row r="6" spans="2:4" ht="28.5" x14ac:dyDescent="0.25">
      <c r="B6" s="165">
        <v>1</v>
      </c>
      <c r="C6" s="166" t="s">
        <v>237</v>
      </c>
      <c r="D6" s="166">
        <v>24498</v>
      </c>
    </row>
    <row r="7" spans="2:4" x14ac:dyDescent="0.25">
      <c r="B7" s="597" t="s">
        <v>238</v>
      </c>
      <c r="C7" s="597"/>
      <c r="D7" s="597"/>
    </row>
    <row r="8" spans="2:4" x14ac:dyDescent="0.25">
      <c r="B8" s="167">
        <v>2</v>
      </c>
      <c r="C8" s="168" t="s">
        <v>239</v>
      </c>
      <c r="D8" s="168">
        <v>415770</v>
      </c>
    </row>
    <row r="9" spans="2:4" x14ac:dyDescent="0.25">
      <c r="B9" s="597" t="s">
        <v>240</v>
      </c>
      <c r="C9" s="597"/>
      <c r="D9" s="597"/>
    </row>
    <row r="10" spans="2:4" ht="28.5" x14ac:dyDescent="0.25">
      <c r="B10" s="165">
        <v>3</v>
      </c>
      <c r="C10" s="166" t="s">
        <v>241</v>
      </c>
      <c r="D10" s="166" t="s">
        <v>242</v>
      </c>
    </row>
    <row r="11" spans="2:4" x14ac:dyDescent="0.25">
      <c r="B11" s="167">
        <v>4</v>
      </c>
      <c r="C11" s="168" t="s">
        <v>243</v>
      </c>
      <c r="D11" s="168">
        <v>3059434</v>
      </c>
    </row>
    <row r="12" spans="2:4" x14ac:dyDescent="0.25">
      <c r="B12" s="165">
        <v>5</v>
      </c>
      <c r="C12" s="166" t="s">
        <v>244</v>
      </c>
      <c r="D12" s="166">
        <v>6501383</v>
      </c>
    </row>
    <row r="13" spans="2:4" ht="28.5" x14ac:dyDescent="0.25">
      <c r="B13" s="167">
        <v>6</v>
      </c>
      <c r="C13" s="168" t="s">
        <v>245</v>
      </c>
      <c r="D13" s="168" t="s">
        <v>246</v>
      </c>
    </row>
    <row r="14" spans="2:4" x14ac:dyDescent="0.25">
      <c r="B14" s="165">
        <v>7</v>
      </c>
      <c r="C14" s="166" t="s">
        <v>247</v>
      </c>
      <c r="D14" s="166">
        <v>6011291</v>
      </c>
    </row>
  </sheetData>
  <mergeCells count="3">
    <mergeCell ref="B5:D5"/>
    <mergeCell ref="B7:D7"/>
    <mergeCell ref="B9:D9"/>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A375-2C70-4FE6-A9CC-BC316FB580AC}">
  <dimension ref="B2:G33"/>
  <sheetViews>
    <sheetView workbookViewId="0">
      <selection activeCell="C24" sqref="C24"/>
    </sheetView>
  </sheetViews>
  <sheetFormatPr baseColWidth="10" defaultColWidth="11.5703125" defaultRowHeight="15" x14ac:dyDescent="0.25"/>
  <cols>
    <col min="1" max="1" width="11.5703125" style="18"/>
    <col min="2" max="2" width="7.5703125" style="18" customWidth="1"/>
    <col min="3" max="3" width="76.28515625" style="18" bestFit="1" customWidth="1"/>
    <col min="4" max="4" width="10.28515625" style="18" bestFit="1" customWidth="1"/>
    <col min="5" max="5" width="8.7109375" style="18" bestFit="1" customWidth="1"/>
    <col min="6" max="6" width="22.28515625" style="18" bestFit="1" customWidth="1"/>
    <col min="7" max="7" width="12.28515625" style="18" bestFit="1" customWidth="1"/>
    <col min="8" max="16384" width="11.5703125" style="18"/>
  </cols>
  <sheetData>
    <row r="2" spans="2:7" x14ac:dyDescent="0.25">
      <c r="B2" s="94" t="s">
        <v>318</v>
      </c>
    </row>
    <row r="4" spans="2:7" x14ac:dyDescent="0.25">
      <c r="B4" s="177" t="s">
        <v>233</v>
      </c>
      <c r="C4" s="177" t="s">
        <v>250</v>
      </c>
      <c r="D4" s="177"/>
      <c r="E4" s="177" t="s">
        <v>251</v>
      </c>
      <c r="F4" s="177" t="s">
        <v>145</v>
      </c>
      <c r="G4" s="177" t="s">
        <v>235</v>
      </c>
    </row>
    <row r="5" spans="2:7" x14ac:dyDescent="0.25">
      <c r="B5" s="169" t="s">
        <v>252</v>
      </c>
      <c r="C5" s="169"/>
      <c r="D5" s="169"/>
      <c r="E5" s="169"/>
      <c r="F5" s="169"/>
      <c r="G5" s="169"/>
    </row>
    <row r="6" spans="2:7" x14ac:dyDescent="0.25">
      <c r="B6" s="171">
        <v>1</v>
      </c>
      <c r="C6" s="59" t="s">
        <v>314</v>
      </c>
      <c r="D6" s="59" t="s">
        <v>253</v>
      </c>
      <c r="E6" s="59"/>
      <c r="F6" s="59" t="s">
        <v>254</v>
      </c>
      <c r="G6" s="59" t="s">
        <v>255</v>
      </c>
    </row>
    <row r="7" spans="2:7" x14ac:dyDescent="0.25">
      <c r="B7" s="169" t="s">
        <v>256</v>
      </c>
      <c r="C7" s="169"/>
      <c r="D7" s="169"/>
      <c r="E7" s="169"/>
      <c r="F7" s="169"/>
      <c r="G7" s="169"/>
    </row>
    <row r="8" spans="2:7" x14ac:dyDescent="0.25">
      <c r="B8" s="172">
        <v>2</v>
      </c>
      <c r="C8" s="173" t="s">
        <v>257</v>
      </c>
      <c r="D8" s="173" t="s">
        <v>106</v>
      </c>
      <c r="E8" s="173"/>
      <c r="F8" s="173" t="s">
        <v>258</v>
      </c>
      <c r="G8" s="172" t="s">
        <v>259</v>
      </c>
    </row>
    <row r="9" spans="2:7" x14ac:dyDescent="0.25">
      <c r="B9" s="171">
        <v>3</v>
      </c>
      <c r="C9" s="59" t="s">
        <v>260</v>
      </c>
      <c r="D9" s="59" t="s">
        <v>103</v>
      </c>
      <c r="E9" s="59"/>
      <c r="F9" s="59" t="s">
        <v>74</v>
      </c>
      <c r="G9" s="171" t="s">
        <v>261</v>
      </c>
    </row>
    <row r="10" spans="2:7" x14ac:dyDescent="0.25">
      <c r="B10" s="172">
        <v>4</v>
      </c>
      <c r="C10" s="173" t="s">
        <v>262</v>
      </c>
      <c r="D10" s="173" t="s">
        <v>136</v>
      </c>
      <c r="E10" s="173"/>
      <c r="F10" s="173" t="s">
        <v>263</v>
      </c>
      <c r="G10" s="172" t="s">
        <v>264</v>
      </c>
    </row>
    <row r="11" spans="2:7" x14ac:dyDescent="0.25">
      <c r="B11" s="171">
        <v>5</v>
      </c>
      <c r="C11" s="59" t="s">
        <v>265</v>
      </c>
      <c r="D11" s="59" t="s">
        <v>112</v>
      </c>
      <c r="E11" s="59"/>
      <c r="F11" s="59" t="s">
        <v>266</v>
      </c>
      <c r="G11" s="171" t="s">
        <v>267</v>
      </c>
    </row>
    <row r="12" spans="2:7" x14ac:dyDescent="0.25">
      <c r="B12" s="172">
        <v>6</v>
      </c>
      <c r="C12" s="173" t="s">
        <v>268</v>
      </c>
      <c r="D12" s="173" t="s">
        <v>133</v>
      </c>
      <c r="E12" s="173"/>
      <c r="F12" s="173" t="s">
        <v>269</v>
      </c>
      <c r="G12" s="172" t="s">
        <v>270</v>
      </c>
    </row>
    <row r="13" spans="2:7" x14ac:dyDescent="0.25">
      <c r="B13" s="171">
        <v>7</v>
      </c>
      <c r="C13" s="59" t="s">
        <v>271</v>
      </c>
      <c r="D13" s="59" t="s">
        <v>121</v>
      </c>
      <c r="E13" s="59"/>
      <c r="F13" s="59" t="s">
        <v>272</v>
      </c>
      <c r="G13" s="171" t="s">
        <v>273</v>
      </c>
    </row>
    <row r="14" spans="2:7" x14ac:dyDescent="0.25">
      <c r="B14" s="172">
        <v>8</v>
      </c>
      <c r="C14" s="173" t="s">
        <v>274</v>
      </c>
      <c r="D14" s="173" t="s">
        <v>275</v>
      </c>
      <c r="E14" s="173"/>
      <c r="F14" s="173" t="s">
        <v>276</v>
      </c>
      <c r="G14" s="172" t="s">
        <v>277</v>
      </c>
    </row>
    <row r="15" spans="2:7" x14ac:dyDescent="0.25">
      <c r="B15" s="171">
        <v>9</v>
      </c>
      <c r="C15" s="59" t="s">
        <v>278</v>
      </c>
      <c r="D15" s="59" t="s">
        <v>115</v>
      </c>
      <c r="E15" s="59"/>
      <c r="F15" s="59" t="s">
        <v>279</v>
      </c>
      <c r="G15" s="171" t="s">
        <v>280</v>
      </c>
    </row>
    <row r="16" spans="2:7" x14ac:dyDescent="0.25">
      <c r="B16" s="172">
        <v>10</v>
      </c>
      <c r="C16" s="173" t="s">
        <v>281</v>
      </c>
      <c r="D16" s="173" t="s">
        <v>118</v>
      </c>
      <c r="E16" s="173"/>
      <c r="F16" s="173" t="s">
        <v>272</v>
      </c>
      <c r="G16" s="172" t="s">
        <v>282</v>
      </c>
    </row>
    <row r="17" spans="2:7" x14ac:dyDescent="0.25">
      <c r="B17" s="174">
        <v>11</v>
      </c>
      <c r="C17" s="175" t="s">
        <v>283</v>
      </c>
      <c r="D17" s="175" t="s">
        <v>284</v>
      </c>
      <c r="E17" s="175"/>
      <c r="F17" s="175" t="s">
        <v>74</v>
      </c>
      <c r="G17" s="174">
        <v>2444686</v>
      </c>
    </row>
    <row r="18" spans="2:7" x14ac:dyDescent="0.25">
      <c r="B18" s="169" t="s">
        <v>285</v>
      </c>
      <c r="C18" s="169"/>
      <c r="D18" s="169"/>
      <c r="E18" s="169"/>
      <c r="F18" s="169"/>
      <c r="G18" s="169"/>
    </row>
    <row r="19" spans="2:7" x14ac:dyDescent="0.25">
      <c r="B19" s="66">
        <v>12</v>
      </c>
      <c r="C19" s="18" t="s">
        <v>286</v>
      </c>
      <c r="D19" s="59" t="s">
        <v>287</v>
      </c>
      <c r="E19" s="59"/>
      <c r="F19" s="59" t="s">
        <v>74</v>
      </c>
      <c r="G19" s="171">
        <v>7768007</v>
      </c>
    </row>
    <row r="20" spans="2:7" x14ac:dyDescent="0.25">
      <c r="B20" s="172">
        <v>13</v>
      </c>
      <c r="C20" s="173" t="s">
        <v>288</v>
      </c>
      <c r="D20" s="173" t="s">
        <v>289</v>
      </c>
      <c r="E20" s="173"/>
      <c r="F20" s="173" t="s">
        <v>272</v>
      </c>
      <c r="G20" s="172">
        <v>4716033</v>
      </c>
    </row>
    <row r="21" spans="2:7" x14ac:dyDescent="0.25">
      <c r="B21" s="174">
        <v>14</v>
      </c>
      <c r="C21" s="175" t="s">
        <v>290</v>
      </c>
      <c r="D21" s="175" t="s">
        <v>138</v>
      </c>
      <c r="E21" s="175"/>
      <c r="F21" s="175" t="s">
        <v>272</v>
      </c>
      <c r="G21" s="174">
        <v>4408622</v>
      </c>
    </row>
    <row r="22" spans="2:7" x14ac:dyDescent="0.25">
      <c r="B22" s="169" t="s">
        <v>291</v>
      </c>
      <c r="C22" s="169"/>
      <c r="D22" s="169"/>
      <c r="E22" s="169"/>
      <c r="F22" s="169"/>
      <c r="G22" s="169"/>
    </row>
    <row r="23" spans="2:7" x14ac:dyDescent="0.25">
      <c r="B23" s="172">
        <v>15</v>
      </c>
      <c r="C23" s="173" t="s">
        <v>292</v>
      </c>
      <c r="D23" s="173" t="s">
        <v>293</v>
      </c>
      <c r="E23" s="173"/>
      <c r="F23" s="173" t="s">
        <v>74</v>
      </c>
      <c r="G23" s="172" t="s">
        <v>294</v>
      </c>
    </row>
    <row r="24" spans="2:7" x14ac:dyDescent="0.25">
      <c r="B24" s="174">
        <v>16</v>
      </c>
      <c r="C24" s="175" t="s">
        <v>295</v>
      </c>
      <c r="D24" s="175" t="s">
        <v>296</v>
      </c>
      <c r="E24" s="175"/>
      <c r="F24" s="175" t="s">
        <v>74</v>
      </c>
      <c r="G24" s="174" t="s">
        <v>297</v>
      </c>
    </row>
    <row r="25" spans="2:7" x14ac:dyDescent="0.25">
      <c r="B25" s="172">
        <v>17</v>
      </c>
      <c r="C25" s="173" t="s">
        <v>315</v>
      </c>
      <c r="D25" s="173" t="s">
        <v>298</v>
      </c>
      <c r="E25" s="173"/>
      <c r="F25" s="173" t="s">
        <v>74</v>
      </c>
      <c r="G25" s="172" t="s">
        <v>299</v>
      </c>
    </row>
    <row r="26" spans="2:7" x14ac:dyDescent="0.25">
      <c r="B26" s="169" t="s">
        <v>300</v>
      </c>
      <c r="C26" s="169"/>
      <c r="D26" s="169"/>
      <c r="E26" s="169"/>
      <c r="F26" s="169"/>
      <c r="G26" s="169"/>
    </row>
    <row r="27" spans="2:7" x14ac:dyDescent="0.25">
      <c r="B27" s="172">
        <v>18</v>
      </c>
      <c r="C27" s="173" t="s">
        <v>301</v>
      </c>
      <c r="D27" s="173" t="s">
        <v>302</v>
      </c>
      <c r="E27" s="173"/>
      <c r="F27" s="173" t="s">
        <v>272</v>
      </c>
      <c r="G27" s="172" t="s">
        <v>303</v>
      </c>
    </row>
    <row r="28" spans="2:7" x14ac:dyDescent="0.25">
      <c r="B28" s="171">
        <v>19</v>
      </c>
      <c r="C28" s="59" t="s">
        <v>316</v>
      </c>
      <c r="D28" s="59" t="s">
        <v>304</v>
      </c>
      <c r="E28" s="59"/>
      <c r="F28" s="59" t="s">
        <v>305</v>
      </c>
      <c r="G28" s="171" t="s">
        <v>306</v>
      </c>
    </row>
    <row r="29" spans="2:7" x14ac:dyDescent="0.25">
      <c r="B29" s="176">
        <v>20</v>
      </c>
      <c r="C29" s="57" t="s">
        <v>307</v>
      </c>
      <c r="D29" s="57" t="s">
        <v>142</v>
      </c>
      <c r="E29" s="57"/>
      <c r="F29" s="57" t="s">
        <v>74</v>
      </c>
      <c r="G29" s="176">
        <v>4736198</v>
      </c>
    </row>
    <row r="30" spans="2:7" x14ac:dyDescent="0.25">
      <c r="B30" s="169" t="s">
        <v>308</v>
      </c>
      <c r="C30" s="169"/>
      <c r="D30" s="169"/>
      <c r="E30" s="169"/>
      <c r="F30" s="169"/>
      <c r="G30" s="169"/>
    </row>
    <row r="31" spans="2:7" x14ac:dyDescent="0.25">
      <c r="B31" s="171">
        <v>21</v>
      </c>
      <c r="C31" s="59" t="s">
        <v>309</v>
      </c>
      <c r="D31" s="59" t="s">
        <v>126</v>
      </c>
      <c r="E31" s="59"/>
      <c r="F31" s="59" t="s">
        <v>310</v>
      </c>
      <c r="G31" s="171">
        <v>196784</v>
      </c>
    </row>
    <row r="32" spans="2:7" x14ac:dyDescent="0.25">
      <c r="B32" s="172">
        <v>22</v>
      </c>
      <c r="C32" s="173" t="s">
        <v>128</v>
      </c>
      <c r="D32" s="173" t="s">
        <v>311</v>
      </c>
      <c r="E32" s="173"/>
      <c r="F32" s="173" t="s">
        <v>82</v>
      </c>
      <c r="G32" s="172">
        <v>2292168</v>
      </c>
    </row>
    <row r="33" spans="2:7" x14ac:dyDescent="0.25">
      <c r="B33" s="174">
        <v>23</v>
      </c>
      <c r="C33" s="175" t="s">
        <v>317</v>
      </c>
      <c r="D33" s="175" t="s">
        <v>312</v>
      </c>
      <c r="E33" s="175"/>
      <c r="F33" s="175" t="s">
        <v>313</v>
      </c>
      <c r="G33" s="174">
        <v>2236190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013A4-6959-4063-B456-04104BC553AE}">
  <dimension ref="B2:E15"/>
  <sheetViews>
    <sheetView workbookViewId="0">
      <selection activeCell="C10" sqref="C10"/>
    </sheetView>
  </sheetViews>
  <sheetFormatPr baseColWidth="10" defaultColWidth="11.5703125" defaultRowHeight="16.5" x14ac:dyDescent="0.25"/>
  <cols>
    <col min="1" max="1" width="11.5703125" style="120"/>
    <col min="2" max="2" width="2.28515625" style="120" bestFit="1" customWidth="1"/>
    <col min="3" max="3" width="61.7109375" style="120" bestFit="1" customWidth="1"/>
    <col min="4" max="4" width="13.85546875" style="120" bestFit="1" customWidth="1"/>
    <col min="5" max="5" width="13.7109375" style="120" bestFit="1" customWidth="1"/>
    <col min="6" max="16384" width="11.5703125" style="120"/>
  </cols>
  <sheetData>
    <row r="2" spans="2:5" x14ac:dyDescent="0.25">
      <c r="B2" s="119" t="s">
        <v>333</v>
      </c>
    </row>
    <row r="4" spans="2:5" ht="33.75" thickBot="1" x14ac:dyDescent="0.3">
      <c r="B4" s="598" t="s">
        <v>319</v>
      </c>
      <c r="C4" s="598"/>
      <c r="D4" s="137" t="s">
        <v>334</v>
      </c>
      <c r="E4" s="188" t="s">
        <v>3</v>
      </c>
    </row>
    <row r="5" spans="2:5" x14ac:dyDescent="0.25">
      <c r="B5" s="189" t="s">
        <v>320</v>
      </c>
      <c r="C5" s="189" t="s">
        <v>321</v>
      </c>
      <c r="D5" s="189"/>
      <c r="E5" s="189"/>
    </row>
    <row r="6" spans="2:5" x14ac:dyDescent="0.25">
      <c r="B6" s="190">
        <v>1</v>
      </c>
      <c r="C6" s="190" t="s">
        <v>322</v>
      </c>
      <c r="D6" s="191" t="s">
        <v>335</v>
      </c>
      <c r="E6" s="191" t="s">
        <v>335</v>
      </c>
    </row>
    <row r="7" spans="2:5" x14ac:dyDescent="0.25">
      <c r="B7" s="192">
        <v>2</v>
      </c>
      <c r="C7" s="192" t="s">
        <v>324</v>
      </c>
      <c r="D7" s="193" t="s">
        <v>335</v>
      </c>
      <c r="E7" s="193" t="s">
        <v>335</v>
      </c>
    </row>
    <row r="8" spans="2:5" x14ac:dyDescent="0.25">
      <c r="B8" s="190">
        <v>3</v>
      </c>
      <c r="C8" s="190" t="s">
        <v>325</v>
      </c>
      <c r="D8" s="194"/>
      <c r="E8" s="191" t="s">
        <v>335</v>
      </c>
    </row>
    <row r="9" spans="2:5" x14ac:dyDescent="0.25">
      <c r="B9" s="195">
        <v>4</v>
      </c>
      <c r="C9" s="195" t="s">
        <v>326</v>
      </c>
      <c r="D9" s="196" t="s">
        <v>335</v>
      </c>
      <c r="E9" s="196" t="s">
        <v>335</v>
      </c>
    </row>
    <row r="10" spans="2:5" x14ac:dyDescent="0.25">
      <c r="B10" s="190">
        <v>5</v>
      </c>
      <c r="C10" s="190" t="s">
        <v>327</v>
      </c>
      <c r="D10" s="194"/>
      <c r="E10" s="191" t="s">
        <v>335</v>
      </c>
    </row>
    <row r="11" spans="2:5" x14ac:dyDescent="0.25">
      <c r="B11" s="195">
        <v>6</v>
      </c>
      <c r="C11" s="195" t="s">
        <v>328</v>
      </c>
      <c r="D11" s="197"/>
      <c r="E11" s="196" t="s">
        <v>335</v>
      </c>
    </row>
    <row r="12" spans="2:5" x14ac:dyDescent="0.25">
      <c r="B12" s="190">
        <v>7</v>
      </c>
      <c r="C12" s="190" t="s">
        <v>329</v>
      </c>
      <c r="D12" s="191" t="s">
        <v>335</v>
      </c>
      <c r="E12" s="191" t="s">
        <v>335</v>
      </c>
    </row>
    <row r="13" spans="2:5" x14ac:dyDescent="0.25">
      <c r="B13" s="195">
        <v>8</v>
      </c>
      <c r="C13" s="195" t="s">
        <v>330</v>
      </c>
      <c r="D13" s="196" t="s">
        <v>335</v>
      </c>
      <c r="E13" s="196" t="s">
        <v>335</v>
      </c>
    </row>
    <row r="14" spans="2:5" x14ac:dyDescent="0.25">
      <c r="B14" s="189" t="s">
        <v>331</v>
      </c>
      <c r="C14" s="189" t="s">
        <v>332</v>
      </c>
      <c r="D14" s="189"/>
      <c r="E14" s="189"/>
    </row>
    <row r="15" spans="2:5" x14ac:dyDescent="0.25">
      <c r="B15" s="198">
        <v>9</v>
      </c>
      <c r="C15" s="198" t="s">
        <v>237</v>
      </c>
      <c r="D15" s="199" t="s">
        <v>336</v>
      </c>
      <c r="E15" s="198"/>
    </row>
  </sheetData>
  <mergeCells count="1">
    <mergeCell ref="B4:C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D5B98-FF8B-4E1D-892B-81A9EDB05779}">
  <dimension ref="B2:F71"/>
  <sheetViews>
    <sheetView workbookViewId="0">
      <selection activeCell="C23" sqref="C23"/>
    </sheetView>
  </sheetViews>
  <sheetFormatPr baseColWidth="10" defaultColWidth="11.5703125" defaultRowHeight="15" x14ac:dyDescent="0.25"/>
  <cols>
    <col min="1" max="1" width="11.5703125" style="18"/>
    <col min="2" max="2" width="45.42578125" style="18" bestFit="1" customWidth="1"/>
    <col min="3" max="3" width="55.42578125" style="18" bestFit="1" customWidth="1"/>
    <col min="4" max="4" width="12.42578125" style="18" bestFit="1" customWidth="1"/>
    <col min="5" max="5" width="6.7109375" style="18" bestFit="1" customWidth="1"/>
    <col min="6" max="6" width="16.28515625" style="18" bestFit="1" customWidth="1"/>
    <col min="7" max="16384" width="11.5703125" style="18"/>
  </cols>
  <sheetData>
    <row r="2" spans="2:6" x14ac:dyDescent="0.25">
      <c r="B2" s="94" t="s">
        <v>407</v>
      </c>
    </row>
    <row r="4" spans="2:6" x14ac:dyDescent="0.25">
      <c r="B4" s="227" t="s">
        <v>405</v>
      </c>
    </row>
    <row r="6" spans="2:6" x14ac:dyDescent="0.25">
      <c r="B6" s="601" t="s">
        <v>337</v>
      </c>
      <c r="C6" s="601"/>
      <c r="D6" s="601"/>
      <c r="E6" s="601"/>
      <c r="F6" s="601"/>
    </row>
    <row r="7" spans="2:6" x14ac:dyDescent="0.25">
      <c r="B7" s="602" t="s">
        <v>338</v>
      </c>
      <c r="C7" s="602"/>
      <c r="D7" s="602"/>
      <c r="E7" s="602"/>
      <c r="F7" s="602"/>
    </row>
    <row r="8" spans="2:6" x14ac:dyDescent="0.25">
      <c r="B8" s="603" t="s">
        <v>339</v>
      </c>
      <c r="C8" s="603"/>
      <c r="D8" s="603"/>
      <c r="E8" s="603"/>
      <c r="F8" s="603"/>
    </row>
    <row r="10" spans="2:6" x14ac:dyDescent="0.25">
      <c r="B10" s="227" t="s">
        <v>406</v>
      </c>
    </row>
    <row r="12" spans="2:6" ht="15.75" thickBot="1" x14ac:dyDescent="0.3">
      <c r="B12" s="202" t="s">
        <v>319</v>
      </c>
      <c r="C12" s="202" t="s">
        <v>340</v>
      </c>
      <c r="D12" s="202" t="s">
        <v>341</v>
      </c>
      <c r="E12" s="202" t="s">
        <v>342</v>
      </c>
      <c r="F12" s="202" t="s">
        <v>343</v>
      </c>
    </row>
    <row r="13" spans="2:6" x14ac:dyDescent="0.25">
      <c r="B13" s="604" t="s">
        <v>344</v>
      </c>
      <c r="C13" s="173" t="s">
        <v>345</v>
      </c>
      <c r="D13" s="203"/>
      <c r="E13" s="204"/>
      <c r="F13" s="172" t="s">
        <v>346</v>
      </c>
    </row>
    <row r="14" spans="2:6" x14ac:dyDescent="0.25">
      <c r="B14" s="605"/>
      <c r="C14" s="59" t="s">
        <v>347</v>
      </c>
      <c r="D14" s="205"/>
      <c r="E14" s="205"/>
      <c r="F14" s="171" t="s">
        <v>346</v>
      </c>
    </row>
    <row r="15" spans="2:6" x14ac:dyDescent="0.25">
      <c r="B15" s="605"/>
      <c r="C15" s="173" t="s">
        <v>348</v>
      </c>
      <c r="D15" s="203"/>
      <c r="E15" s="204"/>
      <c r="F15" s="172" t="s">
        <v>346</v>
      </c>
    </row>
    <row r="16" spans="2:6" x14ac:dyDescent="0.25">
      <c r="B16" s="605"/>
      <c r="C16" s="59" t="s">
        <v>349</v>
      </c>
      <c r="D16" s="205"/>
      <c r="E16" s="205"/>
      <c r="F16" s="171" t="s">
        <v>346</v>
      </c>
    </row>
    <row r="17" spans="2:6" ht="15.75" thickBot="1" x14ac:dyDescent="0.3">
      <c r="B17" s="600"/>
      <c r="C17" s="207" t="s">
        <v>350</v>
      </c>
      <c r="D17" s="208"/>
      <c r="E17" s="209"/>
      <c r="F17" s="210" t="s">
        <v>346</v>
      </c>
    </row>
    <row r="18" spans="2:6" x14ac:dyDescent="0.25">
      <c r="B18" s="599" t="s">
        <v>45</v>
      </c>
      <c r="C18" s="59" t="s">
        <v>349</v>
      </c>
      <c r="D18" s="211" t="s">
        <v>403</v>
      </c>
      <c r="E18" s="205"/>
      <c r="F18" s="171" t="s">
        <v>346</v>
      </c>
    </row>
    <row r="19" spans="2:6" x14ac:dyDescent="0.25">
      <c r="B19" s="605"/>
      <c r="C19" s="173" t="s">
        <v>351</v>
      </c>
      <c r="D19" s="204"/>
      <c r="E19" s="203"/>
      <c r="F19" s="172" t="s">
        <v>346</v>
      </c>
    </row>
    <row r="20" spans="2:6" x14ac:dyDescent="0.25">
      <c r="B20" s="605"/>
      <c r="C20" s="59" t="s">
        <v>53</v>
      </c>
      <c r="D20" s="205"/>
      <c r="E20" s="205"/>
      <c r="F20" s="171" t="s">
        <v>346</v>
      </c>
    </row>
    <row r="21" spans="2:6" x14ac:dyDescent="0.25">
      <c r="B21" s="605"/>
      <c r="C21" s="173" t="s">
        <v>352</v>
      </c>
      <c r="D21" s="204"/>
      <c r="E21" s="203"/>
      <c r="F21" s="172" t="s">
        <v>346</v>
      </c>
    </row>
    <row r="22" spans="2:6" x14ac:dyDescent="0.25">
      <c r="B22" s="605"/>
      <c r="C22" s="59" t="s">
        <v>353</v>
      </c>
      <c r="D22" s="205"/>
      <c r="E22" s="205"/>
      <c r="F22" s="171" t="s">
        <v>346</v>
      </c>
    </row>
    <row r="23" spans="2:6" x14ac:dyDescent="0.25">
      <c r="B23" s="605"/>
      <c r="C23" s="173" t="s">
        <v>354</v>
      </c>
      <c r="D23" s="204"/>
      <c r="E23" s="203"/>
      <c r="F23" s="172" t="s">
        <v>346</v>
      </c>
    </row>
    <row r="24" spans="2:6" x14ac:dyDescent="0.25">
      <c r="B24" s="605"/>
      <c r="C24" s="59" t="s">
        <v>355</v>
      </c>
      <c r="D24" s="205"/>
      <c r="E24" s="205"/>
      <c r="F24" s="171" t="s">
        <v>346</v>
      </c>
    </row>
    <row r="25" spans="2:6" x14ac:dyDescent="0.25">
      <c r="B25" s="605"/>
      <c r="C25" s="173" t="s">
        <v>55</v>
      </c>
      <c r="D25" s="204"/>
      <c r="E25" s="203"/>
      <c r="F25" s="172" t="s">
        <v>346</v>
      </c>
    </row>
    <row r="26" spans="2:6" ht="15.75" thickBot="1" x14ac:dyDescent="0.3">
      <c r="B26" s="600"/>
      <c r="C26" s="212" t="s">
        <v>356</v>
      </c>
      <c r="D26" s="213"/>
      <c r="E26" s="214"/>
      <c r="F26" s="215" t="s">
        <v>346</v>
      </c>
    </row>
    <row r="27" spans="2:6" x14ac:dyDescent="0.25">
      <c r="B27" s="599" t="s">
        <v>357</v>
      </c>
      <c r="C27" s="173" t="s">
        <v>358</v>
      </c>
      <c r="D27" s="204"/>
      <c r="E27" s="204"/>
      <c r="F27" s="172" t="s">
        <v>346</v>
      </c>
    </row>
    <row r="28" spans="2:6" x14ac:dyDescent="0.25">
      <c r="B28" s="605"/>
      <c r="C28" s="59" t="s">
        <v>359</v>
      </c>
      <c r="D28" s="205"/>
      <c r="E28" s="205"/>
      <c r="F28" s="171" t="s">
        <v>346</v>
      </c>
    </row>
    <row r="29" spans="2:6" x14ac:dyDescent="0.25">
      <c r="B29" s="605"/>
      <c r="C29" s="173" t="s">
        <v>360</v>
      </c>
      <c r="D29" s="204"/>
      <c r="E29" s="204"/>
      <c r="F29" s="172" t="s">
        <v>346</v>
      </c>
    </row>
    <row r="30" spans="2:6" x14ac:dyDescent="0.25">
      <c r="B30" s="605"/>
      <c r="C30" s="59" t="s">
        <v>361</v>
      </c>
      <c r="D30" s="205"/>
      <c r="E30" s="205"/>
      <c r="F30" s="171" t="s">
        <v>346</v>
      </c>
    </row>
    <row r="31" spans="2:6" x14ac:dyDescent="0.25">
      <c r="B31" s="605"/>
      <c r="C31" s="173" t="s">
        <v>362</v>
      </c>
      <c r="D31" s="204"/>
      <c r="E31" s="204"/>
      <c r="F31" s="172" t="s">
        <v>346</v>
      </c>
    </row>
    <row r="32" spans="2:6" x14ac:dyDescent="0.25">
      <c r="B32" s="605"/>
      <c r="C32" s="59" t="s">
        <v>363</v>
      </c>
      <c r="D32" s="205"/>
      <c r="E32" s="205"/>
      <c r="F32" s="171" t="s">
        <v>346</v>
      </c>
    </row>
    <row r="33" spans="2:6" x14ac:dyDescent="0.25">
      <c r="B33" s="605"/>
      <c r="C33" s="173" t="s">
        <v>364</v>
      </c>
      <c r="D33" s="203"/>
      <c r="E33" s="204"/>
      <c r="F33" s="172" t="s">
        <v>346</v>
      </c>
    </row>
    <row r="34" spans="2:6" x14ac:dyDescent="0.25">
      <c r="B34" s="605"/>
      <c r="C34" s="59" t="s">
        <v>365</v>
      </c>
      <c r="D34" s="205"/>
      <c r="E34" s="205"/>
      <c r="F34" s="171" t="s">
        <v>346</v>
      </c>
    </row>
    <row r="35" spans="2:6" x14ac:dyDescent="0.25">
      <c r="B35" s="605"/>
      <c r="C35" s="173" t="s">
        <v>366</v>
      </c>
      <c r="D35" s="204"/>
      <c r="E35" s="204"/>
      <c r="F35" s="172" t="s">
        <v>346</v>
      </c>
    </row>
    <row r="36" spans="2:6" x14ac:dyDescent="0.25">
      <c r="B36" s="605"/>
      <c r="C36" s="59" t="s">
        <v>367</v>
      </c>
      <c r="D36" s="205"/>
      <c r="E36" s="205"/>
      <c r="F36" s="171" t="s">
        <v>346</v>
      </c>
    </row>
    <row r="37" spans="2:6" x14ac:dyDescent="0.25">
      <c r="B37" s="605"/>
      <c r="C37" s="173" t="s">
        <v>349</v>
      </c>
      <c r="D37" s="204"/>
      <c r="E37" s="204"/>
      <c r="F37" s="172" t="s">
        <v>346</v>
      </c>
    </row>
    <row r="38" spans="2:6" x14ac:dyDescent="0.25">
      <c r="B38" s="605"/>
      <c r="C38" s="59" t="s">
        <v>368</v>
      </c>
      <c r="D38" s="205"/>
      <c r="E38" s="205"/>
      <c r="F38" s="171" t="s">
        <v>346</v>
      </c>
    </row>
    <row r="39" spans="2:6" x14ac:dyDescent="0.25">
      <c r="B39" s="605"/>
      <c r="C39" s="173" t="s">
        <v>369</v>
      </c>
      <c r="D39" s="204"/>
      <c r="E39" s="204"/>
      <c r="F39" s="172" t="s">
        <v>346</v>
      </c>
    </row>
    <row r="40" spans="2:6" x14ac:dyDescent="0.25">
      <c r="B40" s="605"/>
      <c r="C40" s="59" t="s">
        <v>370</v>
      </c>
      <c r="D40" s="205"/>
      <c r="E40" s="205"/>
      <c r="F40" s="171" t="s">
        <v>346</v>
      </c>
    </row>
    <row r="41" spans="2:6" x14ac:dyDescent="0.25">
      <c r="B41" s="605"/>
      <c r="C41" s="173" t="s">
        <v>371</v>
      </c>
      <c r="D41" s="203"/>
      <c r="E41" s="204"/>
      <c r="F41" s="172" t="s">
        <v>346</v>
      </c>
    </row>
    <row r="42" spans="2:6" ht="15.75" thickBot="1" x14ac:dyDescent="0.3">
      <c r="B42" s="600"/>
      <c r="C42" s="212" t="s">
        <v>372</v>
      </c>
      <c r="D42" s="215"/>
      <c r="E42" s="213"/>
      <c r="F42" s="215" t="s">
        <v>346</v>
      </c>
    </row>
    <row r="43" spans="2:6" x14ac:dyDescent="0.25">
      <c r="B43" s="599" t="s">
        <v>373</v>
      </c>
      <c r="C43" s="173" t="s">
        <v>374</v>
      </c>
      <c r="D43" s="204"/>
      <c r="E43" s="204"/>
      <c r="F43" s="172" t="s">
        <v>346</v>
      </c>
    </row>
    <row r="44" spans="2:6" x14ac:dyDescent="0.25">
      <c r="B44" s="605"/>
      <c r="C44" s="59" t="s">
        <v>375</v>
      </c>
      <c r="D44" s="205"/>
      <c r="E44" s="205"/>
      <c r="F44" s="171" t="s">
        <v>346</v>
      </c>
    </row>
    <row r="45" spans="2:6" x14ac:dyDescent="0.25">
      <c r="B45" s="605"/>
      <c r="C45" s="173" t="s">
        <v>376</v>
      </c>
      <c r="D45" s="204"/>
      <c r="E45" s="204"/>
      <c r="F45" s="172" t="s">
        <v>346</v>
      </c>
    </row>
    <row r="46" spans="2:6" x14ac:dyDescent="0.25">
      <c r="B46" s="605"/>
      <c r="C46" s="59" t="s">
        <v>377</v>
      </c>
      <c r="D46" s="205"/>
      <c r="E46" s="205"/>
      <c r="F46" s="171" t="s">
        <v>346</v>
      </c>
    </row>
    <row r="47" spans="2:6" x14ac:dyDescent="0.25">
      <c r="B47" s="605"/>
      <c r="C47" s="173" t="s">
        <v>378</v>
      </c>
      <c r="D47" s="204"/>
      <c r="E47" s="204"/>
      <c r="F47" s="172" t="s">
        <v>346</v>
      </c>
    </row>
    <row r="48" spans="2:6" x14ac:dyDescent="0.25">
      <c r="B48" s="605"/>
      <c r="C48" s="59" t="s">
        <v>379</v>
      </c>
      <c r="D48" s="205"/>
      <c r="E48" s="205"/>
      <c r="F48" s="171" t="s">
        <v>346</v>
      </c>
    </row>
    <row r="49" spans="2:6" x14ac:dyDescent="0.25">
      <c r="B49" s="605"/>
      <c r="C49" s="173" t="s">
        <v>380</v>
      </c>
      <c r="D49" s="204"/>
      <c r="E49" s="204"/>
      <c r="F49" s="172" t="s">
        <v>346</v>
      </c>
    </row>
    <row r="50" spans="2:6" x14ac:dyDescent="0.25">
      <c r="B50" s="605"/>
      <c r="C50" s="175" t="s">
        <v>381</v>
      </c>
      <c r="D50" s="216" t="s">
        <v>404</v>
      </c>
      <c r="E50" s="216" t="s">
        <v>404</v>
      </c>
      <c r="F50" s="174" t="s">
        <v>346</v>
      </c>
    </row>
    <row r="51" spans="2:6" ht="15.75" thickBot="1" x14ac:dyDescent="0.3">
      <c r="B51" s="600"/>
      <c r="C51" s="207" t="s">
        <v>382</v>
      </c>
      <c r="D51" s="209"/>
      <c r="E51" s="209"/>
      <c r="F51" s="210" t="s">
        <v>346</v>
      </c>
    </row>
    <row r="52" spans="2:6" x14ac:dyDescent="0.25">
      <c r="B52" s="599" t="s">
        <v>383</v>
      </c>
      <c r="C52" s="175" t="s">
        <v>384</v>
      </c>
      <c r="D52" s="217"/>
      <c r="E52" s="218"/>
      <c r="F52" s="174" t="s">
        <v>346</v>
      </c>
    </row>
    <row r="53" spans="2:6" x14ac:dyDescent="0.25">
      <c r="B53" s="605"/>
      <c r="C53" s="173" t="s">
        <v>385</v>
      </c>
      <c r="D53" s="204"/>
      <c r="E53" s="204"/>
      <c r="F53" s="172" t="s">
        <v>346</v>
      </c>
    </row>
    <row r="54" spans="2:6" x14ac:dyDescent="0.25">
      <c r="B54" s="605"/>
      <c r="C54" s="175" t="s">
        <v>386</v>
      </c>
      <c r="D54" s="217"/>
      <c r="E54" s="217"/>
      <c r="F54" s="174" t="s">
        <v>346</v>
      </c>
    </row>
    <row r="55" spans="2:6" x14ac:dyDescent="0.25">
      <c r="B55" s="605"/>
      <c r="C55" s="173" t="s">
        <v>387</v>
      </c>
      <c r="D55" s="204"/>
      <c r="E55" s="204"/>
      <c r="F55" s="172" t="s">
        <v>346</v>
      </c>
    </row>
    <row r="56" spans="2:6" x14ac:dyDescent="0.25">
      <c r="B56" s="605"/>
      <c r="C56" s="175" t="s">
        <v>388</v>
      </c>
      <c r="D56" s="217"/>
      <c r="E56" s="217"/>
      <c r="F56" s="174" t="s">
        <v>346</v>
      </c>
    </row>
    <row r="57" spans="2:6" x14ac:dyDescent="0.25">
      <c r="B57" s="605"/>
      <c r="C57" s="173" t="s">
        <v>389</v>
      </c>
      <c r="D57" s="204"/>
      <c r="E57" s="204"/>
      <c r="F57" s="172" t="s">
        <v>346</v>
      </c>
    </row>
    <row r="58" spans="2:6" x14ac:dyDescent="0.25">
      <c r="B58" s="605"/>
      <c r="C58" s="175" t="s">
        <v>390</v>
      </c>
      <c r="D58" s="217"/>
      <c r="E58" s="217"/>
      <c r="F58" s="174" t="s">
        <v>346</v>
      </c>
    </row>
    <row r="59" spans="2:6" x14ac:dyDescent="0.25">
      <c r="B59" s="605"/>
      <c r="C59" s="173" t="s">
        <v>371</v>
      </c>
      <c r="D59" s="204"/>
      <c r="E59" s="204"/>
      <c r="F59" s="172" t="s">
        <v>346</v>
      </c>
    </row>
    <row r="60" spans="2:6" x14ac:dyDescent="0.25">
      <c r="B60" s="605"/>
      <c r="C60" s="175" t="s">
        <v>349</v>
      </c>
      <c r="D60" s="217"/>
      <c r="E60" s="217"/>
      <c r="F60" s="174" t="s">
        <v>346</v>
      </c>
    </row>
    <row r="61" spans="2:6" ht="15.75" thickBot="1" x14ac:dyDescent="0.3">
      <c r="B61" s="600"/>
      <c r="C61" s="207" t="s">
        <v>391</v>
      </c>
      <c r="D61" s="209"/>
      <c r="E61" s="209"/>
      <c r="F61" s="210" t="s">
        <v>346</v>
      </c>
    </row>
    <row r="62" spans="2:6" x14ac:dyDescent="0.25">
      <c r="B62" s="599" t="s">
        <v>392</v>
      </c>
      <c r="C62" s="175" t="s">
        <v>393</v>
      </c>
      <c r="D62" s="218"/>
      <c r="E62" s="217"/>
      <c r="F62" s="174" t="s">
        <v>346</v>
      </c>
    </row>
    <row r="63" spans="2:6" x14ac:dyDescent="0.25">
      <c r="B63" s="605"/>
      <c r="C63" s="173" t="s">
        <v>394</v>
      </c>
      <c r="D63" s="204"/>
      <c r="E63" s="204"/>
      <c r="F63" s="172" t="s">
        <v>346</v>
      </c>
    </row>
    <row r="64" spans="2:6" ht="15.75" thickBot="1" x14ac:dyDescent="0.3">
      <c r="B64" s="600"/>
      <c r="C64" s="219" t="s">
        <v>395</v>
      </c>
      <c r="D64" s="220"/>
      <c r="E64" s="221"/>
      <c r="F64" s="222" t="s">
        <v>346</v>
      </c>
    </row>
    <row r="65" spans="2:6" x14ac:dyDescent="0.25">
      <c r="B65" s="599" t="s">
        <v>396</v>
      </c>
      <c r="C65" s="173" t="s">
        <v>397</v>
      </c>
      <c r="D65" s="203"/>
      <c r="E65" s="204"/>
      <c r="F65" s="172" t="s">
        <v>346</v>
      </c>
    </row>
    <row r="66" spans="2:6" ht="15.75" thickBot="1" x14ac:dyDescent="0.3">
      <c r="B66" s="600"/>
      <c r="C66" s="219" t="s">
        <v>395</v>
      </c>
      <c r="D66" s="220"/>
      <c r="E66" s="221"/>
      <c r="F66" s="222" t="s">
        <v>346</v>
      </c>
    </row>
    <row r="67" spans="2:6" ht="15.75" thickBot="1" x14ac:dyDescent="0.3">
      <c r="B67" s="206" t="s">
        <v>38</v>
      </c>
      <c r="C67" s="173" t="s">
        <v>398</v>
      </c>
      <c r="D67" s="204"/>
      <c r="E67" s="204"/>
      <c r="F67" s="172" t="s">
        <v>346</v>
      </c>
    </row>
    <row r="68" spans="2:6" ht="15.75" thickBot="1" x14ac:dyDescent="0.3">
      <c r="B68" s="206" t="s">
        <v>39</v>
      </c>
      <c r="C68" s="223" t="s">
        <v>398</v>
      </c>
      <c r="D68" s="224"/>
      <c r="E68" s="224"/>
      <c r="F68" s="225" t="s">
        <v>346</v>
      </c>
    </row>
    <row r="69" spans="2:6" ht="15.75" thickBot="1" x14ac:dyDescent="0.3">
      <c r="B69" s="226"/>
      <c r="C69" s="173" t="s">
        <v>399</v>
      </c>
      <c r="D69" s="204"/>
      <c r="E69" s="204"/>
      <c r="F69" s="172" t="s">
        <v>400</v>
      </c>
    </row>
    <row r="70" spans="2:6" ht="15.75" thickBot="1" x14ac:dyDescent="0.3">
      <c r="B70" s="226"/>
      <c r="C70" s="223" t="s">
        <v>401</v>
      </c>
      <c r="D70" s="224"/>
      <c r="E70" s="224"/>
      <c r="F70" s="225" t="s">
        <v>400</v>
      </c>
    </row>
    <row r="71" spans="2:6" ht="15.75" thickBot="1" x14ac:dyDescent="0.3">
      <c r="B71" s="226"/>
      <c r="C71" s="207" t="s">
        <v>402</v>
      </c>
      <c r="D71" s="209"/>
      <c r="E71" s="209"/>
      <c r="F71" s="210" t="s">
        <v>400</v>
      </c>
    </row>
  </sheetData>
  <mergeCells count="10">
    <mergeCell ref="B65:B66"/>
    <mergeCell ref="B6:F6"/>
    <mergeCell ref="B7:F7"/>
    <mergeCell ref="B8:F8"/>
    <mergeCell ref="B13:B17"/>
    <mergeCell ref="B18:B26"/>
    <mergeCell ref="B27:B42"/>
    <mergeCell ref="B43:B51"/>
    <mergeCell ref="B52:B61"/>
    <mergeCell ref="B62:B64"/>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26586-084A-478D-A17D-F5C43E9B16D9}">
  <dimension ref="B2:F22"/>
  <sheetViews>
    <sheetView workbookViewId="0">
      <selection activeCell="C9" sqref="C9"/>
    </sheetView>
  </sheetViews>
  <sheetFormatPr baseColWidth="10" defaultColWidth="11.5703125" defaultRowHeight="15" x14ac:dyDescent="0.25"/>
  <cols>
    <col min="1" max="1" width="11.5703125" style="18"/>
    <col min="2" max="2" width="7.5703125" style="18" bestFit="1" customWidth="1"/>
    <col min="3" max="3" width="33.42578125" style="18" bestFit="1" customWidth="1"/>
    <col min="4" max="4" width="16.7109375" style="18" bestFit="1" customWidth="1"/>
    <col min="5" max="5" width="13" style="18" bestFit="1" customWidth="1"/>
    <col min="6" max="6" width="14.28515625" style="18" bestFit="1" customWidth="1"/>
    <col min="7" max="16384" width="11.5703125" style="18"/>
  </cols>
  <sheetData>
    <row r="2" spans="2:6" x14ac:dyDescent="0.25">
      <c r="B2" s="94" t="s">
        <v>432</v>
      </c>
    </row>
    <row r="4" spans="2:6" ht="15.75" thickBot="1" x14ac:dyDescent="0.3">
      <c r="B4" s="606" t="s">
        <v>408</v>
      </c>
      <c r="C4" s="606" t="s">
        <v>409</v>
      </c>
      <c r="D4" s="608" t="s">
        <v>410</v>
      </c>
      <c r="E4" s="608"/>
      <c r="F4" s="608"/>
    </row>
    <row r="5" spans="2:6" ht="15.75" thickBot="1" x14ac:dyDescent="0.3">
      <c r="B5" s="607"/>
      <c r="C5" s="607"/>
      <c r="D5" s="181" t="s">
        <v>411</v>
      </c>
      <c r="E5" s="181" t="s">
        <v>412</v>
      </c>
      <c r="F5" s="181" t="s">
        <v>413</v>
      </c>
    </row>
    <row r="6" spans="2:6" x14ac:dyDescent="0.25">
      <c r="B6" s="228">
        <v>1</v>
      </c>
      <c r="C6" s="187" t="s">
        <v>414</v>
      </c>
      <c r="D6" s="184" t="s">
        <v>323</v>
      </c>
      <c r="E6" s="184" t="s">
        <v>323</v>
      </c>
      <c r="F6" s="186"/>
    </row>
    <row r="7" spans="2:6" x14ac:dyDescent="0.25">
      <c r="B7" s="229">
        <v>2</v>
      </c>
      <c r="C7" s="231" t="s">
        <v>415</v>
      </c>
      <c r="D7" s="185" t="s">
        <v>323</v>
      </c>
      <c r="E7" s="185" t="s">
        <v>323</v>
      </c>
      <c r="F7" s="232"/>
    </row>
    <row r="8" spans="2:6" x14ac:dyDescent="0.25">
      <c r="B8" s="228">
        <v>3</v>
      </c>
      <c r="C8" s="187" t="s">
        <v>416</v>
      </c>
      <c r="D8" s="184" t="s">
        <v>323</v>
      </c>
      <c r="E8" s="184" t="s">
        <v>323</v>
      </c>
      <c r="F8" s="184" t="s">
        <v>323</v>
      </c>
    </row>
    <row r="9" spans="2:6" x14ac:dyDescent="0.25">
      <c r="B9" s="229">
        <v>4</v>
      </c>
      <c r="C9" s="231" t="s">
        <v>417</v>
      </c>
      <c r="D9" s="185" t="s">
        <v>323</v>
      </c>
      <c r="E9" s="185" t="s">
        <v>323</v>
      </c>
      <c r="F9" s="185" t="s">
        <v>323</v>
      </c>
    </row>
    <row r="10" spans="2:6" x14ac:dyDescent="0.25">
      <c r="B10" s="228">
        <v>5</v>
      </c>
      <c r="C10" s="187" t="s">
        <v>418</v>
      </c>
      <c r="D10" s="184" t="s">
        <v>323</v>
      </c>
      <c r="E10" s="184" t="s">
        <v>323</v>
      </c>
      <c r="F10" s="186" t="s">
        <v>344</v>
      </c>
    </row>
    <row r="11" spans="2:6" x14ac:dyDescent="0.25">
      <c r="B11" s="229">
        <v>6</v>
      </c>
      <c r="C11" s="231" t="s">
        <v>419</v>
      </c>
      <c r="D11" s="185" t="s">
        <v>323</v>
      </c>
      <c r="E11" s="185" t="s">
        <v>323</v>
      </c>
      <c r="F11" s="232" t="s">
        <v>373</v>
      </c>
    </row>
    <row r="12" spans="2:6" x14ac:dyDescent="0.25">
      <c r="B12" s="228">
        <v>7</v>
      </c>
      <c r="C12" s="187" t="s">
        <v>420</v>
      </c>
      <c r="D12" s="184" t="s">
        <v>323</v>
      </c>
      <c r="E12" s="186"/>
      <c r="F12" s="186"/>
    </row>
    <row r="13" spans="2:6" x14ac:dyDescent="0.25">
      <c r="B13" s="229">
        <v>8</v>
      </c>
      <c r="C13" s="231" t="s">
        <v>421</v>
      </c>
      <c r="D13" s="185" t="s">
        <v>323</v>
      </c>
      <c r="E13" s="232"/>
      <c r="F13" s="232"/>
    </row>
    <row r="14" spans="2:6" x14ac:dyDescent="0.25">
      <c r="B14" s="228">
        <v>9</v>
      </c>
      <c r="C14" s="187" t="s">
        <v>422</v>
      </c>
      <c r="D14" s="186"/>
      <c r="E14" s="186" t="s">
        <v>45</v>
      </c>
      <c r="F14" s="186" t="s">
        <v>423</v>
      </c>
    </row>
    <row r="15" spans="2:6" x14ac:dyDescent="0.25">
      <c r="B15" s="229">
        <v>10</v>
      </c>
      <c r="C15" s="231" t="s">
        <v>6</v>
      </c>
      <c r="D15" s="185" t="s">
        <v>323</v>
      </c>
      <c r="E15" s="185" t="s">
        <v>323</v>
      </c>
      <c r="F15" s="232"/>
    </row>
    <row r="16" spans="2:6" x14ac:dyDescent="0.25">
      <c r="B16" s="228">
        <v>11</v>
      </c>
      <c r="C16" s="187" t="s">
        <v>424</v>
      </c>
      <c r="D16" s="186"/>
      <c r="E16" s="186"/>
      <c r="F16" s="186" t="s">
        <v>383</v>
      </c>
    </row>
    <row r="17" spans="2:6" x14ac:dyDescent="0.25">
      <c r="B17" s="229">
        <v>12</v>
      </c>
      <c r="C17" s="231" t="s">
        <v>425</v>
      </c>
      <c r="D17" s="185" t="s">
        <v>323</v>
      </c>
      <c r="E17" s="185" t="s">
        <v>323</v>
      </c>
      <c r="F17" s="232" t="s">
        <v>426</v>
      </c>
    </row>
    <row r="18" spans="2:6" x14ac:dyDescent="0.25">
      <c r="B18" s="228">
        <v>13</v>
      </c>
      <c r="C18" s="187" t="s">
        <v>427</v>
      </c>
      <c r="D18" s="184" t="s">
        <v>323</v>
      </c>
      <c r="E18" s="184" t="s">
        <v>323</v>
      </c>
      <c r="F18" s="186" t="s">
        <v>383</v>
      </c>
    </row>
    <row r="19" spans="2:6" x14ac:dyDescent="0.25">
      <c r="B19" s="229">
        <v>14</v>
      </c>
      <c r="C19" s="231" t="s">
        <v>428</v>
      </c>
      <c r="D19" s="232"/>
      <c r="E19" s="185" t="s">
        <v>323</v>
      </c>
      <c r="F19" s="232"/>
    </row>
    <row r="20" spans="2:6" x14ac:dyDescent="0.25">
      <c r="B20" s="228">
        <v>15</v>
      </c>
      <c r="C20" s="187" t="s">
        <v>429</v>
      </c>
      <c r="D20" s="186"/>
      <c r="E20" s="186" t="s">
        <v>45</v>
      </c>
      <c r="F20" s="186"/>
    </row>
    <row r="21" spans="2:6" x14ac:dyDescent="0.25">
      <c r="B21" s="229">
        <v>16</v>
      </c>
      <c r="C21" s="231" t="s">
        <v>430</v>
      </c>
      <c r="D21" s="232"/>
      <c r="E21" s="232" t="s">
        <v>45</v>
      </c>
      <c r="F21" s="232" t="s">
        <v>344</v>
      </c>
    </row>
    <row r="22" spans="2:6" x14ac:dyDescent="0.25">
      <c r="B22" s="228">
        <v>17</v>
      </c>
      <c r="C22" s="187" t="s">
        <v>431</v>
      </c>
      <c r="D22" s="183"/>
      <c r="E22" s="184" t="s">
        <v>323</v>
      </c>
      <c r="F22" s="183"/>
    </row>
  </sheetData>
  <mergeCells count="3">
    <mergeCell ref="B4:B5"/>
    <mergeCell ref="C4:C5"/>
    <mergeCell ref="D4:F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6116C-07AF-4A2A-AA5E-042BEA1C8DBB}">
  <dimension ref="A2:K309"/>
  <sheetViews>
    <sheetView topLeftCell="A127" zoomScaleNormal="100" workbookViewId="0">
      <selection activeCell="E291" sqref="E291"/>
    </sheetView>
  </sheetViews>
  <sheetFormatPr baseColWidth="10" defaultColWidth="11.42578125" defaultRowHeight="15" x14ac:dyDescent="0.35"/>
  <cols>
    <col min="1" max="1" width="3.42578125" style="235" bestFit="1" customWidth="1"/>
    <col min="2" max="2" width="57.42578125" style="236" bestFit="1" customWidth="1"/>
    <col min="3" max="3" width="15.5703125" style="236" bestFit="1" customWidth="1"/>
    <col min="4" max="4" width="14" style="236" bestFit="1" customWidth="1"/>
    <col min="5" max="5" width="13.5703125" style="236" bestFit="1" customWidth="1"/>
    <col min="6" max="6" width="16.140625" style="236" bestFit="1" customWidth="1"/>
    <col min="7" max="7" width="13.28515625" style="236" bestFit="1" customWidth="1"/>
    <col min="8" max="8" width="13.85546875" style="236" bestFit="1" customWidth="1"/>
    <col min="9" max="9" width="14" style="236" bestFit="1" customWidth="1"/>
    <col min="10" max="10" width="13.85546875" style="236" bestFit="1" customWidth="1"/>
    <col min="11" max="11" width="13.5703125" style="236" bestFit="1" customWidth="1"/>
    <col min="12" max="16384" width="11.42578125" style="236"/>
  </cols>
  <sheetData>
    <row r="2" spans="1:11" ht="15.75" thickBot="1" x14ac:dyDescent="0.4">
      <c r="A2" s="640" t="s">
        <v>433</v>
      </c>
      <c r="B2" s="653" t="s">
        <v>434</v>
      </c>
      <c r="C2" s="655" t="s">
        <v>435</v>
      </c>
      <c r="D2" s="656"/>
      <c r="E2" s="657"/>
      <c r="F2" s="655" t="s">
        <v>436</v>
      </c>
      <c r="G2" s="656"/>
      <c r="H2" s="657"/>
      <c r="I2" s="655" t="s">
        <v>437</v>
      </c>
      <c r="J2" s="656"/>
      <c r="K2" s="658"/>
    </row>
    <row r="3" spans="1:11" ht="15.75" thickBot="1" x14ac:dyDescent="0.4">
      <c r="A3" s="652"/>
      <c r="B3" s="654"/>
      <c r="C3" s="237" t="s">
        <v>438</v>
      </c>
      <c r="D3" s="237" t="s">
        <v>439</v>
      </c>
      <c r="E3" s="237" t="s">
        <v>440</v>
      </c>
      <c r="F3" s="237" t="s">
        <v>438</v>
      </c>
      <c r="G3" s="237" t="s">
        <v>439</v>
      </c>
      <c r="H3" s="237" t="s">
        <v>440</v>
      </c>
      <c r="I3" s="237" t="s">
        <v>438</v>
      </c>
      <c r="J3" s="237" t="s">
        <v>439</v>
      </c>
      <c r="K3" s="238" t="s">
        <v>440</v>
      </c>
    </row>
    <row r="4" spans="1:11" x14ac:dyDescent="0.35">
      <c r="A4" s="239">
        <v>1</v>
      </c>
      <c r="B4" s="240" t="s">
        <v>237</v>
      </c>
      <c r="C4" s="241">
        <v>552937032</v>
      </c>
      <c r="D4" s="241">
        <v>937684751</v>
      </c>
      <c r="E4" s="241">
        <v>-384747719</v>
      </c>
      <c r="F4" s="242">
        <v>390227886</v>
      </c>
      <c r="G4" s="242">
        <v>5000000</v>
      </c>
      <c r="H4" s="242">
        <v>385227886</v>
      </c>
      <c r="I4" s="241">
        <v>943164918</v>
      </c>
      <c r="J4" s="241">
        <v>942684751</v>
      </c>
      <c r="K4" s="241">
        <v>480167</v>
      </c>
    </row>
    <row r="5" spans="1:11" x14ac:dyDescent="0.35">
      <c r="A5" s="243">
        <v>2</v>
      </c>
      <c r="B5" s="244" t="s">
        <v>441</v>
      </c>
      <c r="C5" s="245">
        <v>149806504</v>
      </c>
      <c r="D5" s="245">
        <v>160065274</v>
      </c>
      <c r="E5" s="245">
        <v>-10258770</v>
      </c>
      <c r="F5" s="245">
        <v>31020126</v>
      </c>
      <c r="G5" s="245">
        <v>0</v>
      </c>
      <c r="H5" s="245">
        <v>31020126</v>
      </c>
      <c r="I5" s="245">
        <v>180826630</v>
      </c>
      <c r="J5" s="245">
        <v>160065274</v>
      </c>
      <c r="K5" s="245">
        <v>20761356</v>
      </c>
    </row>
    <row r="6" spans="1:11" x14ac:dyDescent="0.35">
      <c r="A6" s="239">
        <v>3</v>
      </c>
      <c r="B6" s="240" t="s">
        <v>442</v>
      </c>
      <c r="C6" s="241">
        <v>373391362</v>
      </c>
      <c r="D6" s="241">
        <v>7746007</v>
      </c>
      <c r="E6" s="241">
        <v>365645355</v>
      </c>
      <c r="F6" s="242">
        <v>0</v>
      </c>
      <c r="G6" s="241">
        <v>365645355</v>
      </c>
      <c r="H6" s="241">
        <v>-365645355</v>
      </c>
      <c r="I6" s="241">
        <v>373391362</v>
      </c>
      <c r="J6" s="241">
        <v>373391362</v>
      </c>
      <c r="K6" s="241">
        <v>0</v>
      </c>
    </row>
    <row r="7" spans="1:11" x14ac:dyDescent="0.35">
      <c r="A7" s="243">
        <v>4</v>
      </c>
      <c r="B7" s="244" t="s">
        <v>443</v>
      </c>
      <c r="C7" s="245">
        <v>451765896.34782606</v>
      </c>
      <c r="D7" s="245">
        <v>735429249</v>
      </c>
      <c r="E7" s="245">
        <v>-283663352.65217394</v>
      </c>
      <c r="F7" s="245">
        <v>340457696.39751565</v>
      </c>
      <c r="G7" s="245">
        <v>55727511.745341659</v>
      </c>
      <c r="H7" s="245">
        <v>284730184.652174</v>
      </c>
      <c r="I7" s="245">
        <v>792223592.74534178</v>
      </c>
      <c r="J7" s="245">
        <v>791156760.74534166</v>
      </c>
      <c r="K7" s="245">
        <v>1066832.0000001192</v>
      </c>
    </row>
    <row r="8" spans="1:11" x14ac:dyDescent="0.35">
      <c r="A8" s="239">
        <v>5</v>
      </c>
      <c r="B8" s="240" t="s">
        <v>444</v>
      </c>
      <c r="C8" s="241">
        <v>222739339.34782609</v>
      </c>
      <c r="D8" s="241">
        <v>216874671</v>
      </c>
      <c r="E8" s="241">
        <v>5864668.3478260934</v>
      </c>
      <c r="F8" s="241">
        <v>-7505248.3478260897</v>
      </c>
      <c r="G8" s="242">
        <v>1.1175870895385742E-8</v>
      </c>
      <c r="H8" s="241">
        <v>-7505248.3478261009</v>
      </c>
      <c r="I8" s="241">
        <v>215234091</v>
      </c>
      <c r="J8" s="241">
        <v>216874671</v>
      </c>
      <c r="K8" s="241">
        <v>-1640580</v>
      </c>
    </row>
    <row r="9" spans="1:11" x14ac:dyDescent="0.35">
      <c r="A9" s="243">
        <v>6</v>
      </c>
      <c r="B9" s="244" t="s">
        <v>445</v>
      </c>
      <c r="C9" s="245">
        <v>9651025609</v>
      </c>
      <c r="D9" s="245">
        <v>3801027709</v>
      </c>
      <c r="E9" s="245">
        <v>5849997900</v>
      </c>
      <c r="F9" s="245">
        <v>-808660960</v>
      </c>
      <c r="G9" s="245">
        <v>5081712710</v>
      </c>
      <c r="H9" s="245">
        <v>-5890373670</v>
      </c>
      <c r="I9" s="245">
        <v>8842364649</v>
      </c>
      <c r="J9" s="245">
        <v>8882740419</v>
      </c>
      <c r="K9" s="245">
        <v>-40375770</v>
      </c>
    </row>
    <row r="10" spans="1:11" x14ac:dyDescent="0.35">
      <c r="A10" s="239">
        <v>7</v>
      </c>
      <c r="B10" s="240" t="s">
        <v>446</v>
      </c>
      <c r="C10" s="241">
        <v>12844130833.347826</v>
      </c>
      <c r="D10" s="241">
        <v>13301428369.347826</v>
      </c>
      <c r="E10" s="241">
        <v>-457297536</v>
      </c>
      <c r="F10" s="242">
        <v>0</v>
      </c>
      <c r="G10" s="241">
        <v>0</v>
      </c>
      <c r="H10" s="241">
        <v>0</v>
      </c>
      <c r="I10" s="241">
        <v>12844130833.347826</v>
      </c>
      <c r="J10" s="241">
        <v>13301428369.347826</v>
      </c>
      <c r="K10" s="241">
        <v>-457297536</v>
      </c>
    </row>
    <row r="11" spans="1:11" x14ac:dyDescent="0.35">
      <c r="A11" s="246"/>
      <c r="B11" s="247" t="s">
        <v>447</v>
      </c>
      <c r="C11" s="248">
        <v>24245796576.04348</v>
      </c>
      <c r="D11" s="248">
        <v>19160256030.347824</v>
      </c>
      <c r="E11" s="248">
        <v>5085540545.695652</v>
      </c>
      <c r="F11" s="248">
        <v>-54460499.950310469</v>
      </c>
      <c r="G11" s="248">
        <v>5508085576.7453413</v>
      </c>
      <c r="H11" s="248">
        <v>-5562546076.695652</v>
      </c>
      <c r="I11" s="248">
        <v>24191336076.09317</v>
      </c>
      <c r="J11" s="248">
        <v>24668341607.09317</v>
      </c>
      <c r="K11" s="248">
        <v>-477005530.99999988</v>
      </c>
    </row>
    <row r="13" spans="1:11" ht="15.75" thickBot="1" x14ac:dyDescent="0.4">
      <c r="A13" s="640" t="s">
        <v>433</v>
      </c>
      <c r="B13" s="653" t="s">
        <v>434</v>
      </c>
      <c r="C13" s="655" t="s">
        <v>435</v>
      </c>
      <c r="D13" s="656"/>
      <c r="E13" s="657"/>
      <c r="F13" s="655" t="s">
        <v>436</v>
      </c>
      <c r="G13" s="656"/>
      <c r="H13" s="657"/>
      <c r="I13" s="655" t="s">
        <v>437</v>
      </c>
      <c r="J13" s="656"/>
      <c r="K13" s="658"/>
    </row>
    <row r="14" spans="1:11" ht="15.75" thickBot="1" x14ac:dyDescent="0.4">
      <c r="A14" s="652"/>
      <c r="B14" s="654"/>
      <c r="C14" s="249" t="s">
        <v>438</v>
      </c>
      <c r="D14" s="237" t="s">
        <v>439</v>
      </c>
      <c r="E14" s="237" t="s">
        <v>440</v>
      </c>
      <c r="F14" s="237" t="s">
        <v>438</v>
      </c>
      <c r="G14" s="237" t="s">
        <v>439</v>
      </c>
      <c r="H14" s="237" t="s">
        <v>440</v>
      </c>
      <c r="I14" s="237" t="s">
        <v>438</v>
      </c>
      <c r="J14" s="237" t="s">
        <v>439</v>
      </c>
      <c r="K14" s="238" t="s">
        <v>440</v>
      </c>
    </row>
    <row r="15" spans="1:11" x14ac:dyDescent="0.35">
      <c r="A15" s="268">
        <v>1</v>
      </c>
      <c r="B15" s="259" t="s">
        <v>448</v>
      </c>
      <c r="C15" s="269">
        <v>5528324</v>
      </c>
      <c r="D15" s="269">
        <v>7621498</v>
      </c>
      <c r="E15" s="269">
        <v>-2093174</v>
      </c>
      <c r="F15" s="269">
        <v>3024933</v>
      </c>
      <c r="G15" s="269">
        <v>931759</v>
      </c>
      <c r="H15" s="269">
        <v>2093174</v>
      </c>
      <c r="I15" s="269">
        <v>8553257</v>
      </c>
      <c r="J15" s="269">
        <v>8553257</v>
      </c>
      <c r="K15" s="269">
        <v>0</v>
      </c>
    </row>
    <row r="16" spans="1:11" x14ac:dyDescent="0.35">
      <c r="A16" s="270">
        <v>2</v>
      </c>
      <c r="B16" s="266" t="s">
        <v>449</v>
      </c>
      <c r="C16" s="271">
        <v>52024123479.5</v>
      </c>
      <c r="D16" s="271">
        <v>49106790432</v>
      </c>
      <c r="E16" s="271">
        <v>2917333047.5</v>
      </c>
      <c r="F16" s="271">
        <v>-2642756289</v>
      </c>
      <c r="G16" s="271">
        <v>316093186</v>
      </c>
      <c r="H16" s="271">
        <v>-2958849475</v>
      </c>
      <c r="I16" s="271">
        <v>49381367190.5</v>
      </c>
      <c r="J16" s="271">
        <v>49422883618</v>
      </c>
      <c r="K16" s="271">
        <v>-41516427.5</v>
      </c>
    </row>
    <row r="17" spans="1:11" x14ac:dyDescent="0.35">
      <c r="A17" s="268">
        <v>3</v>
      </c>
      <c r="B17" s="259" t="s">
        <v>450</v>
      </c>
      <c r="C17" s="269">
        <v>85421743480.562286</v>
      </c>
      <c r="D17" s="269">
        <v>40660194565</v>
      </c>
      <c r="E17" s="269">
        <v>44761548915.562286</v>
      </c>
      <c r="F17" s="269">
        <v>-6059324021</v>
      </c>
      <c r="G17" s="269">
        <v>38702106907</v>
      </c>
      <c r="H17" s="269">
        <v>-44761430928</v>
      </c>
      <c r="I17" s="269">
        <v>79362419459.562286</v>
      </c>
      <c r="J17" s="269">
        <v>79362301472</v>
      </c>
      <c r="K17" s="269">
        <v>117987.56228637695</v>
      </c>
    </row>
    <row r="18" spans="1:11" x14ac:dyDescent="0.35">
      <c r="A18" s="270">
        <v>4</v>
      </c>
      <c r="B18" s="266" t="s">
        <v>451</v>
      </c>
      <c r="C18" s="271">
        <v>31661391964</v>
      </c>
      <c r="D18" s="271">
        <v>31704059733</v>
      </c>
      <c r="E18" s="271">
        <v>-42667769</v>
      </c>
      <c r="F18" s="271">
        <v>0</v>
      </c>
      <c r="G18" s="271">
        <v>-23117510</v>
      </c>
      <c r="H18" s="271">
        <v>23117510</v>
      </c>
      <c r="I18" s="271">
        <v>31661391964</v>
      </c>
      <c r="J18" s="271">
        <v>31680942223</v>
      </c>
      <c r="K18" s="271">
        <v>-19550259</v>
      </c>
    </row>
    <row r="19" spans="1:11" x14ac:dyDescent="0.35">
      <c r="A19" s="268">
        <v>5</v>
      </c>
      <c r="B19" s="259" t="s">
        <v>452</v>
      </c>
      <c r="C19" s="269">
        <v>19955765026.439999</v>
      </c>
      <c r="D19" s="269">
        <v>12269088080</v>
      </c>
      <c r="E19" s="269">
        <v>7686676946.4399986</v>
      </c>
      <c r="F19" s="269">
        <v>15366843</v>
      </c>
      <c r="G19" s="269">
        <v>6726086726</v>
      </c>
      <c r="H19" s="269">
        <v>-6710719883</v>
      </c>
      <c r="I19" s="269">
        <v>19971131869.439999</v>
      </c>
      <c r="J19" s="269">
        <v>18995174806</v>
      </c>
      <c r="K19" s="269">
        <v>975957063.43999863</v>
      </c>
    </row>
    <row r="20" spans="1:11" x14ac:dyDescent="0.35">
      <c r="A20" s="270">
        <v>6</v>
      </c>
      <c r="B20" s="266" t="s">
        <v>453</v>
      </c>
      <c r="C20" s="271">
        <v>218115160</v>
      </c>
      <c r="D20" s="271">
        <v>335191130</v>
      </c>
      <c r="E20" s="271">
        <v>-117075970</v>
      </c>
      <c r="F20" s="271">
        <v>191421556</v>
      </c>
      <c r="G20" s="271">
        <v>74148912</v>
      </c>
      <c r="H20" s="271">
        <v>117272644</v>
      </c>
      <c r="I20" s="271">
        <v>409536716</v>
      </c>
      <c r="J20" s="271">
        <v>409340042</v>
      </c>
      <c r="K20" s="271">
        <v>196674</v>
      </c>
    </row>
    <row r="21" spans="1:11" x14ac:dyDescent="0.35">
      <c r="A21" s="268">
        <v>7</v>
      </c>
      <c r="B21" s="259" t="s">
        <v>454</v>
      </c>
      <c r="C21" s="269">
        <v>6382723361</v>
      </c>
      <c r="D21" s="269">
        <v>6388857518</v>
      </c>
      <c r="E21" s="269">
        <v>-6134157</v>
      </c>
      <c r="F21" s="269">
        <v>0</v>
      </c>
      <c r="G21" s="269">
        <v>-6134157</v>
      </c>
      <c r="H21" s="269">
        <v>6134157</v>
      </c>
      <c r="I21" s="269">
        <v>6382723361</v>
      </c>
      <c r="J21" s="269">
        <v>6382723361</v>
      </c>
      <c r="K21" s="269">
        <v>0</v>
      </c>
    </row>
    <row r="22" spans="1:11" x14ac:dyDescent="0.35">
      <c r="A22" s="270">
        <v>8</v>
      </c>
      <c r="B22" s="266" t="s">
        <v>455</v>
      </c>
      <c r="C22" s="271">
        <v>6129957979</v>
      </c>
      <c r="D22" s="271">
        <v>15639205418</v>
      </c>
      <c r="E22" s="271">
        <v>-9509247439</v>
      </c>
      <c r="F22" s="271">
        <v>9499046778</v>
      </c>
      <c r="G22" s="271">
        <v>-2853190</v>
      </c>
      <c r="H22" s="271">
        <v>9501899968</v>
      </c>
      <c r="I22" s="271">
        <v>15629004757</v>
      </c>
      <c r="J22" s="271">
        <v>15636352228</v>
      </c>
      <c r="K22" s="271">
        <v>-7347471</v>
      </c>
    </row>
    <row r="23" spans="1:11" x14ac:dyDescent="0.35">
      <c r="A23" s="268">
        <v>9</v>
      </c>
      <c r="B23" s="259" t="s">
        <v>278</v>
      </c>
      <c r="C23" s="269">
        <v>18610092871.496422</v>
      </c>
      <c r="D23" s="269">
        <v>15419459619</v>
      </c>
      <c r="E23" s="269">
        <v>3190633252.4964218</v>
      </c>
      <c r="F23" s="269">
        <v>-521574899.03641987</v>
      </c>
      <c r="G23" s="269">
        <v>2691847671</v>
      </c>
      <c r="H23" s="269">
        <v>-3213422570.0364199</v>
      </c>
      <c r="I23" s="269">
        <v>18088517972.460003</v>
      </c>
      <c r="J23" s="269">
        <v>18111307290</v>
      </c>
      <c r="K23" s="269">
        <v>-22789317.539997101</v>
      </c>
    </row>
    <row r="24" spans="1:11" x14ac:dyDescent="0.35">
      <c r="A24" s="270">
        <v>10</v>
      </c>
      <c r="B24" s="266" t="s">
        <v>456</v>
      </c>
      <c r="C24" s="271">
        <v>1523964126</v>
      </c>
      <c r="D24" s="271">
        <v>1781756448</v>
      </c>
      <c r="E24" s="271">
        <v>-257792322</v>
      </c>
      <c r="F24" s="271">
        <v>297975556</v>
      </c>
      <c r="G24" s="271">
        <v>40363236</v>
      </c>
      <c r="H24" s="271">
        <v>257612320</v>
      </c>
      <c r="I24" s="271">
        <v>1821939682</v>
      </c>
      <c r="J24" s="271">
        <v>1822119684</v>
      </c>
      <c r="K24" s="271">
        <v>-180002</v>
      </c>
    </row>
    <row r="25" spans="1:11" x14ac:dyDescent="0.35">
      <c r="A25" s="268">
        <v>11</v>
      </c>
      <c r="B25" s="259" t="s">
        <v>457</v>
      </c>
      <c r="C25" s="269">
        <v>0</v>
      </c>
      <c r="D25" s="269">
        <v>10063169</v>
      </c>
      <c r="E25" s="269">
        <v>-10063169</v>
      </c>
      <c r="F25" s="269">
        <v>0</v>
      </c>
      <c r="G25" s="269">
        <v>0</v>
      </c>
      <c r="H25" s="269">
        <v>0</v>
      </c>
      <c r="I25" s="269">
        <v>0</v>
      </c>
      <c r="J25" s="269">
        <v>10063169</v>
      </c>
      <c r="K25" s="269">
        <v>-10063169</v>
      </c>
    </row>
    <row r="26" spans="1:11" x14ac:dyDescent="0.35">
      <c r="A26" s="270">
        <v>12</v>
      </c>
      <c r="B26" s="266" t="s">
        <v>458</v>
      </c>
      <c r="C26" s="271">
        <v>664893351</v>
      </c>
      <c r="D26" s="271">
        <v>179806005</v>
      </c>
      <c r="E26" s="271">
        <v>485087346</v>
      </c>
      <c r="F26" s="271">
        <v>14690000</v>
      </c>
      <c r="G26" s="271">
        <v>485015831</v>
      </c>
      <c r="H26" s="271">
        <v>-470325831</v>
      </c>
      <c r="I26" s="271">
        <v>679583351</v>
      </c>
      <c r="J26" s="271">
        <v>664821836</v>
      </c>
      <c r="K26" s="271">
        <v>14761515</v>
      </c>
    </row>
    <row r="27" spans="1:11" x14ac:dyDescent="0.35">
      <c r="A27" s="268">
        <v>13</v>
      </c>
      <c r="B27" s="259" t="s">
        <v>459</v>
      </c>
      <c r="C27" s="269">
        <v>5146322</v>
      </c>
      <c r="D27" s="269">
        <v>11437772</v>
      </c>
      <c r="E27" s="269">
        <v>-6291450</v>
      </c>
      <c r="F27" s="269">
        <v>10159532</v>
      </c>
      <c r="G27" s="269">
        <v>3868082</v>
      </c>
      <c r="H27" s="269">
        <v>6291450</v>
      </c>
      <c r="I27" s="269">
        <v>15305854</v>
      </c>
      <c r="J27" s="269">
        <v>15305854</v>
      </c>
      <c r="K27" s="269">
        <v>0</v>
      </c>
    </row>
    <row r="28" spans="1:11" x14ac:dyDescent="0.35">
      <c r="A28" s="270">
        <v>14</v>
      </c>
      <c r="B28" s="266" t="s">
        <v>460</v>
      </c>
      <c r="C28" s="271">
        <v>183952376</v>
      </c>
      <c r="D28" s="271">
        <v>757170445</v>
      </c>
      <c r="E28" s="271">
        <v>-573218069</v>
      </c>
      <c r="F28" s="271">
        <v>554685525</v>
      </c>
      <c r="G28" s="271">
        <v>-1429805</v>
      </c>
      <c r="H28" s="271">
        <v>556115330</v>
      </c>
      <c r="I28" s="271">
        <v>738637901</v>
      </c>
      <c r="J28" s="271">
        <v>755740640</v>
      </c>
      <c r="K28" s="271">
        <v>-17102739</v>
      </c>
    </row>
    <row r="29" spans="1:11" x14ac:dyDescent="0.35">
      <c r="A29" s="268">
        <v>15</v>
      </c>
      <c r="B29" s="259" t="s">
        <v>461</v>
      </c>
      <c r="C29" s="269">
        <v>485577493</v>
      </c>
      <c r="D29" s="269">
        <v>467061297</v>
      </c>
      <c r="E29" s="269">
        <v>18516196</v>
      </c>
      <c r="F29" s="269">
        <v>2890000</v>
      </c>
      <c r="G29" s="269">
        <v>20752971</v>
      </c>
      <c r="H29" s="269">
        <v>-17862971</v>
      </c>
      <c r="I29" s="269">
        <v>488467493</v>
      </c>
      <c r="J29" s="269">
        <v>487814268</v>
      </c>
      <c r="K29" s="269">
        <v>653225</v>
      </c>
    </row>
    <row r="30" spans="1:11" x14ac:dyDescent="0.35">
      <c r="A30" s="270">
        <v>16</v>
      </c>
      <c r="B30" s="266" t="s">
        <v>462</v>
      </c>
      <c r="C30" s="271">
        <v>372333428</v>
      </c>
      <c r="D30" s="271">
        <v>345294769</v>
      </c>
      <c r="E30" s="271">
        <v>27038659</v>
      </c>
      <c r="F30" s="271">
        <v>7245840</v>
      </c>
      <c r="G30" s="271">
        <v>34284499</v>
      </c>
      <c r="H30" s="271">
        <v>-27038659</v>
      </c>
      <c r="I30" s="271">
        <v>379579268</v>
      </c>
      <c r="J30" s="271">
        <v>379579268</v>
      </c>
      <c r="K30" s="271">
        <v>0</v>
      </c>
    </row>
    <row r="31" spans="1:11" x14ac:dyDescent="0.35">
      <c r="A31" s="268">
        <v>17</v>
      </c>
      <c r="B31" s="259" t="s">
        <v>463</v>
      </c>
      <c r="C31" s="269">
        <v>324186996</v>
      </c>
      <c r="D31" s="269">
        <v>83191250</v>
      </c>
      <c r="E31" s="269">
        <v>240995746</v>
      </c>
      <c r="F31" s="269">
        <v>-13924709</v>
      </c>
      <c r="G31" s="269">
        <v>227471037</v>
      </c>
      <c r="H31" s="269">
        <v>-241395746</v>
      </c>
      <c r="I31" s="269">
        <v>310262287</v>
      </c>
      <c r="J31" s="269">
        <v>310662287</v>
      </c>
      <c r="K31" s="269">
        <v>-400000</v>
      </c>
    </row>
    <row r="32" spans="1:11" x14ac:dyDescent="0.35">
      <c r="A32" s="270">
        <v>18</v>
      </c>
      <c r="B32" s="266" t="s">
        <v>464</v>
      </c>
      <c r="C32" s="271">
        <v>4997998314</v>
      </c>
      <c r="D32" s="271">
        <v>332453327</v>
      </c>
      <c r="E32" s="271">
        <v>4665544987</v>
      </c>
      <c r="F32" s="271">
        <v>-4566607218</v>
      </c>
      <c r="G32" s="271">
        <v>99272248</v>
      </c>
      <c r="H32" s="271">
        <v>-4665879466</v>
      </c>
      <c r="I32" s="271">
        <v>431391096</v>
      </c>
      <c r="J32" s="271">
        <v>431725575</v>
      </c>
      <c r="K32" s="271">
        <v>-334479</v>
      </c>
    </row>
    <row r="33" spans="1:11" x14ac:dyDescent="0.35">
      <c r="A33" s="268">
        <v>19</v>
      </c>
      <c r="B33" s="259" t="s">
        <v>465</v>
      </c>
      <c r="C33" s="269">
        <v>0</v>
      </c>
      <c r="D33" s="269">
        <v>71068544</v>
      </c>
      <c r="E33" s="269">
        <v>-71068544</v>
      </c>
      <c r="F33" s="269">
        <v>0</v>
      </c>
      <c r="G33" s="269">
        <v>0</v>
      </c>
      <c r="H33" s="269">
        <v>0</v>
      </c>
      <c r="I33" s="269">
        <v>0</v>
      </c>
      <c r="J33" s="269">
        <v>71068544</v>
      </c>
      <c r="K33" s="269">
        <v>-71068544</v>
      </c>
    </row>
    <row r="34" spans="1:11" x14ac:dyDescent="0.35">
      <c r="A34" s="270">
        <v>20</v>
      </c>
      <c r="B34" s="266" t="s">
        <v>466</v>
      </c>
      <c r="C34" s="271">
        <v>3348315816</v>
      </c>
      <c r="D34" s="271">
        <v>3865975635</v>
      </c>
      <c r="E34" s="271">
        <v>-517659819</v>
      </c>
      <c r="F34" s="271">
        <v>208743905</v>
      </c>
      <c r="G34" s="271">
        <v>-20342615</v>
      </c>
      <c r="H34" s="271">
        <v>229086520</v>
      </c>
      <c r="I34" s="271">
        <v>3557059721</v>
      </c>
      <c r="J34" s="271">
        <v>3845633020</v>
      </c>
      <c r="K34" s="271">
        <v>-288573299</v>
      </c>
    </row>
    <row r="35" spans="1:11" x14ac:dyDescent="0.35">
      <c r="A35" s="268">
        <v>21</v>
      </c>
      <c r="B35" s="259" t="s">
        <v>467</v>
      </c>
      <c r="C35" s="269">
        <v>2835752852</v>
      </c>
      <c r="D35" s="269">
        <v>3213497028</v>
      </c>
      <c r="E35" s="269">
        <v>-377744176</v>
      </c>
      <c r="F35" s="269">
        <v>297461464</v>
      </c>
      <c r="G35" s="269">
        <v>331364301</v>
      </c>
      <c r="H35" s="269">
        <v>-33902837</v>
      </c>
      <c r="I35" s="269">
        <v>3133214316</v>
      </c>
      <c r="J35" s="269">
        <v>3544861329</v>
      </c>
      <c r="K35" s="269">
        <v>-411647013</v>
      </c>
    </row>
    <row r="36" spans="1:11" x14ac:dyDescent="0.35">
      <c r="A36" s="270">
        <v>22</v>
      </c>
      <c r="B36" s="266" t="s">
        <v>468</v>
      </c>
      <c r="C36" s="271">
        <v>0</v>
      </c>
      <c r="D36" s="271">
        <v>90533438</v>
      </c>
      <c r="E36" s="271">
        <v>-90533438</v>
      </c>
      <c r="F36" s="271">
        <v>0</v>
      </c>
      <c r="G36" s="271">
        <v>0</v>
      </c>
      <c r="H36" s="271">
        <v>0</v>
      </c>
      <c r="I36" s="271">
        <v>0</v>
      </c>
      <c r="J36" s="271">
        <v>90533438</v>
      </c>
      <c r="K36" s="271">
        <v>-90533438</v>
      </c>
    </row>
    <row r="37" spans="1:11" x14ac:dyDescent="0.35">
      <c r="A37" s="246"/>
      <c r="B37" s="247" t="s">
        <v>447</v>
      </c>
      <c r="C37" s="248">
        <v>235151562719.99872</v>
      </c>
      <c r="D37" s="248">
        <v>182739777120</v>
      </c>
      <c r="E37" s="248">
        <v>52411785599.998711</v>
      </c>
      <c r="F37" s="248">
        <v>-2701475204.0364199</v>
      </c>
      <c r="G37" s="248">
        <v>49699730089</v>
      </c>
      <c r="H37" s="248">
        <v>-52401205293.036423</v>
      </c>
      <c r="I37" s="248">
        <v>232450087515.96228</v>
      </c>
      <c r="J37" s="248">
        <v>232439507209</v>
      </c>
      <c r="K37" s="248">
        <v>10580306.962287903</v>
      </c>
    </row>
    <row r="40" spans="1:11" x14ac:dyDescent="0.35">
      <c r="A40" s="645" t="s">
        <v>233</v>
      </c>
      <c r="B40" s="647" t="s">
        <v>469</v>
      </c>
      <c r="C40" s="649" t="s">
        <v>435</v>
      </c>
      <c r="D40" s="650"/>
      <c r="E40" s="650"/>
      <c r="F40" s="650" t="s">
        <v>436</v>
      </c>
      <c r="G40" s="650"/>
      <c r="H40" s="650"/>
      <c r="I40" s="650" t="s">
        <v>437</v>
      </c>
      <c r="J40" s="650"/>
      <c r="K40" s="651"/>
    </row>
    <row r="41" spans="1:11" ht="15.75" thickBot="1" x14ac:dyDescent="0.4">
      <c r="A41" s="646"/>
      <c r="B41" s="648"/>
      <c r="C41" s="252" t="s">
        <v>438</v>
      </c>
      <c r="D41" s="253" t="s">
        <v>439</v>
      </c>
      <c r="E41" s="253" t="s">
        <v>440</v>
      </c>
      <c r="F41" s="253" t="s">
        <v>438</v>
      </c>
      <c r="G41" s="253" t="s">
        <v>439</v>
      </c>
      <c r="H41" s="253" t="s">
        <v>440</v>
      </c>
      <c r="I41" s="253" t="s">
        <v>438</v>
      </c>
      <c r="J41" s="253" t="s">
        <v>439</v>
      </c>
      <c r="K41" s="254" t="s">
        <v>440</v>
      </c>
    </row>
    <row r="42" spans="1:11" x14ac:dyDescent="0.35">
      <c r="A42" s="255"/>
      <c r="B42" s="256" t="s">
        <v>45</v>
      </c>
      <c r="C42" s="257">
        <v>1407294285.0434783</v>
      </c>
      <c r="D42" s="257">
        <v>1260436133.347826</v>
      </c>
      <c r="E42" s="257">
        <v>146858151.69565225</v>
      </c>
      <c r="F42" s="257">
        <v>-91082399.950310469</v>
      </c>
      <c r="G42" s="257">
        <v>55775751.745341666</v>
      </c>
      <c r="H42" s="257">
        <v>-146858151.69565213</v>
      </c>
      <c r="I42" s="257">
        <v>1316211885.0931678</v>
      </c>
      <c r="J42" s="257">
        <v>1316211885.0931678</v>
      </c>
      <c r="K42" s="257">
        <v>0</v>
      </c>
    </row>
    <row r="43" spans="1:11" x14ac:dyDescent="0.35">
      <c r="A43" s="268">
        <v>9</v>
      </c>
      <c r="B43" s="259" t="s">
        <v>474</v>
      </c>
      <c r="C43" s="269">
        <v>394758000</v>
      </c>
      <c r="D43" s="269">
        <v>0</v>
      </c>
      <c r="E43" s="269">
        <v>394758000</v>
      </c>
      <c r="F43" s="269">
        <v>-394758000</v>
      </c>
      <c r="G43" s="269">
        <v>0</v>
      </c>
      <c r="H43" s="269">
        <v>-394758000</v>
      </c>
      <c r="I43" s="269">
        <v>0</v>
      </c>
      <c r="J43" s="269">
        <v>0</v>
      </c>
      <c r="K43" s="269">
        <v>0</v>
      </c>
    </row>
    <row r="44" spans="1:11" x14ac:dyDescent="0.35">
      <c r="A44" s="270">
        <v>10</v>
      </c>
      <c r="B44" s="266" t="s">
        <v>53</v>
      </c>
      <c r="C44" s="271">
        <v>574534161.49068332</v>
      </c>
      <c r="D44" s="271">
        <v>506084555.90062112</v>
      </c>
      <c r="E44" s="271">
        <v>68449605.590062201</v>
      </c>
      <c r="F44" s="271">
        <v>-99505506.211180091</v>
      </c>
      <c r="G44" s="271">
        <v>-31055900.621118002</v>
      </c>
      <c r="H44" s="271">
        <v>-68449605.590062082</v>
      </c>
      <c r="I44" s="271">
        <v>475028655.27950323</v>
      </c>
      <c r="J44" s="271">
        <v>475028655.27950311</v>
      </c>
      <c r="K44" s="271">
        <v>0</v>
      </c>
    </row>
    <row r="45" spans="1:11" x14ac:dyDescent="0.35">
      <c r="A45" s="258">
        <v>13</v>
      </c>
      <c r="B45" s="259" t="s">
        <v>52</v>
      </c>
      <c r="C45" s="260">
        <v>438002123.55279499</v>
      </c>
      <c r="D45" s="260">
        <v>754351577.44720495</v>
      </c>
      <c r="E45" s="260">
        <v>-316349453.89440995</v>
      </c>
      <c r="F45" s="260">
        <v>403181106.26086962</v>
      </c>
      <c r="G45" s="260">
        <v>86831652.366459668</v>
      </c>
      <c r="H45" s="260">
        <v>316349453.89440995</v>
      </c>
      <c r="I45" s="260">
        <v>841183229.81366467</v>
      </c>
      <c r="J45" s="260">
        <v>841183229.81366467</v>
      </c>
      <c r="K45" s="260">
        <v>0</v>
      </c>
    </row>
    <row r="46" spans="1:11" x14ac:dyDescent="0.35">
      <c r="A46" s="255"/>
      <c r="B46" s="256" t="s">
        <v>383</v>
      </c>
      <c r="C46" s="257">
        <v>900000</v>
      </c>
      <c r="D46" s="257">
        <v>0</v>
      </c>
      <c r="E46" s="257">
        <v>900000</v>
      </c>
      <c r="F46" s="257">
        <v>0</v>
      </c>
      <c r="G46" s="257">
        <v>0</v>
      </c>
      <c r="H46" s="257">
        <v>0</v>
      </c>
      <c r="I46" s="257">
        <v>900000</v>
      </c>
      <c r="J46" s="257">
        <v>0</v>
      </c>
      <c r="K46" s="257">
        <v>900000</v>
      </c>
    </row>
    <row r="47" spans="1:11" x14ac:dyDescent="0.35">
      <c r="A47" s="243">
        <v>26</v>
      </c>
      <c r="B47" s="261" t="s">
        <v>479</v>
      </c>
      <c r="C47" s="262">
        <v>900000</v>
      </c>
      <c r="D47" s="262">
        <v>0</v>
      </c>
      <c r="E47" s="262">
        <v>900000</v>
      </c>
      <c r="F47" s="262">
        <v>0</v>
      </c>
      <c r="G47" s="262">
        <v>0</v>
      </c>
      <c r="H47" s="262">
        <v>0</v>
      </c>
      <c r="I47" s="262">
        <v>900000</v>
      </c>
      <c r="J47" s="262">
        <v>0</v>
      </c>
      <c r="K47" s="262">
        <v>900000</v>
      </c>
    </row>
    <row r="48" spans="1:11" x14ac:dyDescent="0.35">
      <c r="A48" s="255"/>
      <c r="B48" s="256" t="s">
        <v>357</v>
      </c>
      <c r="C48" s="257">
        <v>17811091280</v>
      </c>
      <c r="D48" s="257">
        <v>12368302674</v>
      </c>
      <c r="E48" s="257">
        <v>5442788606</v>
      </c>
      <c r="F48" s="257">
        <v>-71740775</v>
      </c>
      <c r="G48" s="257">
        <v>5370677632</v>
      </c>
      <c r="H48" s="257">
        <v>-5442418407</v>
      </c>
      <c r="I48" s="257">
        <v>17739350505</v>
      </c>
      <c r="J48" s="257">
        <v>17738980306</v>
      </c>
      <c r="K48" s="257">
        <v>370199</v>
      </c>
    </row>
    <row r="49" spans="1:11" x14ac:dyDescent="0.35">
      <c r="A49" s="268">
        <v>27</v>
      </c>
      <c r="B49" s="259" t="s">
        <v>358</v>
      </c>
      <c r="C49" s="269">
        <v>13822673</v>
      </c>
      <c r="D49" s="269">
        <v>493304596</v>
      </c>
      <c r="E49" s="269">
        <v>-479481923</v>
      </c>
      <c r="F49" s="269">
        <v>479481923</v>
      </c>
      <c r="G49" s="269">
        <v>-314518</v>
      </c>
      <c r="H49" s="269">
        <v>479796441</v>
      </c>
      <c r="I49" s="269">
        <v>493304596</v>
      </c>
      <c r="J49" s="269">
        <v>492990078</v>
      </c>
      <c r="K49" s="269">
        <v>314518</v>
      </c>
    </row>
    <row r="50" spans="1:11" x14ac:dyDescent="0.35">
      <c r="A50" s="270">
        <v>28</v>
      </c>
      <c r="B50" s="266" t="s">
        <v>359</v>
      </c>
      <c r="C50" s="271">
        <v>6572262749</v>
      </c>
      <c r="D50" s="271">
        <v>6285934715</v>
      </c>
      <c r="E50" s="271">
        <v>286328034</v>
      </c>
      <c r="F50" s="271">
        <v>3039376</v>
      </c>
      <c r="G50" s="271">
        <v>289202463</v>
      </c>
      <c r="H50" s="271">
        <v>-286163087</v>
      </c>
      <c r="I50" s="271">
        <v>6575302125</v>
      </c>
      <c r="J50" s="271">
        <v>6575137178</v>
      </c>
      <c r="K50" s="271">
        <v>164947</v>
      </c>
    </row>
    <row r="51" spans="1:11" x14ac:dyDescent="0.35">
      <c r="A51" s="268">
        <v>29</v>
      </c>
      <c r="B51" s="259" t="s">
        <v>360</v>
      </c>
      <c r="C51" s="269">
        <v>269602322</v>
      </c>
      <c r="D51" s="269">
        <v>0</v>
      </c>
      <c r="E51" s="269">
        <v>269602322</v>
      </c>
      <c r="F51" s="269">
        <v>-184342163</v>
      </c>
      <c r="G51" s="269">
        <v>85260159</v>
      </c>
      <c r="H51" s="269">
        <v>-269602322</v>
      </c>
      <c r="I51" s="269">
        <v>85260159</v>
      </c>
      <c r="J51" s="269">
        <v>85260159</v>
      </c>
      <c r="K51" s="269">
        <v>0</v>
      </c>
    </row>
    <row r="52" spans="1:11" x14ac:dyDescent="0.35">
      <c r="A52" s="270">
        <v>30</v>
      </c>
      <c r="B52" s="266" t="s">
        <v>361</v>
      </c>
      <c r="C52" s="271">
        <v>5000000</v>
      </c>
      <c r="D52" s="271">
        <v>3500000</v>
      </c>
      <c r="E52" s="271">
        <v>1500000</v>
      </c>
      <c r="F52" s="271">
        <v>2500000</v>
      </c>
      <c r="G52" s="271">
        <v>4000000</v>
      </c>
      <c r="H52" s="271">
        <v>-1500000</v>
      </c>
      <c r="I52" s="271">
        <v>7500000</v>
      </c>
      <c r="J52" s="271">
        <v>7500000</v>
      </c>
      <c r="K52" s="271">
        <v>0</v>
      </c>
    </row>
    <row r="53" spans="1:11" x14ac:dyDescent="0.35">
      <c r="A53" s="268">
        <v>32</v>
      </c>
      <c r="B53" s="259" t="s">
        <v>363</v>
      </c>
      <c r="C53" s="269">
        <v>5505610688</v>
      </c>
      <c r="D53" s="269">
        <v>5520972786</v>
      </c>
      <c r="E53" s="269">
        <v>-15362098</v>
      </c>
      <c r="F53" s="269">
        <v>15000000</v>
      </c>
      <c r="G53" s="269">
        <v>-262098</v>
      </c>
      <c r="H53" s="269">
        <v>15262098</v>
      </c>
      <c r="I53" s="269">
        <v>5520610688</v>
      </c>
      <c r="J53" s="269">
        <v>5520710688</v>
      </c>
      <c r="K53" s="269">
        <v>-100000</v>
      </c>
    </row>
    <row r="54" spans="1:11" x14ac:dyDescent="0.35">
      <c r="A54" s="270">
        <v>34</v>
      </c>
      <c r="B54" s="266" t="s">
        <v>365</v>
      </c>
      <c r="C54" s="271">
        <v>5418603366</v>
      </c>
      <c r="D54" s="271">
        <v>29625282</v>
      </c>
      <c r="E54" s="271">
        <v>5388978084</v>
      </c>
      <c r="F54" s="271">
        <v>-387739788</v>
      </c>
      <c r="G54" s="271">
        <v>5001238298</v>
      </c>
      <c r="H54" s="271">
        <v>-5388978086</v>
      </c>
      <c r="I54" s="271">
        <v>5030863578</v>
      </c>
      <c r="J54" s="271">
        <v>5030863580</v>
      </c>
      <c r="K54" s="271">
        <v>-2</v>
      </c>
    </row>
    <row r="55" spans="1:11" x14ac:dyDescent="0.35">
      <c r="A55" s="268">
        <v>35</v>
      </c>
      <c r="B55" s="259" t="s">
        <v>366</v>
      </c>
      <c r="C55" s="269">
        <v>19565902</v>
      </c>
      <c r="D55" s="269">
        <v>21455996</v>
      </c>
      <c r="E55" s="269">
        <v>-1890094</v>
      </c>
      <c r="F55" s="269">
        <v>-4680123</v>
      </c>
      <c r="G55" s="269">
        <v>-6560953</v>
      </c>
      <c r="H55" s="269">
        <v>1880830</v>
      </c>
      <c r="I55" s="269">
        <v>14885779</v>
      </c>
      <c r="J55" s="269">
        <v>14895043</v>
      </c>
      <c r="K55" s="269">
        <v>-9264</v>
      </c>
    </row>
    <row r="56" spans="1:11" x14ac:dyDescent="0.35">
      <c r="A56" s="270">
        <v>39</v>
      </c>
      <c r="B56" s="266" t="s">
        <v>369</v>
      </c>
      <c r="C56" s="271">
        <v>6623580</v>
      </c>
      <c r="D56" s="271">
        <v>13509299</v>
      </c>
      <c r="E56" s="271">
        <v>-6885719</v>
      </c>
      <c r="F56" s="271">
        <v>5000000</v>
      </c>
      <c r="G56" s="271">
        <v>-1885719</v>
      </c>
      <c r="H56" s="271">
        <v>6885719</v>
      </c>
      <c r="I56" s="271">
        <v>11623580</v>
      </c>
      <c r="J56" s="271">
        <v>11623580</v>
      </c>
      <c r="K56" s="271">
        <v>0</v>
      </c>
    </row>
    <row r="57" spans="1:11" x14ac:dyDescent="0.35">
      <c r="A57" s="255"/>
      <c r="B57" s="256" t="s">
        <v>373</v>
      </c>
      <c r="C57" s="257">
        <v>4664056507</v>
      </c>
      <c r="D57" s="257">
        <v>5198405500</v>
      </c>
      <c r="E57" s="257">
        <v>-534348993</v>
      </c>
      <c r="F57" s="257">
        <v>36638633</v>
      </c>
      <c r="G57" s="257">
        <v>-753447</v>
      </c>
      <c r="H57" s="257">
        <v>37392080</v>
      </c>
      <c r="I57" s="257">
        <v>4700695140</v>
      </c>
      <c r="J57" s="257">
        <v>5197652053</v>
      </c>
      <c r="K57" s="257">
        <v>-496956913</v>
      </c>
    </row>
    <row r="58" spans="1:11" x14ac:dyDescent="0.35">
      <c r="A58" s="268">
        <v>43</v>
      </c>
      <c r="B58" s="259" t="s">
        <v>481</v>
      </c>
      <c r="C58" s="269">
        <v>0</v>
      </c>
      <c r="D58" s="269">
        <v>44998542</v>
      </c>
      <c r="E58" s="269">
        <v>-44998542</v>
      </c>
      <c r="F58" s="269">
        <v>13057911</v>
      </c>
      <c r="G58" s="269">
        <v>-403152</v>
      </c>
      <c r="H58" s="269">
        <v>13461063</v>
      </c>
      <c r="I58" s="269">
        <v>13057911</v>
      </c>
      <c r="J58" s="269">
        <v>44595390</v>
      </c>
      <c r="K58" s="269">
        <v>-31537479</v>
      </c>
    </row>
    <row r="59" spans="1:11" x14ac:dyDescent="0.35">
      <c r="A59" s="270">
        <v>44</v>
      </c>
      <c r="B59" s="266" t="s">
        <v>482</v>
      </c>
      <c r="C59" s="271">
        <v>0</v>
      </c>
      <c r="D59" s="271">
        <v>1779751921</v>
      </c>
      <c r="E59" s="271">
        <v>-1779751921</v>
      </c>
      <c r="F59" s="271">
        <v>2368585</v>
      </c>
      <c r="G59" s="271">
        <v>-62962</v>
      </c>
      <c r="H59" s="271">
        <v>2431547</v>
      </c>
      <c r="I59" s="271">
        <v>2368585</v>
      </c>
      <c r="J59" s="271">
        <v>1779688959</v>
      </c>
      <c r="K59" s="271">
        <v>-1777320374</v>
      </c>
    </row>
    <row r="60" spans="1:11" x14ac:dyDescent="0.35">
      <c r="A60" s="268">
        <v>45</v>
      </c>
      <c r="B60" s="259" t="s">
        <v>376</v>
      </c>
      <c r="C60" s="269">
        <v>0</v>
      </c>
      <c r="D60" s="269">
        <v>2224678339</v>
      </c>
      <c r="E60" s="269">
        <v>-2224678339</v>
      </c>
      <c r="F60" s="269">
        <v>2960730</v>
      </c>
      <c r="G60" s="269">
        <v>-67108</v>
      </c>
      <c r="H60" s="269">
        <v>3027838</v>
      </c>
      <c r="I60" s="269">
        <v>2960730</v>
      </c>
      <c r="J60" s="269">
        <v>2224611231</v>
      </c>
      <c r="K60" s="269">
        <v>-2221650501</v>
      </c>
    </row>
    <row r="61" spans="1:11" x14ac:dyDescent="0.35">
      <c r="A61" s="270">
        <v>46</v>
      </c>
      <c r="B61" s="266" t="s">
        <v>377</v>
      </c>
      <c r="C61" s="271">
        <v>4664056507</v>
      </c>
      <c r="D61" s="271">
        <v>30748279</v>
      </c>
      <c r="E61" s="271">
        <v>4633308228</v>
      </c>
      <c r="F61" s="271">
        <v>14186600</v>
      </c>
      <c r="G61" s="271">
        <v>-145195</v>
      </c>
      <c r="H61" s="271">
        <v>14331795</v>
      </c>
      <c r="I61" s="271">
        <v>4678243107</v>
      </c>
      <c r="J61" s="271">
        <v>30603084</v>
      </c>
      <c r="K61" s="271">
        <v>4647640023</v>
      </c>
    </row>
    <row r="62" spans="1:11" x14ac:dyDescent="0.35">
      <c r="A62" s="268">
        <v>47</v>
      </c>
      <c r="B62" s="259" t="s">
        <v>483</v>
      </c>
      <c r="C62" s="269">
        <v>0</v>
      </c>
      <c r="D62" s="269">
        <v>1112339149</v>
      </c>
      <c r="E62" s="269">
        <v>-1112339149</v>
      </c>
      <c r="F62" s="269">
        <v>1480365</v>
      </c>
      <c r="G62" s="269">
        <v>-33554</v>
      </c>
      <c r="H62" s="269">
        <v>1513919</v>
      </c>
      <c r="I62" s="269">
        <v>1480365</v>
      </c>
      <c r="J62" s="269">
        <v>1112305595</v>
      </c>
      <c r="K62" s="269">
        <v>-1110825230</v>
      </c>
    </row>
    <row r="63" spans="1:11" x14ac:dyDescent="0.35">
      <c r="A63" s="270">
        <v>48</v>
      </c>
      <c r="B63" s="266" t="s">
        <v>484</v>
      </c>
      <c r="C63" s="271">
        <v>0</v>
      </c>
      <c r="D63" s="271">
        <v>58404</v>
      </c>
      <c r="E63" s="271">
        <v>-58404</v>
      </c>
      <c r="F63" s="271">
        <v>0</v>
      </c>
      <c r="G63" s="271">
        <v>0</v>
      </c>
      <c r="H63" s="271">
        <v>0</v>
      </c>
      <c r="I63" s="271">
        <v>0</v>
      </c>
      <c r="J63" s="271">
        <v>58404</v>
      </c>
      <c r="K63" s="271">
        <v>-58404</v>
      </c>
    </row>
    <row r="64" spans="1:11" x14ac:dyDescent="0.35">
      <c r="A64" s="268">
        <v>49</v>
      </c>
      <c r="B64" s="259" t="s">
        <v>485</v>
      </c>
      <c r="C64" s="269">
        <v>0</v>
      </c>
      <c r="D64" s="269">
        <v>1113131</v>
      </c>
      <c r="E64" s="269">
        <v>-1113131</v>
      </c>
      <c r="F64" s="269">
        <v>1113131</v>
      </c>
      <c r="G64" s="269">
        <v>0</v>
      </c>
      <c r="H64" s="269">
        <v>1113131</v>
      </c>
      <c r="I64" s="269">
        <v>1113131</v>
      </c>
      <c r="J64" s="269">
        <v>1113131</v>
      </c>
      <c r="K64" s="269">
        <v>0</v>
      </c>
    </row>
    <row r="65" spans="1:11" x14ac:dyDescent="0.35">
      <c r="A65" s="270">
        <v>50</v>
      </c>
      <c r="B65" s="266" t="s">
        <v>381</v>
      </c>
      <c r="C65" s="271">
        <v>0</v>
      </c>
      <c r="D65" s="271">
        <v>4297787</v>
      </c>
      <c r="E65" s="271">
        <v>-4297787</v>
      </c>
      <c r="F65" s="271">
        <v>1155591</v>
      </c>
      <c r="G65" s="271">
        <v>-41476</v>
      </c>
      <c r="H65" s="271">
        <v>1197067</v>
      </c>
      <c r="I65" s="271">
        <v>1155591</v>
      </c>
      <c r="J65" s="271">
        <v>4256311</v>
      </c>
      <c r="K65" s="271">
        <v>-3100720</v>
      </c>
    </row>
    <row r="66" spans="1:11" x14ac:dyDescent="0.35">
      <c r="A66" s="268">
        <v>51</v>
      </c>
      <c r="B66" s="259" t="s">
        <v>382</v>
      </c>
      <c r="C66" s="269">
        <v>0</v>
      </c>
      <c r="D66" s="269">
        <v>419948</v>
      </c>
      <c r="E66" s="269">
        <v>-419948</v>
      </c>
      <c r="F66" s="269">
        <v>315720</v>
      </c>
      <c r="G66" s="269">
        <v>0</v>
      </c>
      <c r="H66" s="269">
        <v>315720</v>
      </c>
      <c r="I66" s="269">
        <v>315720</v>
      </c>
      <c r="J66" s="269">
        <v>419948</v>
      </c>
      <c r="K66" s="269">
        <v>-104228</v>
      </c>
    </row>
    <row r="67" spans="1:11" x14ac:dyDescent="0.35">
      <c r="A67" s="255"/>
      <c r="B67" s="256" t="s">
        <v>392</v>
      </c>
      <c r="C67" s="257">
        <v>0</v>
      </c>
      <c r="D67" s="257">
        <v>1640580</v>
      </c>
      <c r="E67" s="257">
        <v>-1640580</v>
      </c>
      <c r="F67" s="257">
        <v>0</v>
      </c>
      <c r="G67" s="257">
        <v>0</v>
      </c>
      <c r="H67" s="257">
        <v>0</v>
      </c>
      <c r="I67" s="257">
        <v>0</v>
      </c>
      <c r="J67" s="257">
        <v>1640580</v>
      </c>
      <c r="K67" s="257">
        <v>-1640580</v>
      </c>
    </row>
    <row r="68" spans="1:11" x14ac:dyDescent="0.35">
      <c r="A68" s="243">
        <v>52</v>
      </c>
      <c r="B68" s="261" t="s">
        <v>393</v>
      </c>
      <c r="C68" s="262">
        <v>0</v>
      </c>
      <c r="D68" s="262">
        <v>1640580</v>
      </c>
      <c r="E68" s="262">
        <v>-1640580</v>
      </c>
      <c r="F68" s="262">
        <v>0</v>
      </c>
      <c r="G68" s="262">
        <v>0</v>
      </c>
      <c r="H68" s="262">
        <v>0</v>
      </c>
      <c r="I68" s="262">
        <v>0</v>
      </c>
      <c r="J68" s="262">
        <v>1640580</v>
      </c>
      <c r="K68" s="262">
        <v>-1640580</v>
      </c>
    </row>
    <row r="69" spans="1:11" x14ac:dyDescent="0.35">
      <c r="A69" s="255"/>
      <c r="B69" s="256" t="s">
        <v>38</v>
      </c>
      <c r="C69" s="257">
        <v>13043258</v>
      </c>
      <c r="D69" s="257">
        <v>16858388</v>
      </c>
      <c r="E69" s="257">
        <v>-3815130</v>
      </c>
      <c r="F69" s="257">
        <v>4363956</v>
      </c>
      <c r="G69" s="257">
        <v>113400</v>
      </c>
      <c r="H69" s="257">
        <v>4250556</v>
      </c>
      <c r="I69" s="257">
        <v>17407214</v>
      </c>
      <c r="J69" s="257">
        <v>16971788</v>
      </c>
      <c r="K69" s="257">
        <v>435426</v>
      </c>
    </row>
    <row r="70" spans="1:11" x14ac:dyDescent="0.35">
      <c r="A70" s="258">
        <v>57</v>
      </c>
      <c r="B70" s="259" t="s">
        <v>489</v>
      </c>
      <c r="C70" s="260">
        <v>13043258</v>
      </c>
      <c r="D70" s="260">
        <v>16858388</v>
      </c>
      <c r="E70" s="260">
        <v>-3815130</v>
      </c>
      <c r="F70" s="260">
        <v>4363956</v>
      </c>
      <c r="G70" s="260">
        <v>113400</v>
      </c>
      <c r="H70" s="260">
        <v>4250556</v>
      </c>
      <c r="I70" s="260">
        <v>17407214</v>
      </c>
      <c r="J70" s="260">
        <v>16971788</v>
      </c>
      <c r="K70" s="260">
        <v>435426</v>
      </c>
    </row>
    <row r="71" spans="1:11" x14ac:dyDescent="0.35">
      <c r="A71" s="255"/>
      <c r="B71" s="256" t="s">
        <v>39</v>
      </c>
      <c r="C71" s="257">
        <v>198153419</v>
      </c>
      <c r="D71" s="257">
        <v>183241264</v>
      </c>
      <c r="E71" s="257">
        <v>14912155</v>
      </c>
      <c r="F71" s="257">
        <v>67360086</v>
      </c>
      <c r="G71" s="257">
        <v>82272240</v>
      </c>
      <c r="H71" s="257">
        <v>-14912154</v>
      </c>
      <c r="I71" s="257">
        <v>265513505</v>
      </c>
      <c r="J71" s="257">
        <v>265513504</v>
      </c>
      <c r="K71" s="257">
        <v>1</v>
      </c>
    </row>
    <row r="72" spans="1:11" x14ac:dyDescent="0.35">
      <c r="A72" s="243">
        <v>58</v>
      </c>
      <c r="B72" s="261" t="s">
        <v>490</v>
      </c>
      <c r="C72" s="262">
        <v>198153419</v>
      </c>
      <c r="D72" s="262">
        <v>183241264</v>
      </c>
      <c r="E72" s="262">
        <v>14912155</v>
      </c>
      <c r="F72" s="262">
        <v>67360086</v>
      </c>
      <c r="G72" s="262">
        <v>82272240</v>
      </c>
      <c r="H72" s="262">
        <v>-14912154</v>
      </c>
      <c r="I72" s="262">
        <v>265513505</v>
      </c>
      <c r="J72" s="262">
        <v>265513504</v>
      </c>
      <c r="K72" s="262">
        <v>1</v>
      </c>
    </row>
    <row r="73" spans="1:11" x14ac:dyDescent="0.35">
      <c r="A73" s="255"/>
      <c r="B73" s="256" t="s">
        <v>491</v>
      </c>
      <c r="C73" s="257">
        <v>151257827</v>
      </c>
      <c r="D73" s="257">
        <v>131371491</v>
      </c>
      <c r="E73" s="257">
        <v>19886336</v>
      </c>
      <c r="F73" s="257">
        <v>0</v>
      </c>
      <c r="G73" s="257">
        <v>0</v>
      </c>
      <c r="H73" s="257">
        <v>0</v>
      </c>
      <c r="I73" s="257">
        <v>151257827</v>
      </c>
      <c r="J73" s="257">
        <v>131371491</v>
      </c>
      <c r="K73" s="257">
        <v>19886336</v>
      </c>
    </row>
    <row r="74" spans="1:11" ht="30" x14ac:dyDescent="0.35">
      <c r="A74" s="258">
        <v>59</v>
      </c>
      <c r="B74" s="259" t="s">
        <v>54</v>
      </c>
      <c r="C74" s="260">
        <v>151257827</v>
      </c>
      <c r="D74" s="260">
        <v>131371491</v>
      </c>
      <c r="E74" s="260">
        <v>19886336</v>
      </c>
      <c r="F74" s="260">
        <v>0</v>
      </c>
      <c r="G74" s="260">
        <v>0</v>
      </c>
      <c r="H74" s="260">
        <v>0</v>
      </c>
      <c r="I74" s="260">
        <v>151257827</v>
      </c>
      <c r="J74" s="260">
        <v>131371491</v>
      </c>
      <c r="K74" s="260">
        <v>19886336</v>
      </c>
    </row>
    <row r="75" spans="1:11" x14ac:dyDescent="0.35">
      <c r="A75" s="246"/>
      <c r="B75" s="247" t="s">
        <v>41</v>
      </c>
      <c r="C75" s="248">
        <v>24245796576.04348</v>
      </c>
      <c r="D75" s="248">
        <v>19160256030.347824</v>
      </c>
      <c r="E75" s="248">
        <v>5085540545.695652</v>
      </c>
      <c r="F75" s="248">
        <v>-54460499.950310469</v>
      </c>
      <c r="G75" s="248">
        <v>5508085576.7453413</v>
      </c>
      <c r="H75" s="248">
        <v>-5562546076.695652</v>
      </c>
      <c r="I75" s="248">
        <v>24191336076.093166</v>
      </c>
      <c r="J75" s="248">
        <v>24668341607.093166</v>
      </c>
      <c r="K75" s="248">
        <v>-477005531</v>
      </c>
    </row>
    <row r="78" spans="1:11" x14ac:dyDescent="0.35">
      <c r="A78" s="645" t="s">
        <v>233</v>
      </c>
      <c r="B78" s="647" t="s">
        <v>469</v>
      </c>
      <c r="C78" s="650" t="s">
        <v>435</v>
      </c>
      <c r="D78" s="650"/>
      <c r="E78" s="650"/>
      <c r="F78" s="650" t="s">
        <v>436</v>
      </c>
      <c r="G78" s="650"/>
      <c r="H78" s="650"/>
      <c r="I78" s="650" t="s">
        <v>437</v>
      </c>
      <c r="J78" s="650"/>
      <c r="K78" s="651"/>
    </row>
    <row r="79" spans="1:11" ht="15.75" thickBot="1" x14ac:dyDescent="0.4">
      <c r="A79" s="646"/>
      <c r="B79" s="648"/>
      <c r="C79" s="253" t="s">
        <v>438</v>
      </c>
      <c r="D79" s="253" t="s">
        <v>439</v>
      </c>
      <c r="E79" s="253" t="s">
        <v>440</v>
      </c>
      <c r="F79" s="253" t="s">
        <v>438</v>
      </c>
      <c r="G79" s="253" t="s">
        <v>439</v>
      </c>
      <c r="H79" s="253" t="s">
        <v>440</v>
      </c>
      <c r="I79" s="253" t="s">
        <v>438</v>
      </c>
      <c r="J79" s="253" t="s">
        <v>439</v>
      </c>
      <c r="K79" s="254" t="s">
        <v>440</v>
      </c>
    </row>
    <row r="80" spans="1:11" x14ac:dyDescent="0.35">
      <c r="A80" s="255"/>
      <c r="B80" s="256" t="s">
        <v>470</v>
      </c>
      <c r="C80" s="263">
        <v>38575366053</v>
      </c>
      <c r="D80" s="263">
        <v>31248343383</v>
      </c>
      <c r="E80" s="263">
        <v>7327022670</v>
      </c>
      <c r="F80" s="263">
        <v>3239222181</v>
      </c>
      <c r="G80" s="263">
        <v>10657074476</v>
      </c>
      <c r="H80" s="263">
        <v>-7417852295</v>
      </c>
      <c r="I80" s="263">
        <v>41814588234</v>
      </c>
      <c r="J80" s="263">
        <v>41905417859</v>
      </c>
      <c r="K80" s="263">
        <v>-90829625</v>
      </c>
    </row>
    <row r="81" spans="1:11" x14ac:dyDescent="0.35">
      <c r="A81" s="258">
        <v>3</v>
      </c>
      <c r="B81" s="259" t="s">
        <v>471</v>
      </c>
      <c r="C81" s="264">
        <v>37711147132</v>
      </c>
      <c r="D81" s="264">
        <v>30850196178</v>
      </c>
      <c r="E81" s="264">
        <v>6860950954</v>
      </c>
      <c r="F81" s="264">
        <v>3115074092</v>
      </c>
      <c r="G81" s="264">
        <v>10040939190</v>
      </c>
      <c r="H81" s="264">
        <v>-6925865098</v>
      </c>
      <c r="I81" s="264">
        <v>40826221224</v>
      </c>
      <c r="J81" s="264">
        <v>40891135368</v>
      </c>
      <c r="K81" s="264">
        <v>-64914144</v>
      </c>
    </row>
    <row r="82" spans="1:11" x14ac:dyDescent="0.35">
      <c r="A82" s="265">
        <v>4</v>
      </c>
      <c r="B82" s="266" t="s">
        <v>347</v>
      </c>
      <c r="C82" s="267">
        <v>632662661</v>
      </c>
      <c r="D82" s="267">
        <v>0</v>
      </c>
      <c r="E82" s="267">
        <v>632662661</v>
      </c>
      <c r="F82" s="267">
        <v>0</v>
      </c>
      <c r="G82" s="267">
        <v>597564136</v>
      </c>
      <c r="H82" s="267">
        <v>-597564136</v>
      </c>
      <c r="I82" s="267">
        <v>632662661</v>
      </c>
      <c r="J82" s="267">
        <v>597564136</v>
      </c>
      <c r="K82" s="267">
        <v>35098525</v>
      </c>
    </row>
    <row r="83" spans="1:11" x14ac:dyDescent="0.35">
      <c r="A83" s="258">
        <v>5</v>
      </c>
      <c r="B83" s="259" t="s">
        <v>348</v>
      </c>
      <c r="C83" s="264">
        <v>10000000</v>
      </c>
      <c r="D83" s="264">
        <v>43296510</v>
      </c>
      <c r="E83" s="264">
        <v>-33296510</v>
      </c>
      <c r="F83" s="264">
        <v>33296510</v>
      </c>
      <c r="G83" s="264">
        <v>0</v>
      </c>
      <c r="H83" s="264">
        <v>33296510</v>
      </c>
      <c r="I83" s="264">
        <v>43296510</v>
      </c>
      <c r="J83" s="264">
        <v>43296510</v>
      </c>
      <c r="K83" s="264">
        <v>0</v>
      </c>
    </row>
    <row r="84" spans="1:11" x14ac:dyDescent="0.35">
      <c r="A84" s="265">
        <v>6</v>
      </c>
      <c r="B84" s="266" t="s">
        <v>472</v>
      </c>
      <c r="C84" s="267">
        <v>16000000</v>
      </c>
      <c r="D84" s="267">
        <v>0</v>
      </c>
      <c r="E84" s="267">
        <v>16000000</v>
      </c>
      <c r="F84" s="267">
        <v>-16000000</v>
      </c>
      <c r="G84" s="267">
        <v>0</v>
      </c>
      <c r="H84" s="267">
        <v>-16000000</v>
      </c>
      <c r="I84" s="267">
        <v>0</v>
      </c>
      <c r="J84" s="267">
        <v>0</v>
      </c>
      <c r="K84" s="267">
        <v>0</v>
      </c>
    </row>
    <row r="85" spans="1:11" x14ac:dyDescent="0.35">
      <c r="A85" s="258">
        <v>7</v>
      </c>
      <c r="B85" s="259" t="s">
        <v>473</v>
      </c>
      <c r="C85" s="264">
        <v>205556260</v>
      </c>
      <c r="D85" s="264">
        <v>354850695</v>
      </c>
      <c r="E85" s="264">
        <v>-149294435</v>
      </c>
      <c r="F85" s="264">
        <v>106851579</v>
      </c>
      <c r="G85" s="264">
        <v>18571150</v>
      </c>
      <c r="H85" s="264">
        <v>88280429</v>
      </c>
      <c r="I85" s="264">
        <v>312407839</v>
      </c>
      <c r="J85" s="264">
        <v>373421845</v>
      </c>
      <c r="K85" s="264">
        <v>-61014006</v>
      </c>
    </row>
    <row r="86" spans="1:11" x14ac:dyDescent="0.35">
      <c r="A86" s="255"/>
      <c r="B86" s="256" t="s">
        <v>383</v>
      </c>
      <c r="C86" s="263">
        <v>22063003313</v>
      </c>
      <c r="D86" s="263">
        <v>5416875931</v>
      </c>
      <c r="E86" s="263">
        <v>16646127382</v>
      </c>
      <c r="F86" s="263">
        <v>-2946088567</v>
      </c>
      <c r="G86" s="263">
        <v>13700196815</v>
      </c>
      <c r="H86" s="263">
        <v>-16646285382</v>
      </c>
      <c r="I86" s="263">
        <v>19116914746</v>
      </c>
      <c r="J86" s="263">
        <v>19117072746</v>
      </c>
      <c r="K86" s="263">
        <v>-158000</v>
      </c>
    </row>
    <row r="87" spans="1:11" ht="30" x14ac:dyDescent="0.35">
      <c r="A87" s="265">
        <v>17</v>
      </c>
      <c r="B87" s="266" t="s">
        <v>475</v>
      </c>
      <c r="C87" s="267">
        <v>2946088567</v>
      </c>
      <c r="D87" s="267">
        <v>2946088567</v>
      </c>
      <c r="E87" s="267">
        <v>0</v>
      </c>
      <c r="F87" s="267">
        <v>-2946088567</v>
      </c>
      <c r="G87" s="267">
        <v>-2946088567</v>
      </c>
      <c r="H87" s="267">
        <v>0</v>
      </c>
      <c r="I87" s="267">
        <v>0</v>
      </c>
      <c r="J87" s="267">
        <v>0</v>
      </c>
      <c r="K87" s="267">
        <v>0</v>
      </c>
    </row>
    <row r="88" spans="1:11" x14ac:dyDescent="0.35">
      <c r="A88" s="258">
        <v>18</v>
      </c>
      <c r="B88" s="259" t="s">
        <v>385</v>
      </c>
      <c r="C88" s="264">
        <v>700210162</v>
      </c>
      <c r="D88" s="264">
        <v>700210162</v>
      </c>
      <c r="E88" s="264">
        <v>0</v>
      </c>
      <c r="F88" s="264">
        <v>0</v>
      </c>
      <c r="G88" s="264">
        <v>0</v>
      </c>
      <c r="H88" s="264">
        <v>0</v>
      </c>
      <c r="I88" s="264">
        <v>700210162</v>
      </c>
      <c r="J88" s="264">
        <v>700210162</v>
      </c>
      <c r="K88" s="264">
        <v>0</v>
      </c>
    </row>
    <row r="89" spans="1:11" x14ac:dyDescent="0.35">
      <c r="A89" s="265">
        <v>21</v>
      </c>
      <c r="B89" s="266" t="s">
        <v>476</v>
      </c>
      <c r="C89" s="267">
        <v>46379293</v>
      </c>
      <c r="D89" s="267">
        <v>0</v>
      </c>
      <c r="E89" s="267">
        <v>46379293</v>
      </c>
      <c r="F89" s="267">
        <v>0</v>
      </c>
      <c r="G89" s="267">
        <v>46379293</v>
      </c>
      <c r="H89" s="267">
        <v>-46379293</v>
      </c>
      <c r="I89" s="267">
        <v>46379293</v>
      </c>
      <c r="J89" s="267">
        <v>46379293</v>
      </c>
      <c r="K89" s="267">
        <v>0</v>
      </c>
    </row>
    <row r="90" spans="1:11" x14ac:dyDescent="0.35">
      <c r="A90" s="258">
        <v>23</v>
      </c>
      <c r="B90" s="259" t="s">
        <v>478</v>
      </c>
      <c r="C90" s="264">
        <v>16599906089</v>
      </c>
      <c r="D90" s="264">
        <v>0</v>
      </c>
      <c r="E90" s="264">
        <v>16599906089</v>
      </c>
      <c r="F90" s="264">
        <v>0</v>
      </c>
      <c r="G90" s="264">
        <v>16599906089</v>
      </c>
      <c r="H90" s="264">
        <v>-16599906089</v>
      </c>
      <c r="I90" s="264">
        <v>16599906089</v>
      </c>
      <c r="J90" s="264">
        <v>16599906089</v>
      </c>
      <c r="K90" s="264">
        <v>0</v>
      </c>
    </row>
    <row r="91" spans="1:11" x14ac:dyDescent="0.35">
      <c r="A91" s="265">
        <v>26</v>
      </c>
      <c r="B91" s="266" t="s">
        <v>479</v>
      </c>
      <c r="C91" s="267">
        <v>1770419202</v>
      </c>
      <c r="D91" s="267">
        <v>1770577202</v>
      </c>
      <c r="E91" s="267">
        <v>-158000</v>
      </c>
      <c r="F91" s="267">
        <v>0</v>
      </c>
      <c r="G91" s="267">
        <v>0</v>
      </c>
      <c r="H91" s="267">
        <v>0</v>
      </c>
      <c r="I91" s="267">
        <v>1770419202</v>
      </c>
      <c r="J91" s="267">
        <v>1770577202</v>
      </c>
      <c r="K91" s="267">
        <v>-158000</v>
      </c>
    </row>
    <row r="92" spans="1:11" x14ac:dyDescent="0.35">
      <c r="A92" s="255"/>
      <c r="B92" s="256" t="s">
        <v>357</v>
      </c>
      <c r="C92" s="263">
        <v>126053675757.0587</v>
      </c>
      <c r="D92" s="263">
        <v>100801301806</v>
      </c>
      <c r="E92" s="263">
        <v>25252373951.058697</v>
      </c>
      <c r="F92" s="263">
        <v>-315355013.03641987</v>
      </c>
      <c r="G92" s="263">
        <v>25364850873</v>
      </c>
      <c r="H92" s="263">
        <v>-25680205886.036419</v>
      </c>
      <c r="I92" s="263">
        <v>125738320744.02228</v>
      </c>
      <c r="J92" s="263">
        <v>126166152679</v>
      </c>
      <c r="K92" s="263">
        <v>-427831934.97772217</v>
      </c>
    </row>
    <row r="93" spans="1:11" x14ac:dyDescent="0.35">
      <c r="A93" s="265">
        <v>27</v>
      </c>
      <c r="B93" s="266" t="s">
        <v>358</v>
      </c>
      <c r="C93" s="267">
        <v>34853844703</v>
      </c>
      <c r="D93" s="267">
        <v>32404623925</v>
      </c>
      <c r="E93" s="267">
        <v>2449220778</v>
      </c>
      <c r="F93" s="267">
        <v>-2627011633</v>
      </c>
      <c r="G93" s="267">
        <v>121498937</v>
      </c>
      <c r="H93" s="267">
        <v>-2748510570</v>
      </c>
      <c r="I93" s="267">
        <v>32226833070</v>
      </c>
      <c r="J93" s="267">
        <v>32526122862</v>
      </c>
      <c r="K93" s="267">
        <v>-299289792</v>
      </c>
    </row>
    <row r="94" spans="1:11" x14ac:dyDescent="0.35">
      <c r="A94" s="258">
        <v>28</v>
      </c>
      <c r="B94" s="259" t="s">
        <v>359</v>
      </c>
      <c r="C94" s="264">
        <v>25401946748.036419</v>
      </c>
      <c r="D94" s="264">
        <v>26026597935</v>
      </c>
      <c r="E94" s="264">
        <v>-624651186.96358109</v>
      </c>
      <c r="F94" s="264">
        <v>577131773.96358013</v>
      </c>
      <c r="G94" s="264">
        <v>-49008586</v>
      </c>
      <c r="H94" s="264">
        <v>626140359.96358013</v>
      </c>
      <c r="I94" s="264">
        <v>25979078522</v>
      </c>
      <c r="J94" s="264">
        <v>25977589349</v>
      </c>
      <c r="K94" s="264">
        <v>1489173</v>
      </c>
    </row>
    <row r="95" spans="1:11" x14ac:dyDescent="0.35">
      <c r="A95" s="265">
        <v>29</v>
      </c>
      <c r="B95" s="266" t="s">
        <v>360</v>
      </c>
      <c r="C95" s="267">
        <v>1168084756</v>
      </c>
      <c r="D95" s="267">
        <v>3093033</v>
      </c>
      <c r="E95" s="267">
        <v>1164991723</v>
      </c>
      <c r="F95" s="267">
        <v>0</v>
      </c>
      <c r="G95" s="267">
        <v>1164891723</v>
      </c>
      <c r="H95" s="267">
        <v>-1164891723</v>
      </c>
      <c r="I95" s="267">
        <v>1168084756</v>
      </c>
      <c r="J95" s="267">
        <v>1167984756</v>
      </c>
      <c r="K95" s="267">
        <v>100000</v>
      </c>
    </row>
    <row r="96" spans="1:11" x14ac:dyDescent="0.35">
      <c r="A96" s="258">
        <v>30</v>
      </c>
      <c r="B96" s="259" t="s">
        <v>361</v>
      </c>
      <c r="C96" s="264">
        <v>12857630254</v>
      </c>
      <c r="D96" s="264">
        <v>6235301200</v>
      </c>
      <c r="E96" s="264">
        <v>6622329054</v>
      </c>
      <c r="F96" s="264">
        <v>550233854</v>
      </c>
      <c r="G96" s="264">
        <v>7172562908</v>
      </c>
      <c r="H96" s="264">
        <v>-6622329054</v>
      </c>
      <c r="I96" s="264">
        <v>13407864108</v>
      </c>
      <c r="J96" s="264">
        <v>13407864108</v>
      </c>
      <c r="K96" s="264">
        <v>0</v>
      </c>
    </row>
    <row r="97" spans="1:11" x14ac:dyDescent="0.35">
      <c r="A97" s="265">
        <v>31</v>
      </c>
      <c r="B97" s="266" t="s">
        <v>480</v>
      </c>
      <c r="C97" s="267">
        <v>123972376</v>
      </c>
      <c r="D97" s="267">
        <v>231638203</v>
      </c>
      <c r="E97" s="267">
        <v>-107665827</v>
      </c>
      <c r="F97" s="267">
        <v>107665827</v>
      </c>
      <c r="G97" s="267">
        <v>0</v>
      </c>
      <c r="H97" s="267">
        <v>107665827</v>
      </c>
      <c r="I97" s="267">
        <v>231638203</v>
      </c>
      <c r="J97" s="267">
        <v>231638203</v>
      </c>
      <c r="K97" s="267">
        <v>0</v>
      </c>
    </row>
    <row r="98" spans="1:11" x14ac:dyDescent="0.35">
      <c r="A98" s="258">
        <v>32</v>
      </c>
      <c r="B98" s="259" t="s">
        <v>363</v>
      </c>
      <c r="C98" s="264">
        <v>3366838358.5022779</v>
      </c>
      <c r="D98" s="264">
        <v>3378673335</v>
      </c>
      <c r="E98" s="264">
        <v>-11834976.497722149</v>
      </c>
      <c r="F98" s="264">
        <v>67194199</v>
      </c>
      <c r="G98" s="264">
        <v>185280524</v>
      </c>
      <c r="H98" s="264">
        <v>-118086325</v>
      </c>
      <c r="I98" s="264">
        <v>3434032557.5022779</v>
      </c>
      <c r="J98" s="264">
        <v>3563953859</v>
      </c>
      <c r="K98" s="264">
        <v>-129921301.49772215</v>
      </c>
    </row>
    <row r="99" spans="1:11" ht="30" x14ac:dyDescent="0.35">
      <c r="A99" s="265">
        <v>33</v>
      </c>
      <c r="B99" s="266" t="s">
        <v>364</v>
      </c>
      <c r="C99" s="267">
        <v>465851016</v>
      </c>
      <c r="D99" s="267">
        <v>453256642</v>
      </c>
      <c r="E99" s="267">
        <v>12594374</v>
      </c>
      <c r="F99" s="267">
        <v>0</v>
      </c>
      <c r="G99" s="267">
        <v>12594374</v>
      </c>
      <c r="H99" s="267">
        <v>-12594374</v>
      </c>
      <c r="I99" s="267">
        <v>465851016</v>
      </c>
      <c r="J99" s="267">
        <v>465851016</v>
      </c>
      <c r="K99" s="267">
        <v>0</v>
      </c>
    </row>
    <row r="100" spans="1:11" x14ac:dyDescent="0.35">
      <c r="A100" s="258">
        <v>34</v>
      </c>
      <c r="B100" s="259" t="s">
        <v>365</v>
      </c>
      <c r="C100" s="264">
        <v>225383412.52000001</v>
      </c>
      <c r="D100" s="264">
        <v>221539831</v>
      </c>
      <c r="E100" s="264">
        <v>3843581.5200000107</v>
      </c>
      <c r="F100" s="264">
        <v>9260429</v>
      </c>
      <c r="G100" s="264">
        <v>12574132</v>
      </c>
      <c r="H100" s="264">
        <v>-3313703</v>
      </c>
      <c r="I100" s="264">
        <v>234643841.52000001</v>
      </c>
      <c r="J100" s="264">
        <v>234113963</v>
      </c>
      <c r="K100" s="264">
        <v>529878.52000001073</v>
      </c>
    </row>
    <row r="101" spans="1:11" x14ac:dyDescent="0.35">
      <c r="A101" s="265">
        <v>35</v>
      </c>
      <c r="B101" s="266" t="s">
        <v>366</v>
      </c>
      <c r="C101" s="267">
        <v>388750339</v>
      </c>
      <c r="D101" s="267">
        <v>370109536</v>
      </c>
      <c r="E101" s="267">
        <v>18640803</v>
      </c>
      <c r="F101" s="267">
        <v>-18640803</v>
      </c>
      <c r="G101" s="267">
        <v>0</v>
      </c>
      <c r="H101" s="267">
        <v>-18640803</v>
      </c>
      <c r="I101" s="267">
        <v>370109536</v>
      </c>
      <c r="J101" s="267">
        <v>370109536</v>
      </c>
      <c r="K101" s="267">
        <v>0</v>
      </c>
    </row>
    <row r="102" spans="1:11" x14ac:dyDescent="0.35">
      <c r="A102" s="258">
        <v>39</v>
      </c>
      <c r="B102" s="259" t="s">
        <v>369</v>
      </c>
      <c r="C102" s="264">
        <v>22496765358</v>
      </c>
      <c r="D102" s="264">
        <v>5701771466</v>
      </c>
      <c r="E102" s="264">
        <v>16794993892</v>
      </c>
      <c r="F102" s="264">
        <v>0</v>
      </c>
      <c r="G102" s="264">
        <v>16795733785</v>
      </c>
      <c r="H102" s="264">
        <v>-16795733785</v>
      </c>
      <c r="I102" s="264">
        <v>22496765358</v>
      </c>
      <c r="J102" s="264">
        <v>22497505251</v>
      </c>
      <c r="K102" s="264">
        <v>-739893</v>
      </c>
    </row>
    <row r="103" spans="1:11" x14ac:dyDescent="0.35">
      <c r="A103" s="265">
        <v>40</v>
      </c>
      <c r="B103" s="266" t="s">
        <v>370</v>
      </c>
      <c r="C103" s="267">
        <v>14822594134</v>
      </c>
      <c r="D103" s="267">
        <v>15433880734</v>
      </c>
      <c r="E103" s="267">
        <v>-611286600</v>
      </c>
      <c r="F103" s="267">
        <v>611286600</v>
      </c>
      <c r="G103" s="267">
        <v>0</v>
      </c>
      <c r="H103" s="267">
        <v>611286600</v>
      </c>
      <c r="I103" s="267">
        <v>15433880734</v>
      </c>
      <c r="J103" s="267">
        <v>15433880734</v>
      </c>
      <c r="K103" s="267">
        <v>0</v>
      </c>
    </row>
    <row r="104" spans="1:11" x14ac:dyDescent="0.35">
      <c r="A104" s="258">
        <v>42</v>
      </c>
      <c r="B104" s="259" t="s">
        <v>372</v>
      </c>
      <c r="C104" s="264">
        <v>9882014302</v>
      </c>
      <c r="D104" s="264">
        <v>10340815966</v>
      </c>
      <c r="E104" s="264">
        <v>-458801664</v>
      </c>
      <c r="F104" s="264">
        <v>407524740</v>
      </c>
      <c r="G104" s="264">
        <v>-51276924</v>
      </c>
      <c r="H104" s="264">
        <v>458801664</v>
      </c>
      <c r="I104" s="264">
        <v>10289539042</v>
      </c>
      <c r="J104" s="264">
        <v>10289539042</v>
      </c>
      <c r="K104" s="264">
        <v>0</v>
      </c>
    </row>
    <row r="105" spans="1:11" x14ac:dyDescent="0.35">
      <c r="A105" s="255"/>
      <c r="B105" s="256" t="s">
        <v>373</v>
      </c>
      <c r="C105" s="263">
        <v>41713965541.940002</v>
      </c>
      <c r="D105" s="263">
        <v>39328892583</v>
      </c>
      <c r="E105" s="263">
        <v>2385072958.9400024</v>
      </c>
      <c r="F105" s="263">
        <v>-1750004243</v>
      </c>
      <c r="G105" s="263">
        <v>0</v>
      </c>
      <c r="H105" s="263">
        <v>-1750004243</v>
      </c>
      <c r="I105" s="263">
        <v>39963961298.940002</v>
      </c>
      <c r="J105" s="263">
        <v>39328892583</v>
      </c>
      <c r="K105" s="263">
        <v>635068715.94000244</v>
      </c>
    </row>
    <row r="106" spans="1:11" x14ac:dyDescent="0.35">
      <c r="A106" s="265">
        <v>43</v>
      </c>
      <c r="B106" s="266" t="s">
        <v>481</v>
      </c>
      <c r="C106" s="267">
        <v>178519096</v>
      </c>
      <c r="D106" s="267">
        <v>23343024725</v>
      </c>
      <c r="E106" s="267">
        <v>-23164505629</v>
      </c>
      <c r="F106" s="267">
        <v>10148243041</v>
      </c>
      <c r="G106" s="267">
        <v>0</v>
      </c>
      <c r="H106" s="267">
        <v>10148243041</v>
      </c>
      <c r="I106" s="267">
        <v>10326762137</v>
      </c>
      <c r="J106" s="267">
        <v>23343024725</v>
      </c>
      <c r="K106" s="267">
        <v>-13016262588</v>
      </c>
    </row>
    <row r="107" spans="1:11" x14ac:dyDescent="0.35">
      <c r="A107" s="258">
        <v>44</v>
      </c>
      <c r="B107" s="259" t="s">
        <v>482</v>
      </c>
      <c r="C107" s="264">
        <v>8038091</v>
      </c>
      <c r="D107" s="264">
        <v>1423478100</v>
      </c>
      <c r="E107" s="264">
        <v>-1415440009</v>
      </c>
      <c r="F107" s="264">
        <v>304682230</v>
      </c>
      <c r="G107" s="264">
        <v>0</v>
      </c>
      <c r="H107" s="264">
        <v>304682230</v>
      </c>
      <c r="I107" s="264">
        <v>312720321</v>
      </c>
      <c r="J107" s="264">
        <v>1423478100</v>
      </c>
      <c r="K107" s="264">
        <v>-1110757779</v>
      </c>
    </row>
    <row r="108" spans="1:11" x14ac:dyDescent="0.35">
      <c r="A108" s="265">
        <v>45</v>
      </c>
      <c r="B108" s="266" t="s">
        <v>376</v>
      </c>
      <c r="C108" s="267">
        <v>6500235</v>
      </c>
      <c r="D108" s="267">
        <v>1779855551</v>
      </c>
      <c r="E108" s="267">
        <v>-1773355316</v>
      </c>
      <c r="F108" s="267">
        <v>381651624</v>
      </c>
      <c r="G108" s="267">
        <v>0</v>
      </c>
      <c r="H108" s="267">
        <v>381651624</v>
      </c>
      <c r="I108" s="267">
        <v>388151859</v>
      </c>
      <c r="J108" s="267">
        <v>1779855551</v>
      </c>
      <c r="K108" s="267">
        <v>-1391703692</v>
      </c>
    </row>
    <row r="109" spans="1:11" x14ac:dyDescent="0.35">
      <c r="A109" s="258">
        <v>46</v>
      </c>
      <c r="B109" s="259" t="s">
        <v>377</v>
      </c>
      <c r="C109" s="264">
        <v>41414506077.940002</v>
      </c>
      <c r="D109" s="264">
        <v>9599760419</v>
      </c>
      <c r="E109" s="264">
        <v>31814745658.940002</v>
      </c>
      <c r="F109" s="264">
        <v>-13399194873</v>
      </c>
      <c r="G109" s="264">
        <v>0</v>
      </c>
      <c r="H109" s="264">
        <v>-13399194873</v>
      </c>
      <c r="I109" s="264">
        <v>28015311204.940002</v>
      </c>
      <c r="J109" s="264">
        <v>9599760419</v>
      </c>
      <c r="K109" s="264">
        <v>18415550785.940002</v>
      </c>
    </row>
    <row r="110" spans="1:11" x14ac:dyDescent="0.35">
      <c r="A110" s="265">
        <v>47</v>
      </c>
      <c r="B110" s="266" t="s">
        <v>483</v>
      </c>
      <c r="C110" s="267">
        <v>3250115</v>
      </c>
      <c r="D110" s="267">
        <v>888854123</v>
      </c>
      <c r="E110" s="267">
        <v>-885604008</v>
      </c>
      <c r="F110" s="267">
        <v>190074994</v>
      </c>
      <c r="G110" s="267">
        <v>0</v>
      </c>
      <c r="H110" s="267">
        <v>190074994</v>
      </c>
      <c r="I110" s="267">
        <v>193325109</v>
      </c>
      <c r="J110" s="267">
        <v>888854123</v>
      </c>
      <c r="K110" s="267">
        <v>-695529014</v>
      </c>
    </row>
    <row r="111" spans="1:11" x14ac:dyDescent="0.35">
      <c r="A111" s="258">
        <v>48</v>
      </c>
      <c r="B111" s="259" t="s">
        <v>484</v>
      </c>
      <c r="C111" s="264">
        <v>7352076</v>
      </c>
      <c r="D111" s="264">
        <v>414010624</v>
      </c>
      <c r="E111" s="264">
        <v>-406658548</v>
      </c>
      <c r="F111" s="264">
        <v>130007689</v>
      </c>
      <c r="G111" s="264">
        <v>0</v>
      </c>
      <c r="H111" s="264">
        <v>130007689</v>
      </c>
      <c r="I111" s="264">
        <v>137359765</v>
      </c>
      <c r="J111" s="264">
        <v>414010624</v>
      </c>
      <c r="K111" s="264">
        <v>-276650859</v>
      </c>
    </row>
    <row r="112" spans="1:11" x14ac:dyDescent="0.35">
      <c r="A112" s="265">
        <v>49</v>
      </c>
      <c r="B112" s="266" t="s">
        <v>485</v>
      </c>
      <c r="C112" s="267">
        <v>1514707</v>
      </c>
      <c r="D112" s="267">
        <v>58318849</v>
      </c>
      <c r="E112" s="267">
        <v>-56804142</v>
      </c>
      <c r="F112" s="267">
        <v>55750488</v>
      </c>
      <c r="G112" s="267">
        <v>0</v>
      </c>
      <c r="H112" s="267">
        <v>55750488</v>
      </c>
      <c r="I112" s="267">
        <v>57265195</v>
      </c>
      <c r="J112" s="267">
        <v>58318849</v>
      </c>
      <c r="K112" s="267">
        <v>-1053654</v>
      </c>
    </row>
    <row r="113" spans="1:11" x14ac:dyDescent="0.35">
      <c r="A113" s="258">
        <v>50</v>
      </c>
      <c r="B113" s="259" t="s">
        <v>381</v>
      </c>
      <c r="C113" s="264">
        <v>18063484</v>
      </c>
      <c r="D113" s="264">
        <v>1715092348</v>
      </c>
      <c r="E113" s="264">
        <v>-1697028864</v>
      </c>
      <c r="F113" s="264">
        <v>408834117</v>
      </c>
      <c r="G113" s="264">
        <v>0</v>
      </c>
      <c r="H113" s="264">
        <v>408834117</v>
      </c>
      <c r="I113" s="264">
        <v>426897601</v>
      </c>
      <c r="J113" s="264">
        <v>1715092348</v>
      </c>
      <c r="K113" s="264">
        <v>-1288194747</v>
      </c>
    </row>
    <row r="114" spans="1:11" x14ac:dyDescent="0.35">
      <c r="A114" s="265">
        <v>51</v>
      </c>
      <c r="B114" s="266" t="s">
        <v>382</v>
      </c>
      <c r="C114" s="267">
        <v>76221660</v>
      </c>
      <c r="D114" s="267">
        <v>106497844</v>
      </c>
      <c r="E114" s="267">
        <v>-30276184</v>
      </c>
      <c r="F114" s="267">
        <v>29946447</v>
      </c>
      <c r="G114" s="267">
        <v>0</v>
      </c>
      <c r="H114" s="267">
        <v>29946447</v>
      </c>
      <c r="I114" s="267">
        <v>106168107</v>
      </c>
      <c r="J114" s="267">
        <v>106497844</v>
      </c>
      <c r="K114" s="267">
        <v>-329737</v>
      </c>
    </row>
    <row r="115" spans="1:11" x14ac:dyDescent="0.35">
      <c r="A115" s="255"/>
      <c r="B115" s="256" t="s">
        <v>392</v>
      </c>
      <c r="C115" s="263">
        <v>219594052</v>
      </c>
      <c r="D115" s="263">
        <v>217687400</v>
      </c>
      <c r="E115" s="263">
        <v>1906652</v>
      </c>
      <c r="F115" s="263">
        <v>-6155000</v>
      </c>
      <c r="G115" s="263">
        <v>-4248348</v>
      </c>
      <c r="H115" s="263">
        <v>-1906652</v>
      </c>
      <c r="I115" s="263">
        <v>213439052</v>
      </c>
      <c r="J115" s="263">
        <v>213439052</v>
      </c>
      <c r="K115" s="263">
        <v>0</v>
      </c>
    </row>
    <row r="116" spans="1:11" x14ac:dyDescent="0.35">
      <c r="A116" s="258">
        <v>52</v>
      </c>
      <c r="B116" s="259" t="s">
        <v>393</v>
      </c>
      <c r="C116" s="264">
        <v>133226600</v>
      </c>
      <c r="D116" s="264">
        <v>140733600</v>
      </c>
      <c r="E116" s="264">
        <v>-7507000</v>
      </c>
      <c r="F116" s="264">
        <v>-6155000</v>
      </c>
      <c r="G116" s="264">
        <v>-13662000</v>
      </c>
      <c r="H116" s="264">
        <v>7507000</v>
      </c>
      <c r="I116" s="264">
        <v>127071600</v>
      </c>
      <c r="J116" s="264">
        <v>127071600</v>
      </c>
      <c r="K116" s="264">
        <v>0</v>
      </c>
    </row>
    <row r="117" spans="1:11" x14ac:dyDescent="0.35">
      <c r="A117" s="265">
        <v>53</v>
      </c>
      <c r="B117" s="266" t="s">
        <v>394</v>
      </c>
      <c r="C117" s="267">
        <v>9413652</v>
      </c>
      <c r="D117" s="267">
        <v>0</v>
      </c>
      <c r="E117" s="267">
        <v>9413652</v>
      </c>
      <c r="F117" s="267">
        <v>0</v>
      </c>
      <c r="G117" s="267">
        <v>9413652</v>
      </c>
      <c r="H117" s="267">
        <v>-9413652</v>
      </c>
      <c r="I117" s="267">
        <v>9413652</v>
      </c>
      <c r="J117" s="267">
        <v>9413652</v>
      </c>
      <c r="K117" s="267">
        <v>0</v>
      </c>
    </row>
    <row r="118" spans="1:11" x14ac:dyDescent="0.35">
      <c r="A118" s="258">
        <v>54</v>
      </c>
      <c r="B118" s="259" t="s">
        <v>486</v>
      </c>
      <c r="C118" s="264">
        <v>76953800</v>
      </c>
      <c r="D118" s="264">
        <v>76953800</v>
      </c>
      <c r="E118" s="264">
        <v>0</v>
      </c>
      <c r="F118" s="264">
        <v>0</v>
      </c>
      <c r="G118" s="264">
        <v>0</v>
      </c>
      <c r="H118" s="264">
        <v>0</v>
      </c>
      <c r="I118" s="264">
        <v>76953800</v>
      </c>
      <c r="J118" s="264">
        <v>76953800</v>
      </c>
      <c r="K118" s="264">
        <v>0</v>
      </c>
    </row>
    <row r="119" spans="1:11" x14ac:dyDescent="0.35">
      <c r="A119" s="255"/>
      <c r="B119" s="256" t="s">
        <v>487</v>
      </c>
      <c r="C119" s="263">
        <v>385782113</v>
      </c>
      <c r="D119" s="263">
        <v>469798113</v>
      </c>
      <c r="E119" s="263">
        <v>-84016000</v>
      </c>
      <c r="F119" s="263">
        <v>43216000</v>
      </c>
      <c r="G119" s="263">
        <v>0</v>
      </c>
      <c r="H119" s="263">
        <v>43216000</v>
      </c>
      <c r="I119" s="263">
        <v>428998113</v>
      </c>
      <c r="J119" s="263">
        <v>469798113</v>
      </c>
      <c r="K119" s="263">
        <v>-40800000</v>
      </c>
    </row>
    <row r="120" spans="1:11" x14ac:dyDescent="0.35">
      <c r="A120" s="258">
        <v>55</v>
      </c>
      <c r="B120" s="259" t="s">
        <v>397</v>
      </c>
      <c r="C120" s="264">
        <v>17545000</v>
      </c>
      <c r="D120" s="264">
        <v>17545000</v>
      </c>
      <c r="E120" s="264">
        <v>0</v>
      </c>
      <c r="F120" s="264">
        <v>0</v>
      </c>
      <c r="G120" s="264">
        <v>0</v>
      </c>
      <c r="H120" s="264">
        <v>0</v>
      </c>
      <c r="I120" s="264">
        <v>17545000</v>
      </c>
      <c r="J120" s="264">
        <v>17545000</v>
      </c>
      <c r="K120" s="264">
        <v>0</v>
      </c>
    </row>
    <row r="121" spans="1:11" x14ac:dyDescent="0.35">
      <c r="A121" s="265">
        <v>56</v>
      </c>
      <c r="B121" s="266" t="s">
        <v>488</v>
      </c>
      <c r="C121" s="267">
        <v>368237113</v>
      </c>
      <c r="D121" s="267">
        <v>452253113</v>
      </c>
      <c r="E121" s="267">
        <v>-84016000</v>
      </c>
      <c r="F121" s="267">
        <v>43216000</v>
      </c>
      <c r="G121" s="267">
        <v>0</v>
      </c>
      <c r="H121" s="267">
        <v>43216000</v>
      </c>
      <c r="I121" s="267">
        <v>411453113</v>
      </c>
      <c r="J121" s="267">
        <v>452253113</v>
      </c>
      <c r="K121" s="267">
        <v>-40800000</v>
      </c>
    </row>
    <row r="122" spans="1:11" x14ac:dyDescent="0.35">
      <c r="A122" s="255"/>
      <c r="B122" s="256" t="s">
        <v>38</v>
      </c>
      <c r="C122" s="263">
        <v>1187010827</v>
      </c>
      <c r="D122" s="263">
        <v>784846806</v>
      </c>
      <c r="E122" s="263">
        <v>402164021</v>
      </c>
      <c r="F122" s="263">
        <v>-410004276</v>
      </c>
      <c r="G122" s="263">
        <v>2525557</v>
      </c>
      <c r="H122" s="263">
        <v>-412529833</v>
      </c>
      <c r="I122" s="263">
        <v>777006551</v>
      </c>
      <c r="J122" s="263">
        <v>787372363</v>
      </c>
      <c r="K122" s="263">
        <v>-10365812</v>
      </c>
    </row>
    <row r="123" spans="1:11" x14ac:dyDescent="0.35">
      <c r="A123" s="258">
        <v>57</v>
      </c>
      <c r="B123" s="259" t="s">
        <v>489</v>
      </c>
      <c r="C123" s="264">
        <v>1187010827</v>
      </c>
      <c r="D123" s="264">
        <v>784846806</v>
      </c>
      <c r="E123" s="264">
        <v>402164021</v>
      </c>
      <c r="F123" s="264">
        <v>-410004276</v>
      </c>
      <c r="G123" s="264">
        <v>2525557</v>
      </c>
      <c r="H123" s="264">
        <v>-412529833</v>
      </c>
      <c r="I123" s="264">
        <v>777006551</v>
      </c>
      <c r="J123" s="264">
        <v>787372363</v>
      </c>
      <c r="K123" s="264">
        <v>-10365812</v>
      </c>
    </row>
    <row r="124" spans="1:11" x14ac:dyDescent="0.35">
      <c r="A124" s="255"/>
      <c r="B124" s="256" t="s">
        <v>39</v>
      </c>
      <c r="C124" s="263">
        <v>3368080583</v>
      </c>
      <c r="D124" s="263">
        <v>4448209008</v>
      </c>
      <c r="E124" s="263">
        <v>-1080128425</v>
      </c>
      <c r="F124" s="263">
        <v>849046216</v>
      </c>
      <c r="G124" s="263">
        <v>-197721262</v>
      </c>
      <c r="H124" s="263">
        <v>1046767478</v>
      </c>
      <c r="I124" s="263">
        <v>4217126799</v>
      </c>
      <c r="J124" s="263">
        <v>4250487746</v>
      </c>
      <c r="K124" s="263">
        <v>-33360947</v>
      </c>
    </row>
    <row r="125" spans="1:11" x14ac:dyDescent="0.35">
      <c r="A125" s="265">
        <v>58</v>
      </c>
      <c r="B125" s="266" t="s">
        <v>490</v>
      </c>
      <c r="C125" s="267">
        <v>3368080583</v>
      </c>
      <c r="D125" s="267">
        <v>4448209008</v>
      </c>
      <c r="E125" s="267">
        <v>-1080128425</v>
      </c>
      <c r="F125" s="267">
        <v>849046216</v>
      </c>
      <c r="G125" s="267">
        <v>-197721262</v>
      </c>
      <c r="H125" s="267">
        <v>1046767478</v>
      </c>
      <c r="I125" s="267">
        <v>4217126799</v>
      </c>
      <c r="J125" s="267">
        <v>4250487746</v>
      </c>
      <c r="K125" s="267">
        <v>-33360947</v>
      </c>
    </row>
    <row r="126" spans="1:11" x14ac:dyDescent="0.35">
      <c r="A126" s="255"/>
      <c r="B126" s="256" t="s">
        <v>157</v>
      </c>
      <c r="C126" s="263">
        <v>1585084480</v>
      </c>
      <c r="D126" s="263">
        <v>23822090</v>
      </c>
      <c r="E126" s="263">
        <v>1561262390</v>
      </c>
      <c r="F126" s="263">
        <v>-1405352502</v>
      </c>
      <c r="G126" s="263">
        <v>177051978</v>
      </c>
      <c r="H126" s="263">
        <v>-1582404480</v>
      </c>
      <c r="I126" s="263">
        <v>179731978</v>
      </c>
      <c r="J126" s="263">
        <v>200874068</v>
      </c>
      <c r="K126" s="263">
        <v>-21142090</v>
      </c>
    </row>
    <row r="127" spans="1:11" ht="30" x14ac:dyDescent="0.35">
      <c r="A127" s="258">
        <v>59</v>
      </c>
      <c r="B127" s="259" t="s">
        <v>54</v>
      </c>
      <c r="C127" s="264">
        <v>1585084480</v>
      </c>
      <c r="D127" s="264">
        <v>23822090</v>
      </c>
      <c r="E127" s="264">
        <v>1561262390</v>
      </c>
      <c r="F127" s="264">
        <v>-1405352502</v>
      </c>
      <c r="G127" s="264">
        <v>177051978</v>
      </c>
      <c r="H127" s="264">
        <v>-1582404480</v>
      </c>
      <c r="I127" s="264">
        <v>179731978</v>
      </c>
      <c r="J127" s="264">
        <v>200874068</v>
      </c>
      <c r="K127" s="264">
        <v>-21142090</v>
      </c>
    </row>
    <row r="128" spans="1:11" x14ac:dyDescent="0.35">
      <c r="A128" s="246"/>
      <c r="B128" s="247" t="s">
        <v>41</v>
      </c>
      <c r="C128" s="248">
        <v>235151562719.99872</v>
      </c>
      <c r="D128" s="248">
        <v>182739777120</v>
      </c>
      <c r="E128" s="248">
        <v>52411785599.998703</v>
      </c>
      <c r="F128" s="248">
        <v>-2701475204.0364199</v>
      </c>
      <c r="G128" s="248">
        <v>49699730089</v>
      </c>
      <c r="H128" s="248">
        <v>-52401205293.036423</v>
      </c>
      <c r="I128" s="248">
        <v>232450087515.96228</v>
      </c>
      <c r="J128" s="248">
        <v>232439507209</v>
      </c>
      <c r="K128" s="248">
        <v>10580306.962280273</v>
      </c>
    </row>
    <row r="130" spans="2:3" x14ac:dyDescent="0.35">
      <c r="B130" s="291" t="s">
        <v>500</v>
      </c>
    </row>
    <row r="132" spans="2:3" ht="15.75" thickBot="1" x14ac:dyDescent="0.4">
      <c r="B132" s="55" t="s">
        <v>492</v>
      </c>
      <c r="C132" s="24" t="s">
        <v>493</v>
      </c>
    </row>
    <row r="133" spans="2:3" x14ac:dyDescent="0.35">
      <c r="B133" s="272" t="s">
        <v>494</v>
      </c>
      <c r="C133" s="273">
        <v>13384745067.745342</v>
      </c>
    </row>
    <row r="134" spans="2:3" x14ac:dyDescent="0.35">
      <c r="B134" s="240" t="s">
        <v>495</v>
      </c>
      <c r="C134" s="274">
        <v>-8802348560.8638</v>
      </c>
    </row>
    <row r="135" spans="2:3" x14ac:dyDescent="0.35">
      <c r="B135" s="272" t="s">
        <v>496</v>
      </c>
      <c r="C135" s="273">
        <v>-4078692669.3842459</v>
      </c>
    </row>
    <row r="136" spans="2:3" x14ac:dyDescent="0.35">
      <c r="B136" s="240" t="s">
        <v>497</v>
      </c>
      <c r="C136" s="274">
        <v>-3253196514.1362</v>
      </c>
    </row>
    <row r="137" spans="2:3" x14ac:dyDescent="0.35">
      <c r="B137" s="272" t="s">
        <v>498</v>
      </c>
      <c r="C137" s="273">
        <v>-6337804.3478260897</v>
      </c>
    </row>
    <row r="138" spans="2:3" x14ac:dyDescent="0.35">
      <c r="B138" s="240" t="s">
        <v>499</v>
      </c>
      <c r="C138" s="274">
        <v>-105223</v>
      </c>
    </row>
    <row r="139" spans="2:3" x14ac:dyDescent="0.35">
      <c r="B139" s="275" t="s">
        <v>447</v>
      </c>
      <c r="C139" s="276">
        <v>-2755935703.9867296</v>
      </c>
    </row>
    <row r="141" spans="2:3" x14ac:dyDescent="0.35">
      <c r="B141" s="277" t="s">
        <v>501</v>
      </c>
    </row>
    <row r="143" spans="2:3" ht="15.75" thickBot="1" x14ac:dyDescent="0.4">
      <c r="B143" s="55" t="s">
        <v>492</v>
      </c>
      <c r="C143" s="24" t="s">
        <v>518</v>
      </c>
    </row>
    <row r="144" spans="2:3" x14ac:dyDescent="0.35">
      <c r="B144" s="272" t="s">
        <v>455</v>
      </c>
      <c r="C144" s="284">
        <v>9499046778</v>
      </c>
    </row>
    <row r="145" spans="2:3" x14ac:dyDescent="0.35">
      <c r="B145" s="240" t="s">
        <v>519</v>
      </c>
      <c r="C145" s="285">
        <v>956571145</v>
      </c>
    </row>
    <row r="146" spans="2:3" x14ac:dyDescent="0.35">
      <c r="B146" s="272" t="s">
        <v>443</v>
      </c>
      <c r="C146" s="284">
        <v>789267081</v>
      </c>
    </row>
    <row r="147" spans="2:3" x14ac:dyDescent="0.35">
      <c r="B147" s="240" t="s">
        <v>290</v>
      </c>
      <c r="C147" s="285">
        <v>554685525</v>
      </c>
    </row>
    <row r="148" spans="2:3" x14ac:dyDescent="0.35">
      <c r="B148" s="272" t="s">
        <v>520</v>
      </c>
      <c r="C148" s="284">
        <v>394908009</v>
      </c>
    </row>
    <row r="149" spans="2:3" x14ac:dyDescent="0.35">
      <c r="B149" s="240" t="s">
        <v>521</v>
      </c>
      <c r="C149" s="285">
        <v>383736782</v>
      </c>
    </row>
    <row r="150" spans="2:3" x14ac:dyDescent="0.35">
      <c r="B150" s="272" t="s">
        <v>522</v>
      </c>
      <c r="C150" s="284">
        <v>274480720</v>
      </c>
    </row>
    <row r="151" spans="2:3" x14ac:dyDescent="0.35">
      <c r="B151" s="240" t="s">
        <v>523</v>
      </c>
      <c r="C151" s="285">
        <v>214898905</v>
      </c>
    </row>
    <row r="152" spans="2:3" x14ac:dyDescent="0.35">
      <c r="B152" s="272" t="s">
        <v>453</v>
      </c>
      <c r="C152" s="284">
        <v>191421556</v>
      </c>
    </row>
    <row r="153" spans="2:3" x14ac:dyDescent="0.35">
      <c r="B153" s="240" t="s">
        <v>157</v>
      </c>
      <c r="C153" s="285">
        <v>125728567</v>
      </c>
    </row>
    <row r="154" spans="2:3" x14ac:dyDescent="0.35">
      <c r="B154" s="275" t="s">
        <v>447</v>
      </c>
      <c r="C154" s="286">
        <v>13384745068</v>
      </c>
    </row>
    <row r="156" spans="2:3" x14ac:dyDescent="0.35">
      <c r="B156" s="277" t="s">
        <v>495</v>
      </c>
    </row>
    <row r="158" spans="2:3" ht="60.75" thickBot="1" x14ac:dyDescent="0.4">
      <c r="B158" s="55" t="s">
        <v>502</v>
      </c>
      <c r="C158" s="24" t="s">
        <v>505</v>
      </c>
    </row>
    <row r="159" spans="2:3" x14ac:dyDescent="0.35">
      <c r="B159" s="240" t="s">
        <v>450</v>
      </c>
      <c r="C159" s="287">
        <v>-7396996059</v>
      </c>
    </row>
    <row r="160" spans="2:3" x14ac:dyDescent="0.35">
      <c r="B160" s="272" t="s">
        <v>508</v>
      </c>
      <c r="C160" s="288" t="s">
        <v>503</v>
      </c>
    </row>
    <row r="161" spans="2:3" x14ac:dyDescent="0.35">
      <c r="B161" s="240" t="s">
        <v>509</v>
      </c>
      <c r="C161" s="287">
        <v>-520611021</v>
      </c>
    </row>
    <row r="162" spans="2:3" x14ac:dyDescent="0.35">
      <c r="B162" s="272" t="s">
        <v>510</v>
      </c>
      <c r="C162" s="288">
        <v>-197138444</v>
      </c>
    </row>
    <row r="163" spans="2:3" x14ac:dyDescent="0.35">
      <c r="B163" s="240" t="s">
        <v>157</v>
      </c>
      <c r="C163" s="287">
        <v>-93539000</v>
      </c>
    </row>
    <row r="164" spans="2:3" x14ac:dyDescent="0.35">
      <c r="B164" s="275" t="s">
        <v>504</v>
      </c>
      <c r="C164" s="276">
        <v>-8802348561</v>
      </c>
    </row>
    <row r="166" spans="2:3" x14ac:dyDescent="0.35">
      <c r="B166" s="277" t="s">
        <v>506</v>
      </c>
    </row>
    <row r="168" spans="2:3" ht="15.75" thickBot="1" x14ac:dyDescent="0.4">
      <c r="B168" s="55" t="s">
        <v>492</v>
      </c>
      <c r="C168" s="24" t="s">
        <v>518</v>
      </c>
    </row>
    <row r="169" spans="2:3" x14ac:dyDescent="0.35">
      <c r="B169" s="272" t="s">
        <v>449</v>
      </c>
      <c r="C169" s="273">
        <v>-2016721721</v>
      </c>
    </row>
    <row r="170" spans="2:3" x14ac:dyDescent="0.35">
      <c r="B170" s="240" t="s">
        <v>452</v>
      </c>
      <c r="C170" s="274">
        <v>-834306205</v>
      </c>
    </row>
    <row r="171" spans="2:3" x14ac:dyDescent="0.35">
      <c r="B171" s="272" t="s">
        <v>445</v>
      </c>
      <c r="C171" s="273">
        <v>-813960160</v>
      </c>
    </row>
    <row r="172" spans="2:3" x14ac:dyDescent="0.35">
      <c r="B172" s="240" t="s">
        <v>157</v>
      </c>
      <c r="C172" s="274">
        <v>-413704583</v>
      </c>
    </row>
    <row r="173" spans="2:3" x14ac:dyDescent="0.35">
      <c r="B173" s="275" t="s">
        <v>447</v>
      </c>
      <c r="C173" s="276">
        <v>-4078692669</v>
      </c>
    </row>
    <row r="175" spans="2:3" x14ac:dyDescent="0.35">
      <c r="B175" s="277" t="s">
        <v>507</v>
      </c>
    </row>
    <row r="177" spans="2:3" ht="15.75" thickBot="1" x14ac:dyDescent="0.4">
      <c r="B177" s="55" t="s">
        <v>492</v>
      </c>
      <c r="C177" s="24" t="s">
        <v>518</v>
      </c>
    </row>
    <row r="178" spans="2:3" x14ac:dyDescent="0.35">
      <c r="B178" s="272" t="s">
        <v>511</v>
      </c>
      <c r="C178" s="273">
        <v>-4584434881</v>
      </c>
    </row>
    <row r="179" spans="2:3" x14ac:dyDescent="0.35">
      <c r="B179" s="240" t="s">
        <v>512</v>
      </c>
      <c r="C179" s="274">
        <v>1325256038</v>
      </c>
    </row>
    <row r="180" spans="2:3" x14ac:dyDescent="0.35">
      <c r="B180" s="272" t="s">
        <v>157</v>
      </c>
      <c r="C180" s="273">
        <v>5982329</v>
      </c>
    </row>
    <row r="181" spans="2:3" x14ac:dyDescent="0.35">
      <c r="B181" s="275" t="s">
        <v>447</v>
      </c>
      <c r="C181" s="289">
        <v>-3253196514</v>
      </c>
    </row>
    <row r="183" spans="2:3" x14ac:dyDescent="0.35">
      <c r="B183" s="291" t="s">
        <v>513</v>
      </c>
    </row>
    <row r="185" spans="2:3" ht="15.75" thickBot="1" x14ac:dyDescent="0.4">
      <c r="B185" s="55" t="s">
        <v>514</v>
      </c>
      <c r="C185" s="24" t="s">
        <v>515</v>
      </c>
    </row>
    <row r="186" spans="2:3" x14ac:dyDescent="0.35">
      <c r="B186" s="272" t="s">
        <v>524</v>
      </c>
      <c r="C186" s="273">
        <v>30550789496</v>
      </c>
    </row>
    <row r="187" spans="2:3" x14ac:dyDescent="0.35">
      <c r="B187" s="240" t="s">
        <v>525</v>
      </c>
      <c r="C187" s="274">
        <v>24936095646</v>
      </c>
    </row>
    <row r="188" spans="2:3" x14ac:dyDescent="0.35">
      <c r="B188" s="272" t="s">
        <v>526</v>
      </c>
      <c r="C188" s="273">
        <v>-297231176</v>
      </c>
    </row>
    <row r="189" spans="2:3" x14ac:dyDescent="0.35">
      <c r="B189" s="240" t="s">
        <v>498</v>
      </c>
      <c r="C189" s="274">
        <v>55775752</v>
      </c>
    </row>
    <row r="190" spans="2:3" x14ac:dyDescent="0.35">
      <c r="B190" s="272" t="s">
        <v>516</v>
      </c>
      <c r="C190" s="273">
        <v>-36068615</v>
      </c>
    </row>
    <row r="191" spans="2:3" x14ac:dyDescent="0.35">
      <c r="B191" s="240" t="s">
        <v>495</v>
      </c>
      <c r="C191" s="274">
        <v>-1429805</v>
      </c>
    </row>
    <row r="192" spans="2:3" x14ac:dyDescent="0.35">
      <c r="B192" s="272" t="s">
        <v>517</v>
      </c>
      <c r="C192" s="273">
        <v>-115632</v>
      </c>
    </row>
    <row r="193" spans="2:3" x14ac:dyDescent="0.35">
      <c r="B193" s="275" t="s">
        <v>447</v>
      </c>
      <c r="C193" s="276">
        <v>55207815666</v>
      </c>
    </row>
    <row r="195" spans="2:3" x14ac:dyDescent="0.35">
      <c r="B195" s="277" t="s">
        <v>527</v>
      </c>
    </row>
    <row r="197" spans="2:3" ht="60.75" thickBot="1" x14ac:dyDescent="0.4">
      <c r="B197" s="55" t="s">
        <v>502</v>
      </c>
      <c r="C197" s="24" t="s">
        <v>528</v>
      </c>
    </row>
    <row r="198" spans="2:3" x14ac:dyDescent="0.35">
      <c r="B198" s="272" t="s">
        <v>541</v>
      </c>
      <c r="C198" s="297">
        <v>8074495543</v>
      </c>
    </row>
    <row r="199" spans="2:3" x14ac:dyDescent="0.35">
      <c r="B199" s="240" t="s">
        <v>542</v>
      </c>
      <c r="C199" s="298">
        <v>6726086726</v>
      </c>
    </row>
    <row r="200" spans="2:3" x14ac:dyDescent="0.35">
      <c r="B200" s="272" t="s">
        <v>543</v>
      </c>
      <c r="C200" s="297">
        <v>5081712710</v>
      </c>
    </row>
    <row r="201" spans="2:3" x14ac:dyDescent="0.35">
      <c r="B201" s="240" t="s">
        <v>544</v>
      </c>
      <c r="C201" s="298">
        <v>2921395700</v>
      </c>
    </row>
    <row r="202" spans="2:3" x14ac:dyDescent="0.35">
      <c r="B202" s="299" t="s">
        <v>458</v>
      </c>
      <c r="C202" s="297">
        <v>448015831</v>
      </c>
    </row>
    <row r="203" spans="2:3" x14ac:dyDescent="0.35">
      <c r="B203" s="250" t="s">
        <v>442</v>
      </c>
      <c r="C203" s="298">
        <v>367398802</v>
      </c>
    </row>
    <row r="204" spans="2:3" x14ac:dyDescent="0.35">
      <c r="B204" s="299" t="s">
        <v>467</v>
      </c>
      <c r="C204" s="297">
        <v>331364301</v>
      </c>
    </row>
    <row r="205" spans="2:3" x14ac:dyDescent="0.35">
      <c r="B205" s="250" t="s">
        <v>449</v>
      </c>
      <c r="C205" s="298">
        <v>311093186</v>
      </c>
    </row>
    <row r="206" spans="2:3" x14ac:dyDescent="0.35">
      <c r="B206" s="299" t="s">
        <v>463</v>
      </c>
      <c r="C206" s="297">
        <v>304408537</v>
      </c>
    </row>
    <row r="207" spans="2:3" x14ac:dyDescent="0.35">
      <c r="B207" s="250" t="s">
        <v>464</v>
      </c>
      <c r="C207" s="298">
        <v>99272248</v>
      </c>
    </row>
    <row r="208" spans="2:3" x14ac:dyDescent="0.35">
      <c r="B208" s="299" t="s">
        <v>453</v>
      </c>
      <c r="C208" s="297">
        <v>89874912</v>
      </c>
    </row>
    <row r="209" spans="2:3" x14ac:dyDescent="0.35">
      <c r="B209" s="250" t="s">
        <v>462</v>
      </c>
      <c r="C209" s="298">
        <v>72121918</v>
      </c>
    </row>
    <row r="210" spans="2:3" x14ac:dyDescent="0.35">
      <c r="B210" s="299" t="s">
        <v>461</v>
      </c>
      <c r="C210" s="297">
        <v>57752971</v>
      </c>
    </row>
    <row r="211" spans="2:3" x14ac:dyDescent="0.35">
      <c r="B211" s="250" t="s">
        <v>456</v>
      </c>
      <c r="C211" s="298">
        <v>41302420</v>
      </c>
    </row>
    <row r="212" spans="2:3" x14ac:dyDescent="0.35">
      <c r="B212" s="299" t="s">
        <v>237</v>
      </c>
      <c r="C212" s="297">
        <v>5000000</v>
      </c>
    </row>
    <row r="213" spans="2:3" x14ac:dyDescent="0.35">
      <c r="B213" s="250" t="s">
        <v>459</v>
      </c>
      <c r="C213" s="298">
        <v>3868082</v>
      </c>
    </row>
    <row r="214" spans="2:3" x14ac:dyDescent="0.35">
      <c r="B214" s="299" t="s">
        <v>448</v>
      </c>
      <c r="C214" s="297">
        <v>931759</v>
      </c>
    </row>
    <row r="215" spans="2:3" x14ac:dyDescent="0.35">
      <c r="B215" s="275" t="s">
        <v>504</v>
      </c>
      <c r="C215" s="286">
        <v>24936095646</v>
      </c>
    </row>
    <row r="217" spans="2:3" x14ac:dyDescent="0.35">
      <c r="B217" s="277" t="s">
        <v>507</v>
      </c>
    </row>
    <row r="219" spans="2:3" ht="60.75" thickBot="1" x14ac:dyDescent="0.4">
      <c r="B219" s="55" t="s">
        <v>502</v>
      </c>
      <c r="C219" s="24" t="s">
        <v>528</v>
      </c>
    </row>
    <row r="220" spans="2:3" x14ac:dyDescent="0.35">
      <c r="B220" s="299" t="s">
        <v>278</v>
      </c>
      <c r="C220" s="288">
        <v>-229548029</v>
      </c>
    </row>
    <row r="221" spans="2:3" x14ac:dyDescent="0.35">
      <c r="B221" s="250" t="s">
        <v>462</v>
      </c>
      <c r="C221" s="287">
        <v>-37837419</v>
      </c>
    </row>
    <row r="222" spans="2:3" x14ac:dyDescent="0.35">
      <c r="B222" s="299" t="s">
        <v>451</v>
      </c>
      <c r="C222" s="288">
        <v>-23117510</v>
      </c>
    </row>
    <row r="223" spans="2:3" x14ac:dyDescent="0.35">
      <c r="B223" s="250" t="s">
        <v>454</v>
      </c>
      <c r="C223" s="287">
        <v>-6134157</v>
      </c>
    </row>
    <row r="224" spans="2:3" x14ac:dyDescent="0.35">
      <c r="B224" s="299" t="s">
        <v>449</v>
      </c>
      <c r="C224" s="288">
        <v>5000000</v>
      </c>
    </row>
    <row r="225" spans="1:9" x14ac:dyDescent="0.35">
      <c r="B225" s="250" t="s">
        <v>455</v>
      </c>
      <c r="C225" s="287">
        <v>-2853190</v>
      </c>
    </row>
    <row r="226" spans="1:9" x14ac:dyDescent="0.35">
      <c r="B226" s="299" t="s">
        <v>442</v>
      </c>
      <c r="C226" s="288">
        <v>-1753447</v>
      </c>
    </row>
    <row r="227" spans="1:9" x14ac:dyDescent="0.35">
      <c r="B227" s="250" t="s">
        <v>456</v>
      </c>
      <c r="C227" s="287">
        <v>-939184</v>
      </c>
    </row>
    <row r="228" spans="1:9" x14ac:dyDescent="0.35">
      <c r="B228" s="299" t="s">
        <v>443</v>
      </c>
      <c r="C228" s="288">
        <v>-48240</v>
      </c>
    </row>
    <row r="229" spans="1:9" x14ac:dyDescent="0.35">
      <c r="B229" s="275" t="s">
        <v>504</v>
      </c>
      <c r="C229" s="276" t="s">
        <v>529</v>
      </c>
    </row>
    <row r="231" spans="1:9" x14ac:dyDescent="0.35">
      <c r="B231" s="291" t="s">
        <v>545</v>
      </c>
    </row>
    <row r="233" spans="1:9" ht="15.75" thickBot="1" x14ac:dyDescent="0.4">
      <c r="A233" s="643" t="s">
        <v>433</v>
      </c>
      <c r="B233" s="644" t="s">
        <v>530</v>
      </c>
      <c r="C233" s="643" t="s">
        <v>531</v>
      </c>
      <c r="D233" s="634" t="s">
        <v>532</v>
      </c>
      <c r="E233" s="634"/>
      <c r="F233" s="634"/>
      <c r="G233" s="634"/>
      <c r="H233" s="634"/>
      <c r="I233" s="634"/>
    </row>
    <row r="234" spans="1:9" ht="60" x14ac:dyDescent="0.35">
      <c r="A234" s="643"/>
      <c r="B234" s="644"/>
      <c r="C234" s="643"/>
      <c r="D234" s="70" t="s">
        <v>533</v>
      </c>
      <c r="E234" s="70" t="s">
        <v>534</v>
      </c>
      <c r="F234" s="70" t="s">
        <v>535</v>
      </c>
      <c r="G234" s="70" t="s">
        <v>536</v>
      </c>
      <c r="H234" s="70" t="s">
        <v>537</v>
      </c>
      <c r="I234" s="70" t="s">
        <v>538</v>
      </c>
    </row>
    <row r="235" spans="1:9" x14ac:dyDescent="0.35">
      <c r="A235" s="292">
        <v>1</v>
      </c>
      <c r="B235" s="293" t="s">
        <v>448</v>
      </c>
      <c r="C235" s="260">
        <v>0</v>
      </c>
      <c r="D235" s="260">
        <v>0</v>
      </c>
      <c r="E235" s="260">
        <v>0</v>
      </c>
      <c r="F235" s="260">
        <v>0</v>
      </c>
      <c r="G235" s="260">
        <v>0</v>
      </c>
      <c r="H235" s="260">
        <v>0</v>
      </c>
      <c r="I235" s="260">
        <v>0</v>
      </c>
    </row>
    <row r="236" spans="1:9" x14ac:dyDescent="0.35">
      <c r="A236" s="294">
        <v>2</v>
      </c>
      <c r="B236" s="295" t="s">
        <v>449</v>
      </c>
      <c r="C236" s="296">
        <v>-41516427.5</v>
      </c>
      <c r="D236" s="296">
        <v>0</v>
      </c>
      <c r="E236" s="296">
        <v>-10000000</v>
      </c>
      <c r="F236" s="296">
        <v>-23219227.5</v>
      </c>
      <c r="G236" s="296">
        <v>0</v>
      </c>
      <c r="H236" s="296">
        <v>-8297200</v>
      </c>
      <c r="I236" s="296">
        <v>0</v>
      </c>
    </row>
    <row r="237" spans="1:9" x14ac:dyDescent="0.35">
      <c r="A237" s="292">
        <v>3</v>
      </c>
      <c r="B237" s="293" t="s">
        <v>450</v>
      </c>
      <c r="C237" s="260">
        <v>117987.56227755547</v>
      </c>
      <c r="D237" s="260">
        <v>0</v>
      </c>
      <c r="E237" s="260">
        <v>0</v>
      </c>
      <c r="F237" s="260">
        <v>0</v>
      </c>
      <c r="G237" s="260">
        <v>0</v>
      </c>
      <c r="H237" s="260">
        <v>0</v>
      </c>
      <c r="I237" s="260">
        <v>117987.56227755547</v>
      </c>
    </row>
    <row r="238" spans="1:9" x14ac:dyDescent="0.35">
      <c r="A238" s="294">
        <v>4</v>
      </c>
      <c r="B238" s="295" t="s">
        <v>451</v>
      </c>
      <c r="C238" s="296">
        <v>-19550259</v>
      </c>
      <c r="D238" s="296">
        <v>0</v>
      </c>
      <c r="E238" s="296">
        <v>0</v>
      </c>
      <c r="F238" s="296">
        <v>0</v>
      </c>
      <c r="G238" s="296">
        <v>0</v>
      </c>
      <c r="H238" s="296">
        <v>-19550259</v>
      </c>
      <c r="I238" s="296">
        <v>0</v>
      </c>
    </row>
    <row r="239" spans="1:9" x14ac:dyDescent="0.35">
      <c r="A239" s="292">
        <v>5</v>
      </c>
      <c r="B239" s="293" t="s">
        <v>452</v>
      </c>
      <c r="C239" s="260">
        <v>975957063.44000006</v>
      </c>
      <c r="D239" s="260">
        <v>0</v>
      </c>
      <c r="E239" s="260">
        <v>0</v>
      </c>
      <c r="F239" s="260">
        <v>35098525</v>
      </c>
      <c r="G239" s="260">
        <v>1116002395.4400001</v>
      </c>
      <c r="H239" s="260">
        <v>-175143857</v>
      </c>
      <c r="I239" s="260">
        <v>0</v>
      </c>
    </row>
    <row r="240" spans="1:9" x14ac:dyDescent="0.35">
      <c r="A240" s="294">
        <v>6</v>
      </c>
      <c r="B240" s="295" t="s">
        <v>453</v>
      </c>
      <c r="C240" s="296">
        <v>196674</v>
      </c>
      <c r="D240" s="296">
        <v>0</v>
      </c>
      <c r="E240" s="296">
        <v>0</v>
      </c>
      <c r="F240" s="296">
        <v>0</v>
      </c>
      <c r="G240" s="296">
        <v>0</v>
      </c>
      <c r="H240" s="296">
        <v>0</v>
      </c>
      <c r="I240" s="296">
        <v>196674</v>
      </c>
    </row>
    <row r="241" spans="1:9" x14ac:dyDescent="0.35">
      <c r="A241" s="292">
        <v>7</v>
      </c>
      <c r="B241" s="293" t="s">
        <v>454</v>
      </c>
      <c r="C241" s="260">
        <v>0</v>
      </c>
      <c r="D241" s="260">
        <v>0</v>
      </c>
      <c r="E241" s="260">
        <v>0</v>
      </c>
      <c r="F241" s="260">
        <v>0</v>
      </c>
      <c r="G241" s="260">
        <v>0</v>
      </c>
      <c r="H241" s="260">
        <v>0</v>
      </c>
      <c r="I241" s="260">
        <v>0</v>
      </c>
    </row>
    <row r="242" spans="1:9" x14ac:dyDescent="0.35">
      <c r="A242" s="294">
        <v>8</v>
      </c>
      <c r="B242" s="295" t="s">
        <v>455</v>
      </c>
      <c r="C242" s="296">
        <v>-7347471</v>
      </c>
      <c r="D242" s="296">
        <v>0</v>
      </c>
      <c r="E242" s="296">
        <v>-7347471</v>
      </c>
      <c r="F242" s="296">
        <v>0</v>
      </c>
      <c r="G242" s="296">
        <v>0</v>
      </c>
      <c r="H242" s="296">
        <v>0</v>
      </c>
      <c r="I242" s="296">
        <v>0</v>
      </c>
    </row>
    <row r="243" spans="1:9" x14ac:dyDescent="0.35">
      <c r="A243" s="292">
        <v>9</v>
      </c>
      <c r="B243" s="293" t="s">
        <v>278</v>
      </c>
      <c r="C243" s="260">
        <v>-22789317.540000003</v>
      </c>
      <c r="D243" s="260">
        <v>0</v>
      </c>
      <c r="E243" s="260">
        <v>0</v>
      </c>
      <c r="F243" s="260">
        <v>0</v>
      </c>
      <c r="G243" s="260">
        <v>-3051789</v>
      </c>
      <c r="H243" s="260">
        <v>-19903477</v>
      </c>
      <c r="I243" s="260">
        <v>165948.45999999717</v>
      </c>
    </row>
    <row r="244" spans="1:9" x14ac:dyDescent="0.35">
      <c r="A244" s="294">
        <v>10</v>
      </c>
      <c r="B244" s="295" t="s">
        <v>456</v>
      </c>
      <c r="C244" s="296">
        <v>-180002</v>
      </c>
      <c r="D244" s="296">
        <v>0</v>
      </c>
      <c r="E244" s="296">
        <v>0</v>
      </c>
      <c r="F244" s="296">
        <v>0</v>
      </c>
      <c r="G244" s="296">
        <v>0</v>
      </c>
      <c r="H244" s="296">
        <v>0</v>
      </c>
      <c r="I244" s="296">
        <v>-180002</v>
      </c>
    </row>
    <row r="245" spans="1:9" x14ac:dyDescent="0.35">
      <c r="A245" s="292">
        <v>11</v>
      </c>
      <c r="B245" s="293" t="s">
        <v>457</v>
      </c>
      <c r="C245" s="260">
        <v>-10063169</v>
      </c>
      <c r="D245" s="260">
        <v>-10063169</v>
      </c>
      <c r="E245" s="260">
        <v>0</v>
      </c>
      <c r="F245" s="260">
        <v>0</v>
      </c>
      <c r="G245" s="260">
        <v>0</v>
      </c>
      <c r="H245" s="260">
        <v>0</v>
      </c>
      <c r="I245" s="260">
        <v>0</v>
      </c>
    </row>
    <row r="246" spans="1:9" x14ac:dyDescent="0.35">
      <c r="A246" s="294">
        <v>12</v>
      </c>
      <c r="B246" s="295" t="s">
        <v>458</v>
      </c>
      <c r="C246" s="296">
        <v>14761515</v>
      </c>
      <c r="D246" s="296">
        <v>0</v>
      </c>
      <c r="E246" s="296">
        <v>0</v>
      </c>
      <c r="F246" s="296">
        <v>14770289</v>
      </c>
      <c r="G246" s="296">
        <v>0</v>
      </c>
      <c r="H246" s="296">
        <v>0</v>
      </c>
      <c r="I246" s="296">
        <v>-8774</v>
      </c>
    </row>
    <row r="247" spans="1:9" x14ac:dyDescent="0.35">
      <c r="A247" s="292">
        <v>13</v>
      </c>
      <c r="B247" s="293" t="s">
        <v>459</v>
      </c>
      <c r="C247" s="260">
        <v>0</v>
      </c>
      <c r="D247" s="260">
        <v>0</v>
      </c>
      <c r="E247" s="260">
        <v>0</v>
      </c>
      <c r="F247" s="260">
        <v>0</v>
      </c>
      <c r="G247" s="260">
        <v>0</v>
      </c>
      <c r="H247" s="260">
        <v>0</v>
      </c>
      <c r="I247" s="260">
        <v>0</v>
      </c>
    </row>
    <row r="248" spans="1:9" x14ac:dyDescent="0.35">
      <c r="A248" s="294">
        <v>14</v>
      </c>
      <c r="B248" s="295" t="s">
        <v>460</v>
      </c>
      <c r="C248" s="296">
        <v>-17102739</v>
      </c>
      <c r="D248" s="296">
        <v>0</v>
      </c>
      <c r="E248" s="296">
        <v>-17312590</v>
      </c>
      <c r="F248" s="296">
        <v>0</v>
      </c>
      <c r="G248" s="296">
        <v>0</v>
      </c>
      <c r="H248" s="296">
        <v>0</v>
      </c>
      <c r="I248" s="296">
        <v>209851</v>
      </c>
    </row>
    <row r="249" spans="1:9" x14ac:dyDescent="0.35">
      <c r="A249" s="292">
        <v>15</v>
      </c>
      <c r="B249" s="293" t="s">
        <v>461</v>
      </c>
      <c r="C249" s="260">
        <v>653225</v>
      </c>
      <c r="D249" s="260">
        <v>0</v>
      </c>
      <c r="E249" s="260">
        <v>0</v>
      </c>
      <c r="F249" s="260">
        <v>662000</v>
      </c>
      <c r="G249" s="260">
        <v>0</v>
      </c>
      <c r="H249" s="260">
        <v>0</v>
      </c>
      <c r="I249" s="260">
        <v>-8775</v>
      </c>
    </row>
    <row r="250" spans="1:9" x14ac:dyDescent="0.35">
      <c r="A250" s="294">
        <v>16</v>
      </c>
      <c r="B250" s="295" t="s">
        <v>462</v>
      </c>
      <c r="C250" s="296">
        <v>0</v>
      </c>
      <c r="D250" s="296">
        <v>0</v>
      </c>
      <c r="E250" s="296">
        <v>0</v>
      </c>
      <c r="F250" s="296">
        <v>0</v>
      </c>
      <c r="G250" s="296">
        <v>0</v>
      </c>
      <c r="H250" s="296">
        <v>0</v>
      </c>
      <c r="I250" s="296">
        <v>0</v>
      </c>
    </row>
    <row r="251" spans="1:9" x14ac:dyDescent="0.35">
      <c r="A251" s="292">
        <v>17</v>
      </c>
      <c r="B251" s="293" t="s">
        <v>463</v>
      </c>
      <c r="C251" s="260">
        <v>-400000</v>
      </c>
      <c r="D251" s="260">
        <v>0</v>
      </c>
      <c r="E251" s="260">
        <v>0</v>
      </c>
      <c r="F251" s="260">
        <v>0</v>
      </c>
      <c r="G251" s="260">
        <v>0</v>
      </c>
      <c r="H251" s="260">
        <v>0</v>
      </c>
      <c r="I251" s="260">
        <v>-400000</v>
      </c>
    </row>
    <row r="252" spans="1:9" x14ac:dyDescent="0.35">
      <c r="A252" s="294">
        <v>18</v>
      </c>
      <c r="B252" s="295" t="s">
        <v>464</v>
      </c>
      <c r="C252" s="296">
        <v>-334479</v>
      </c>
      <c r="D252" s="296">
        <v>0</v>
      </c>
      <c r="E252" s="296">
        <v>0</v>
      </c>
      <c r="F252" s="296">
        <v>0</v>
      </c>
      <c r="G252" s="296">
        <v>0</v>
      </c>
      <c r="H252" s="296">
        <v>0</v>
      </c>
      <c r="I252" s="296">
        <v>-334479</v>
      </c>
    </row>
    <row r="253" spans="1:9" x14ac:dyDescent="0.35">
      <c r="A253" s="292">
        <v>19</v>
      </c>
      <c r="B253" s="293" t="s">
        <v>465</v>
      </c>
      <c r="C253" s="260">
        <v>-71068544</v>
      </c>
      <c r="D253" s="260">
        <v>-71068544</v>
      </c>
      <c r="E253" s="260">
        <v>0</v>
      </c>
      <c r="F253" s="260">
        <v>0</v>
      </c>
      <c r="G253" s="260">
        <v>0</v>
      </c>
      <c r="H253" s="260">
        <v>0</v>
      </c>
      <c r="I253" s="260">
        <v>0</v>
      </c>
    </row>
    <row r="254" spans="1:9" x14ac:dyDescent="0.35">
      <c r="A254" s="294">
        <v>20</v>
      </c>
      <c r="B254" s="295" t="s">
        <v>466</v>
      </c>
      <c r="C254" s="296">
        <v>-288573299</v>
      </c>
      <c r="D254" s="296">
        <v>0</v>
      </c>
      <c r="E254" s="296">
        <v>0</v>
      </c>
      <c r="F254" s="296">
        <v>0</v>
      </c>
      <c r="G254" s="296">
        <v>10499214</v>
      </c>
      <c r="H254" s="296">
        <v>-299421665</v>
      </c>
      <c r="I254" s="296">
        <v>349152</v>
      </c>
    </row>
    <row r="255" spans="1:9" x14ac:dyDescent="0.35">
      <c r="A255" s="292">
        <v>21</v>
      </c>
      <c r="B255" s="293" t="s">
        <v>467</v>
      </c>
      <c r="C255" s="260">
        <v>-411647013</v>
      </c>
      <c r="D255" s="260">
        <v>0</v>
      </c>
      <c r="E255" s="260">
        <v>0</v>
      </c>
      <c r="F255" s="260">
        <v>0</v>
      </c>
      <c r="G255" s="260">
        <v>-168000</v>
      </c>
      <c r="H255" s="260">
        <v>-411155367</v>
      </c>
      <c r="I255" s="260">
        <v>-323646</v>
      </c>
    </row>
    <row r="256" spans="1:9" x14ac:dyDescent="0.35">
      <c r="A256" s="294">
        <v>22</v>
      </c>
      <c r="B256" s="295" t="s">
        <v>468</v>
      </c>
      <c r="C256" s="296">
        <v>-90533438</v>
      </c>
      <c r="D256" s="296">
        <v>-90533438</v>
      </c>
      <c r="E256" s="296">
        <v>0</v>
      </c>
      <c r="F256" s="296">
        <v>0</v>
      </c>
      <c r="G256" s="296">
        <v>0</v>
      </c>
      <c r="H256" s="296">
        <v>0</v>
      </c>
      <c r="I256" s="296">
        <v>0</v>
      </c>
    </row>
    <row r="257" spans="1:10" x14ac:dyDescent="0.35">
      <c r="A257" s="292">
        <v>23</v>
      </c>
      <c r="B257" s="293" t="s">
        <v>539</v>
      </c>
      <c r="C257" s="260">
        <v>0</v>
      </c>
      <c r="D257" s="260">
        <v>0</v>
      </c>
      <c r="E257" s="260">
        <v>0</v>
      </c>
      <c r="F257" s="260">
        <v>0</v>
      </c>
      <c r="G257" s="260">
        <v>0</v>
      </c>
      <c r="H257" s="260">
        <v>0</v>
      </c>
      <c r="I257" s="260">
        <v>0</v>
      </c>
    </row>
    <row r="258" spans="1:10" x14ac:dyDescent="0.35">
      <c r="A258" s="294">
        <v>24</v>
      </c>
      <c r="B258" s="295" t="s">
        <v>237</v>
      </c>
      <c r="C258" s="296">
        <v>480167</v>
      </c>
      <c r="D258" s="296">
        <v>0</v>
      </c>
      <c r="E258" s="296">
        <v>0</v>
      </c>
      <c r="F258" s="296">
        <v>0</v>
      </c>
      <c r="G258" s="296">
        <v>0</v>
      </c>
      <c r="H258" s="296">
        <v>0</v>
      </c>
      <c r="I258" s="296">
        <v>480167</v>
      </c>
    </row>
    <row r="259" spans="1:10" x14ac:dyDescent="0.35">
      <c r="A259" s="292">
        <v>25</v>
      </c>
      <c r="B259" s="293" t="s">
        <v>441</v>
      </c>
      <c r="C259" s="260">
        <v>20761356</v>
      </c>
      <c r="D259" s="260">
        <v>0</v>
      </c>
      <c r="E259" s="260">
        <v>0</v>
      </c>
      <c r="F259" s="260">
        <v>20761356</v>
      </c>
      <c r="G259" s="260">
        <v>0</v>
      </c>
      <c r="H259" s="260">
        <v>0</v>
      </c>
      <c r="I259" s="260">
        <v>0</v>
      </c>
    </row>
    <row r="260" spans="1:10" x14ac:dyDescent="0.35">
      <c r="A260" s="294">
        <v>26</v>
      </c>
      <c r="B260" s="295" t="s">
        <v>442</v>
      </c>
      <c r="C260" s="296">
        <v>0</v>
      </c>
      <c r="D260" s="296">
        <v>0</v>
      </c>
      <c r="E260" s="296">
        <v>0</v>
      </c>
      <c r="F260" s="296">
        <v>0</v>
      </c>
      <c r="G260" s="296">
        <v>0</v>
      </c>
      <c r="H260" s="296">
        <v>0</v>
      </c>
      <c r="I260" s="296">
        <v>0</v>
      </c>
    </row>
    <row r="261" spans="1:10" x14ac:dyDescent="0.35">
      <c r="A261" s="292">
        <v>27</v>
      </c>
      <c r="B261" s="293" t="s">
        <v>443</v>
      </c>
      <c r="C261" s="260">
        <v>1066832</v>
      </c>
      <c r="D261" s="260">
        <v>0</v>
      </c>
      <c r="E261" s="260">
        <v>0</v>
      </c>
      <c r="F261" s="260">
        <v>900000</v>
      </c>
      <c r="G261" s="260">
        <v>0</v>
      </c>
      <c r="H261" s="260">
        <v>0</v>
      </c>
      <c r="I261" s="260">
        <v>166832</v>
      </c>
    </row>
    <row r="262" spans="1:10" x14ac:dyDescent="0.35">
      <c r="A262" s="294">
        <v>28</v>
      </c>
      <c r="B262" s="295" t="s">
        <v>444</v>
      </c>
      <c r="C262" s="296">
        <v>-1640580</v>
      </c>
      <c r="D262" s="296">
        <v>0</v>
      </c>
      <c r="E262" s="296">
        <v>-1640580</v>
      </c>
      <c r="F262" s="296">
        <v>0</v>
      </c>
      <c r="G262" s="296">
        <v>0</v>
      </c>
      <c r="H262" s="296">
        <v>0</v>
      </c>
      <c r="I262" s="296">
        <v>0</v>
      </c>
    </row>
    <row r="263" spans="1:10" x14ac:dyDescent="0.35">
      <c r="A263" s="292">
        <v>29</v>
      </c>
      <c r="B263" s="293" t="s">
        <v>445</v>
      </c>
      <c r="C263" s="260">
        <v>-40375770</v>
      </c>
      <c r="D263" s="260">
        <v>0</v>
      </c>
      <c r="E263" s="260">
        <v>-41046835</v>
      </c>
      <c r="F263" s="260">
        <v>0</v>
      </c>
      <c r="G263" s="260">
        <v>0</v>
      </c>
      <c r="H263" s="260">
        <v>0</v>
      </c>
      <c r="I263" s="260">
        <v>671065</v>
      </c>
    </row>
    <row r="264" spans="1:10" x14ac:dyDescent="0.35">
      <c r="A264" s="294">
        <v>30</v>
      </c>
      <c r="B264" s="295" t="s">
        <v>446</v>
      </c>
      <c r="C264" s="296">
        <v>-457297536</v>
      </c>
      <c r="D264" s="296">
        <v>0</v>
      </c>
      <c r="E264" s="296">
        <v>0</v>
      </c>
      <c r="F264" s="296">
        <v>0</v>
      </c>
      <c r="G264" s="296">
        <v>-455910078</v>
      </c>
      <c r="H264" s="296">
        <v>-1387458</v>
      </c>
      <c r="I264" s="296">
        <v>0</v>
      </c>
    </row>
    <row r="265" spans="1:10" x14ac:dyDescent="0.35">
      <c r="A265" s="276"/>
      <c r="B265" s="289" t="s">
        <v>540</v>
      </c>
      <c r="C265" s="276">
        <v>-466425224.03772235</v>
      </c>
      <c r="D265" s="276">
        <v>-171665151</v>
      </c>
      <c r="E265" s="276">
        <v>-77347476</v>
      </c>
      <c r="F265" s="276">
        <v>48972942.5</v>
      </c>
      <c r="G265" s="276">
        <v>667371742.44000006</v>
      </c>
      <c r="H265" s="276">
        <v>-934859283</v>
      </c>
      <c r="I265" s="276">
        <v>1102001.0222775526</v>
      </c>
    </row>
    <row r="267" spans="1:10" x14ac:dyDescent="0.35">
      <c r="B267" s="291" t="s">
        <v>554</v>
      </c>
    </row>
    <row r="269" spans="1:10" x14ac:dyDescent="0.35">
      <c r="B269" s="277" t="s">
        <v>555</v>
      </c>
    </row>
    <row r="270" spans="1:10" ht="15.75" thickBot="1" x14ac:dyDescent="0.4"/>
    <row r="271" spans="1:10" x14ac:dyDescent="0.35">
      <c r="B271" s="635" t="s">
        <v>502</v>
      </c>
      <c r="C271" s="637" t="s">
        <v>45</v>
      </c>
      <c r="D271" s="638"/>
      <c r="E271" s="638"/>
      <c r="F271" s="639"/>
      <c r="G271" s="637" t="s">
        <v>546</v>
      </c>
      <c r="H271" s="639"/>
      <c r="I271" s="637" t="s">
        <v>547</v>
      </c>
      <c r="J271" s="639"/>
    </row>
    <row r="272" spans="1:10" ht="60.75" thickBot="1" x14ac:dyDescent="0.4">
      <c r="B272" s="636"/>
      <c r="C272" s="301" t="s">
        <v>63</v>
      </c>
      <c r="D272" s="107" t="s">
        <v>101</v>
      </c>
      <c r="E272" s="107" t="s">
        <v>65</v>
      </c>
      <c r="F272" s="302" t="s">
        <v>548</v>
      </c>
      <c r="G272" s="301" t="s">
        <v>65</v>
      </c>
      <c r="H272" s="302" t="s">
        <v>548</v>
      </c>
      <c r="I272" s="301" t="s">
        <v>65</v>
      </c>
      <c r="J272" s="302" t="s">
        <v>548</v>
      </c>
    </row>
    <row r="273" spans="2:10" ht="16.5" thickTop="1" thickBot="1" x14ac:dyDescent="0.4">
      <c r="B273" s="303" t="s">
        <v>67</v>
      </c>
      <c r="C273" s="304" t="s">
        <v>69</v>
      </c>
      <c r="D273" s="305" t="s">
        <v>549</v>
      </c>
      <c r="E273" s="306" t="s">
        <v>550</v>
      </c>
      <c r="F273" s="307" t="s">
        <v>551</v>
      </c>
      <c r="G273" s="308" t="s">
        <v>552</v>
      </c>
      <c r="H273" s="309">
        <v>396742715</v>
      </c>
      <c r="I273" s="308" t="s">
        <v>553</v>
      </c>
      <c r="J273" s="309">
        <v>480232286</v>
      </c>
    </row>
    <row r="275" spans="2:10" x14ac:dyDescent="0.35">
      <c r="B275" s="291" t="s">
        <v>556</v>
      </c>
    </row>
    <row r="277" spans="2:10" ht="15.75" thickBot="1" x14ac:dyDescent="0.4">
      <c r="B277" s="640" t="s">
        <v>145</v>
      </c>
      <c r="C277" s="640" t="s">
        <v>438</v>
      </c>
      <c r="D277" s="640" t="s">
        <v>557</v>
      </c>
      <c r="E277" s="642" t="s">
        <v>558</v>
      </c>
      <c r="F277" s="642"/>
      <c r="G277" s="642"/>
    </row>
    <row r="278" spans="2:10" ht="15.75" thickBot="1" x14ac:dyDescent="0.4">
      <c r="B278" s="641"/>
      <c r="C278" s="641"/>
      <c r="D278" s="641"/>
      <c r="E278" s="310" t="s">
        <v>373</v>
      </c>
      <c r="F278" s="310" t="s">
        <v>502</v>
      </c>
      <c r="G278" s="310" t="s">
        <v>559</v>
      </c>
    </row>
    <row r="279" spans="2:10" ht="16.5" thickTop="1" thickBot="1" x14ac:dyDescent="0.4">
      <c r="B279" s="620" t="s">
        <v>560</v>
      </c>
      <c r="C279" s="623" t="s">
        <v>561</v>
      </c>
      <c r="D279" s="311" t="s">
        <v>562</v>
      </c>
      <c r="E279" s="312">
        <v>136833661801</v>
      </c>
      <c r="F279" s="312">
        <v>147954684761</v>
      </c>
      <c r="G279" s="312">
        <v>-11121022960</v>
      </c>
    </row>
    <row r="280" spans="2:10" ht="15.75" thickBot="1" x14ac:dyDescent="0.4">
      <c r="B280" s="621"/>
      <c r="C280" s="624"/>
      <c r="D280" s="311" t="s">
        <v>563</v>
      </c>
      <c r="E280" s="312">
        <v>9276683225</v>
      </c>
      <c r="F280" s="313" t="s">
        <v>96</v>
      </c>
      <c r="G280" s="312">
        <v>9276683225</v>
      </c>
    </row>
    <row r="281" spans="2:10" ht="15.75" thickBot="1" x14ac:dyDescent="0.4">
      <c r="B281" s="621"/>
      <c r="C281" s="625" t="s">
        <v>564</v>
      </c>
      <c r="D281" s="625"/>
      <c r="E281" s="314">
        <v>146110345026</v>
      </c>
      <c r="F281" s="314">
        <v>147954684761</v>
      </c>
      <c r="G281" s="314">
        <v>-1844339735</v>
      </c>
    </row>
    <row r="282" spans="2:10" ht="16.5" thickTop="1" thickBot="1" x14ac:dyDescent="0.4">
      <c r="B282" s="621"/>
      <c r="C282" s="311" t="s">
        <v>565</v>
      </c>
      <c r="D282" s="311" t="s">
        <v>563</v>
      </c>
      <c r="E282" s="312">
        <v>393837512046</v>
      </c>
      <c r="F282" s="312">
        <v>392586704467</v>
      </c>
      <c r="G282" s="312">
        <v>1250807579</v>
      </c>
    </row>
    <row r="283" spans="2:10" ht="15.75" thickBot="1" x14ac:dyDescent="0.4">
      <c r="B283" s="622"/>
      <c r="C283" s="311" t="s">
        <v>566</v>
      </c>
      <c r="D283" s="311" t="s">
        <v>563</v>
      </c>
      <c r="E283" s="312">
        <v>1711482352</v>
      </c>
      <c r="F283" s="313" t="s">
        <v>567</v>
      </c>
      <c r="G283" s="312">
        <v>1711482352</v>
      </c>
    </row>
    <row r="284" spans="2:10" ht="15.75" thickBot="1" x14ac:dyDescent="0.4">
      <c r="B284" s="626" t="s">
        <v>568</v>
      </c>
      <c r="C284" s="315" t="s">
        <v>565</v>
      </c>
      <c r="D284" s="315" t="s">
        <v>563</v>
      </c>
      <c r="E284" s="316" t="s">
        <v>96</v>
      </c>
      <c r="F284" s="317">
        <v>374908490</v>
      </c>
      <c r="G284" s="316" t="s">
        <v>569</v>
      </c>
    </row>
    <row r="285" spans="2:10" ht="15.75" thickBot="1" x14ac:dyDescent="0.4">
      <c r="B285" s="627"/>
      <c r="C285" s="315" t="s">
        <v>561</v>
      </c>
      <c r="D285" s="315" t="s">
        <v>563</v>
      </c>
      <c r="E285" s="316" t="s">
        <v>96</v>
      </c>
      <c r="F285" s="317">
        <v>143623609</v>
      </c>
      <c r="G285" s="316" t="s">
        <v>570</v>
      </c>
    </row>
    <row r="286" spans="2:10" x14ac:dyDescent="0.35">
      <c r="B286" s="632" t="s">
        <v>595</v>
      </c>
      <c r="C286" s="628" t="s">
        <v>571</v>
      </c>
      <c r="D286" s="630" t="s">
        <v>572</v>
      </c>
      <c r="E286" s="609">
        <v>172960130620</v>
      </c>
      <c r="F286" s="609">
        <v>533842674117</v>
      </c>
      <c r="G286" s="609">
        <v>-360882543497</v>
      </c>
    </row>
    <row r="287" spans="2:10" ht="15.75" thickBot="1" x14ac:dyDescent="0.4">
      <c r="B287" s="633"/>
      <c r="C287" s="629"/>
      <c r="D287" s="631"/>
      <c r="E287" s="610"/>
      <c r="F287" s="610"/>
      <c r="G287" s="610"/>
    </row>
    <row r="288" spans="2:10" ht="15.75" thickBot="1" x14ac:dyDescent="0.4">
      <c r="B288" s="611" t="s">
        <v>573</v>
      </c>
      <c r="C288" s="614" t="s">
        <v>574</v>
      </c>
      <c r="D288" s="321" t="s">
        <v>575</v>
      </c>
      <c r="E288" s="322">
        <v>18200000</v>
      </c>
      <c r="F288" s="322">
        <v>18200000</v>
      </c>
      <c r="G288" s="323" t="s">
        <v>43</v>
      </c>
    </row>
    <row r="289" spans="2:7" ht="15.75" thickBot="1" x14ac:dyDescent="0.4">
      <c r="B289" s="612"/>
      <c r="C289" s="615"/>
      <c r="D289" s="315" t="s">
        <v>576</v>
      </c>
      <c r="E289" s="317">
        <v>8551585800</v>
      </c>
      <c r="F289" s="317">
        <v>21800118950</v>
      </c>
      <c r="G289" s="324">
        <v>-13248533150</v>
      </c>
    </row>
    <row r="290" spans="2:7" ht="15.75" thickBot="1" x14ac:dyDescent="0.4">
      <c r="B290" s="612"/>
      <c r="C290" s="615"/>
      <c r="D290" s="315" t="s">
        <v>577</v>
      </c>
      <c r="E290" s="317">
        <v>122316000</v>
      </c>
      <c r="F290" s="317">
        <v>4785000</v>
      </c>
      <c r="G290" s="324">
        <v>117531000</v>
      </c>
    </row>
    <row r="291" spans="2:7" ht="15.75" thickBot="1" x14ac:dyDescent="0.4">
      <c r="B291" s="612"/>
      <c r="C291" s="615"/>
      <c r="D291" s="315" t="s">
        <v>578</v>
      </c>
      <c r="E291" s="317">
        <v>31200000</v>
      </c>
      <c r="F291" s="317">
        <v>134463000</v>
      </c>
      <c r="G291" s="324">
        <v>-103263000</v>
      </c>
    </row>
    <row r="292" spans="2:7" ht="15.75" thickBot="1" x14ac:dyDescent="0.4">
      <c r="B292" s="612"/>
      <c r="C292" s="615"/>
      <c r="D292" s="315" t="s">
        <v>579</v>
      </c>
      <c r="E292" s="317">
        <v>8088234500</v>
      </c>
      <c r="F292" s="317">
        <v>27805009450</v>
      </c>
      <c r="G292" s="324">
        <v>-19716774950</v>
      </c>
    </row>
    <row r="293" spans="2:7" ht="15.75" thickBot="1" x14ac:dyDescent="0.4">
      <c r="B293" s="612"/>
      <c r="C293" s="615"/>
      <c r="D293" s="315" t="s">
        <v>580</v>
      </c>
      <c r="E293" s="317">
        <v>149200000</v>
      </c>
      <c r="F293" s="317">
        <v>1572723200</v>
      </c>
      <c r="G293" s="324">
        <v>-1423523200</v>
      </c>
    </row>
    <row r="294" spans="2:7" ht="15.75" thickBot="1" x14ac:dyDescent="0.4">
      <c r="B294" s="612"/>
      <c r="C294" s="616"/>
      <c r="D294" s="272" t="s">
        <v>581</v>
      </c>
      <c r="E294" s="284">
        <v>11775000</v>
      </c>
      <c r="F294" s="217"/>
      <c r="G294" s="325">
        <v>11775000</v>
      </c>
    </row>
    <row r="295" spans="2:7" ht="16.5" thickTop="1" thickBot="1" x14ac:dyDescent="0.4">
      <c r="B295" s="612"/>
      <c r="C295" s="617" t="s">
        <v>582</v>
      </c>
      <c r="D295" s="617"/>
      <c r="E295" s="318">
        <v>16972511300</v>
      </c>
      <c r="F295" s="318">
        <v>51335299600</v>
      </c>
      <c r="G295" s="326">
        <v>-34362788300</v>
      </c>
    </row>
    <row r="296" spans="2:7" ht="16.5" thickTop="1" thickBot="1" x14ac:dyDescent="0.4">
      <c r="B296" s="612"/>
      <c r="C296" s="618" t="s">
        <v>583</v>
      </c>
      <c r="D296" s="315" t="s">
        <v>575</v>
      </c>
      <c r="E296" s="317">
        <v>287390000</v>
      </c>
      <c r="F296" s="317">
        <v>130813500</v>
      </c>
      <c r="G296" s="324">
        <v>156576500</v>
      </c>
    </row>
    <row r="297" spans="2:7" ht="15.75" thickBot="1" x14ac:dyDescent="0.4">
      <c r="B297" s="612"/>
      <c r="C297" s="615"/>
      <c r="D297" s="315" t="s">
        <v>576</v>
      </c>
      <c r="E297" s="317">
        <v>2307978400</v>
      </c>
      <c r="F297" s="317">
        <v>1949347100</v>
      </c>
      <c r="G297" s="324">
        <v>358631300</v>
      </c>
    </row>
    <row r="298" spans="2:7" ht="15.75" thickBot="1" x14ac:dyDescent="0.4">
      <c r="B298" s="612"/>
      <c r="C298" s="615"/>
      <c r="D298" s="315" t="s">
        <v>584</v>
      </c>
      <c r="E298" s="317">
        <v>710605580</v>
      </c>
      <c r="F298" s="317">
        <v>300244740</v>
      </c>
      <c r="G298" s="324">
        <v>410360840</v>
      </c>
    </row>
    <row r="299" spans="2:7" ht="15.75" thickBot="1" x14ac:dyDescent="0.4">
      <c r="B299" s="612"/>
      <c r="C299" s="615"/>
      <c r="D299" s="315" t="s">
        <v>579</v>
      </c>
      <c r="E299" s="317">
        <v>7609406000</v>
      </c>
      <c r="F299" s="317">
        <v>1094455440</v>
      </c>
      <c r="G299" s="324">
        <v>6514950560</v>
      </c>
    </row>
    <row r="300" spans="2:7" ht="15.75" thickBot="1" x14ac:dyDescent="0.4">
      <c r="B300" s="612"/>
      <c r="C300" s="615"/>
      <c r="D300" s="315" t="s">
        <v>585</v>
      </c>
      <c r="E300" s="317">
        <v>13300000</v>
      </c>
      <c r="F300" s="319"/>
      <c r="G300" s="324">
        <v>13300000</v>
      </c>
    </row>
    <row r="301" spans="2:7" ht="15.75" thickBot="1" x14ac:dyDescent="0.4">
      <c r="B301" s="612"/>
      <c r="C301" s="616"/>
      <c r="D301" s="272" t="s">
        <v>581</v>
      </c>
      <c r="E301" s="284">
        <v>114271080</v>
      </c>
      <c r="F301" s="217"/>
      <c r="G301" s="325">
        <v>114271080</v>
      </c>
    </row>
    <row r="302" spans="2:7" ht="16.5" thickTop="1" thickBot="1" x14ac:dyDescent="0.4">
      <c r="B302" s="612"/>
      <c r="C302" s="617" t="s">
        <v>586</v>
      </c>
      <c r="D302" s="617"/>
      <c r="E302" s="318">
        <v>11042951060</v>
      </c>
      <c r="F302" s="318">
        <v>3474860780</v>
      </c>
      <c r="G302" s="326">
        <v>7568090280</v>
      </c>
    </row>
    <row r="303" spans="2:7" ht="16.5" thickTop="1" thickBot="1" x14ac:dyDescent="0.4">
      <c r="B303" s="612"/>
      <c r="C303" s="618" t="s">
        <v>587</v>
      </c>
      <c r="D303" s="315" t="s">
        <v>588</v>
      </c>
      <c r="E303" s="319"/>
      <c r="F303" s="317">
        <v>34820000</v>
      </c>
      <c r="G303" s="324">
        <v>-34820000</v>
      </c>
    </row>
    <row r="304" spans="2:7" ht="15.75" thickBot="1" x14ac:dyDescent="0.4">
      <c r="B304" s="612"/>
      <c r="C304" s="615"/>
      <c r="D304" s="315" t="s">
        <v>589</v>
      </c>
      <c r="E304" s="317">
        <v>6070748250</v>
      </c>
      <c r="F304" s="317">
        <v>6031024025</v>
      </c>
      <c r="G304" s="324">
        <v>39724225</v>
      </c>
    </row>
    <row r="305" spans="2:7" ht="15.75" thickBot="1" x14ac:dyDescent="0.4">
      <c r="B305" s="612"/>
      <c r="C305" s="615"/>
      <c r="D305" s="315" t="s">
        <v>590</v>
      </c>
      <c r="E305" s="317">
        <v>1931433702</v>
      </c>
      <c r="F305" s="317">
        <v>1994599434</v>
      </c>
      <c r="G305" s="324">
        <v>-63165732</v>
      </c>
    </row>
    <row r="306" spans="2:7" ht="15.75" thickBot="1" x14ac:dyDescent="0.4">
      <c r="B306" s="612"/>
      <c r="C306" s="615"/>
      <c r="D306" s="315" t="s">
        <v>591</v>
      </c>
      <c r="E306" s="317">
        <v>100098750</v>
      </c>
      <c r="F306" s="317">
        <v>69090250</v>
      </c>
      <c r="G306" s="324">
        <v>31008500</v>
      </c>
    </row>
    <row r="307" spans="2:7" ht="15.75" thickBot="1" x14ac:dyDescent="0.4">
      <c r="B307" s="612"/>
      <c r="C307" s="615"/>
      <c r="D307" s="315" t="s">
        <v>592</v>
      </c>
      <c r="E307" s="317">
        <v>76451250</v>
      </c>
      <c r="F307" s="317">
        <v>111807125</v>
      </c>
      <c r="G307" s="324">
        <v>-35355875</v>
      </c>
    </row>
    <row r="308" spans="2:7" ht="15.75" thickBot="1" x14ac:dyDescent="0.4">
      <c r="B308" s="612"/>
      <c r="C308" s="616"/>
      <c r="D308" s="272" t="s">
        <v>593</v>
      </c>
      <c r="E308" s="284">
        <v>14000000</v>
      </c>
      <c r="F308" s="217"/>
      <c r="G308" s="325">
        <v>14000000</v>
      </c>
    </row>
    <row r="309" spans="2:7" ht="16.5" thickTop="1" thickBot="1" x14ac:dyDescent="0.4">
      <c r="B309" s="613"/>
      <c r="C309" s="619" t="s">
        <v>594</v>
      </c>
      <c r="D309" s="619"/>
      <c r="E309" s="327">
        <v>8192731952</v>
      </c>
      <c r="F309" s="327">
        <v>8241340834</v>
      </c>
      <c r="G309" s="328">
        <v>-48608882</v>
      </c>
    </row>
  </sheetData>
  <mergeCells count="49">
    <mergeCell ref="A13:A14"/>
    <mergeCell ref="B13:B14"/>
    <mergeCell ref="C13:E13"/>
    <mergeCell ref="F13:H13"/>
    <mergeCell ref="I13:K13"/>
    <mergeCell ref="A2:A3"/>
    <mergeCell ref="B2:B3"/>
    <mergeCell ref="C2:E2"/>
    <mergeCell ref="F2:H2"/>
    <mergeCell ref="I2:K2"/>
    <mergeCell ref="A78:A79"/>
    <mergeCell ref="B78:B79"/>
    <mergeCell ref="C78:E78"/>
    <mergeCell ref="F78:H78"/>
    <mergeCell ref="I78:K78"/>
    <mergeCell ref="A40:A41"/>
    <mergeCell ref="B40:B41"/>
    <mergeCell ref="C40:E40"/>
    <mergeCell ref="F40:H40"/>
    <mergeCell ref="I40:K40"/>
    <mergeCell ref="B277:B278"/>
    <mergeCell ref="C277:C278"/>
    <mergeCell ref="D277:D278"/>
    <mergeCell ref="E277:G277"/>
    <mergeCell ref="A233:A234"/>
    <mergeCell ref="B233:B234"/>
    <mergeCell ref="C233:C234"/>
    <mergeCell ref="D233:I233"/>
    <mergeCell ref="B271:B272"/>
    <mergeCell ref="C271:F271"/>
    <mergeCell ref="G271:H271"/>
    <mergeCell ref="I271:J271"/>
    <mergeCell ref="B279:B283"/>
    <mergeCell ref="C279:C280"/>
    <mergeCell ref="C281:D281"/>
    <mergeCell ref="B284:B285"/>
    <mergeCell ref="C286:C287"/>
    <mergeCell ref="D286:D287"/>
    <mergeCell ref="B286:B287"/>
    <mergeCell ref="E286:E287"/>
    <mergeCell ref="F286:F287"/>
    <mergeCell ref="G286:G287"/>
    <mergeCell ref="B288:B309"/>
    <mergeCell ref="C288:C294"/>
    <mergeCell ref="C295:D295"/>
    <mergeCell ref="C296:C301"/>
    <mergeCell ref="C302:D302"/>
    <mergeCell ref="C303:C308"/>
    <mergeCell ref="C309:D30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12E17-A1E6-4C42-8AAC-F384D561154B}">
  <dimension ref="B2:C10"/>
  <sheetViews>
    <sheetView workbookViewId="0">
      <selection activeCell="G15" sqref="G15"/>
    </sheetView>
  </sheetViews>
  <sheetFormatPr baseColWidth="10" defaultColWidth="11.5703125" defaultRowHeight="15" x14ac:dyDescent="0.25"/>
  <cols>
    <col min="1" max="1" width="11.5703125" style="18"/>
    <col min="2" max="2" width="50.5703125" style="18" bestFit="1" customWidth="1"/>
    <col min="3" max="16384" width="11.5703125" style="18"/>
  </cols>
  <sheetData>
    <row r="2" spans="2:3" x14ac:dyDescent="0.25">
      <c r="B2" s="94" t="s">
        <v>603</v>
      </c>
    </row>
    <row r="4" spans="2:3" ht="15.75" thickBot="1" x14ac:dyDescent="0.3">
      <c r="B4" s="136" t="s">
        <v>596</v>
      </c>
      <c r="C4" s="136" t="s">
        <v>597</v>
      </c>
    </row>
    <row r="5" spans="2:3" x14ac:dyDescent="0.25">
      <c r="B5" s="173" t="s">
        <v>598</v>
      </c>
      <c r="C5" s="329">
        <v>10</v>
      </c>
    </row>
    <row r="6" spans="2:3" x14ac:dyDescent="0.25">
      <c r="B6" s="59" t="s">
        <v>599</v>
      </c>
      <c r="C6" s="330">
        <v>3</v>
      </c>
    </row>
    <row r="7" spans="2:3" x14ac:dyDescent="0.25">
      <c r="B7" s="173" t="s">
        <v>600</v>
      </c>
      <c r="C7" s="329">
        <v>2</v>
      </c>
    </row>
    <row r="8" spans="2:3" x14ac:dyDescent="0.25">
      <c r="B8" s="59" t="s">
        <v>601</v>
      </c>
      <c r="C8" s="330">
        <v>1</v>
      </c>
    </row>
    <row r="9" spans="2:3" x14ac:dyDescent="0.25">
      <c r="B9" s="173" t="s">
        <v>602</v>
      </c>
      <c r="C9" s="329">
        <v>1</v>
      </c>
    </row>
    <row r="10" spans="2:3" x14ac:dyDescent="0.25">
      <c r="B10" s="169" t="s">
        <v>41</v>
      </c>
      <c r="C10" s="331">
        <v>17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2375F-C79F-46F2-B945-EB41397448CE}">
  <dimension ref="B2:C16"/>
  <sheetViews>
    <sheetView workbookViewId="0">
      <selection activeCell="H37" sqref="H37"/>
    </sheetView>
  </sheetViews>
  <sheetFormatPr baseColWidth="10" defaultColWidth="11.5703125" defaultRowHeight="15" x14ac:dyDescent="0.25"/>
  <cols>
    <col min="1" max="1" width="11.5703125" style="18"/>
    <col min="2" max="2" width="38" style="18" bestFit="1" customWidth="1"/>
    <col min="3" max="3" width="6.7109375" style="18" bestFit="1" customWidth="1"/>
    <col min="4" max="16384" width="11.5703125" style="18"/>
  </cols>
  <sheetData>
    <row r="2" spans="2:3" x14ac:dyDescent="0.25">
      <c r="B2" s="94" t="s">
        <v>615</v>
      </c>
    </row>
    <row r="4" spans="2:3" ht="15.75" thickBot="1" x14ac:dyDescent="0.3">
      <c r="B4" s="136" t="s">
        <v>596</v>
      </c>
      <c r="C4" s="136">
        <v>2022</v>
      </c>
    </row>
    <row r="5" spans="2:3" x14ac:dyDescent="0.25">
      <c r="B5" s="173" t="s">
        <v>604</v>
      </c>
      <c r="C5" s="332">
        <v>154</v>
      </c>
    </row>
    <row r="6" spans="2:3" x14ac:dyDescent="0.25">
      <c r="B6" s="59" t="s">
        <v>605</v>
      </c>
      <c r="C6" s="333">
        <v>145</v>
      </c>
    </row>
    <row r="7" spans="2:3" x14ac:dyDescent="0.25">
      <c r="B7" s="173" t="s">
        <v>606</v>
      </c>
      <c r="C7" s="332">
        <v>136</v>
      </c>
    </row>
    <row r="8" spans="2:3" x14ac:dyDescent="0.25">
      <c r="B8" s="59" t="s">
        <v>607</v>
      </c>
      <c r="C8" s="333">
        <v>68</v>
      </c>
    </row>
    <row r="9" spans="2:3" x14ac:dyDescent="0.25">
      <c r="B9" s="173" t="s">
        <v>608</v>
      </c>
      <c r="C9" s="332">
        <v>56</v>
      </c>
    </row>
    <row r="10" spans="2:3" x14ac:dyDescent="0.25">
      <c r="B10" s="175" t="s">
        <v>609</v>
      </c>
      <c r="C10" s="334">
        <v>36</v>
      </c>
    </row>
    <row r="11" spans="2:3" x14ac:dyDescent="0.25">
      <c r="B11" s="173" t="s">
        <v>610</v>
      </c>
      <c r="C11" s="332">
        <v>20</v>
      </c>
    </row>
    <row r="12" spans="2:3" x14ac:dyDescent="0.25">
      <c r="B12" s="175" t="s">
        <v>611</v>
      </c>
      <c r="C12" s="334">
        <v>20</v>
      </c>
    </row>
    <row r="13" spans="2:3" x14ac:dyDescent="0.25">
      <c r="B13" s="57" t="s">
        <v>612</v>
      </c>
      <c r="C13" s="335">
        <v>17</v>
      </c>
    </row>
    <row r="14" spans="2:3" x14ac:dyDescent="0.25">
      <c r="B14" s="175" t="s">
        <v>613</v>
      </c>
      <c r="C14" s="334">
        <v>5</v>
      </c>
    </row>
    <row r="15" spans="2:3" x14ac:dyDescent="0.25">
      <c r="B15" s="57" t="s">
        <v>614</v>
      </c>
      <c r="C15" s="335">
        <v>1</v>
      </c>
    </row>
    <row r="16" spans="2:3" x14ac:dyDescent="0.25">
      <c r="B16" s="169" t="s">
        <v>41</v>
      </c>
      <c r="C16" s="336">
        <v>658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6E3F7-34E2-470F-BA85-3AFED8B5BC05}">
  <dimension ref="B2:E21"/>
  <sheetViews>
    <sheetView workbookViewId="0">
      <selection activeCell="E30" sqref="E30"/>
    </sheetView>
  </sheetViews>
  <sheetFormatPr baseColWidth="10" defaultColWidth="11.5703125" defaultRowHeight="15" x14ac:dyDescent="0.25"/>
  <cols>
    <col min="1" max="1" width="11.5703125" style="18"/>
    <col min="2" max="2" width="2.28515625" style="18" bestFit="1" customWidth="1"/>
    <col min="3" max="3" width="25.7109375" style="18" bestFit="1" customWidth="1"/>
    <col min="4" max="4" width="11.28515625" style="18" bestFit="1" customWidth="1"/>
    <col min="5" max="5" width="69.5703125" style="18" bestFit="1" customWidth="1"/>
    <col min="6" max="16384" width="11.5703125" style="18"/>
  </cols>
  <sheetData>
    <row r="2" spans="2:5" x14ac:dyDescent="0.25">
      <c r="B2" s="94" t="s">
        <v>634</v>
      </c>
    </row>
    <row r="4" spans="2:5" ht="43.5" thickBot="1" x14ac:dyDescent="0.3">
      <c r="B4" s="180" t="s">
        <v>233</v>
      </c>
      <c r="C4" s="180" t="s">
        <v>502</v>
      </c>
      <c r="D4" s="180" t="s">
        <v>616</v>
      </c>
      <c r="E4" s="180" t="s">
        <v>617</v>
      </c>
    </row>
    <row r="5" spans="2:5" x14ac:dyDescent="0.25">
      <c r="B5" s="659" t="s">
        <v>618</v>
      </c>
      <c r="C5" s="659"/>
      <c r="D5" s="659"/>
      <c r="E5" s="659"/>
    </row>
    <row r="6" spans="2:5" x14ac:dyDescent="0.25">
      <c r="B6" s="228">
        <v>1</v>
      </c>
      <c r="C6" s="337" t="s">
        <v>253</v>
      </c>
      <c r="D6" s="338">
        <v>0.99</v>
      </c>
      <c r="E6" s="187" t="s">
        <v>619</v>
      </c>
    </row>
    <row r="7" spans="2:5" x14ac:dyDescent="0.25">
      <c r="B7" s="339">
        <v>2</v>
      </c>
      <c r="C7" s="340" t="s">
        <v>620</v>
      </c>
      <c r="D7" s="341">
        <v>1</v>
      </c>
      <c r="E7" s="290" t="s">
        <v>621</v>
      </c>
    </row>
    <row r="8" spans="2:5" x14ac:dyDescent="0.25">
      <c r="B8" s="660" t="s">
        <v>622</v>
      </c>
      <c r="C8" s="660"/>
      <c r="D8" s="660"/>
      <c r="E8" s="660"/>
    </row>
    <row r="9" spans="2:5" x14ac:dyDescent="0.25">
      <c r="B9" s="228">
        <v>3</v>
      </c>
      <c r="C9" s="337" t="s">
        <v>103</v>
      </c>
      <c r="D9" s="338">
        <v>0.1</v>
      </c>
      <c r="E9" s="187" t="s">
        <v>623</v>
      </c>
    </row>
    <row r="10" spans="2:5" x14ac:dyDescent="0.25">
      <c r="B10" s="339">
        <v>4</v>
      </c>
      <c r="C10" s="340" t="s">
        <v>112</v>
      </c>
      <c r="D10" s="341">
        <v>0.1</v>
      </c>
      <c r="E10" s="290" t="s">
        <v>624</v>
      </c>
    </row>
    <row r="11" spans="2:5" x14ac:dyDescent="0.25">
      <c r="B11" s="228">
        <v>5</v>
      </c>
      <c r="C11" s="337" t="s">
        <v>176</v>
      </c>
      <c r="D11" s="338">
        <v>0.1</v>
      </c>
      <c r="E11" s="187" t="s">
        <v>625</v>
      </c>
    </row>
    <row r="12" spans="2:5" x14ac:dyDescent="0.25">
      <c r="B12" s="339">
        <v>6</v>
      </c>
      <c r="C12" s="340" t="s">
        <v>121</v>
      </c>
      <c r="D12" s="341">
        <v>0.15</v>
      </c>
      <c r="E12" s="290" t="s">
        <v>624</v>
      </c>
    </row>
    <row r="13" spans="2:5" x14ac:dyDescent="0.25">
      <c r="B13" s="228">
        <v>7</v>
      </c>
      <c r="C13" s="337" t="s">
        <v>626</v>
      </c>
      <c r="D13" s="338">
        <v>0.1</v>
      </c>
      <c r="E13" s="187" t="s">
        <v>624</v>
      </c>
    </row>
    <row r="14" spans="2:5" x14ac:dyDescent="0.25">
      <c r="B14" s="339">
        <v>8</v>
      </c>
      <c r="C14" s="340" t="s">
        <v>627</v>
      </c>
      <c r="D14" s="341">
        <v>0.1</v>
      </c>
      <c r="E14" s="290" t="s">
        <v>628</v>
      </c>
    </row>
    <row r="15" spans="2:5" x14ac:dyDescent="0.25">
      <c r="B15" s="228">
        <v>9</v>
      </c>
      <c r="C15" s="337" t="s">
        <v>457</v>
      </c>
      <c r="D15" s="338">
        <v>0.1</v>
      </c>
      <c r="E15" s="187" t="s">
        <v>624</v>
      </c>
    </row>
    <row r="16" spans="2:5" x14ac:dyDescent="0.25">
      <c r="B16" s="339">
        <v>10</v>
      </c>
      <c r="C16" s="340" t="s">
        <v>629</v>
      </c>
      <c r="D16" s="341">
        <v>0.15</v>
      </c>
      <c r="E16" s="290" t="s">
        <v>624</v>
      </c>
    </row>
    <row r="17" spans="2:5" x14ac:dyDescent="0.25">
      <c r="B17" s="660" t="s">
        <v>630</v>
      </c>
      <c r="C17" s="660"/>
      <c r="D17" s="660"/>
      <c r="E17" s="660"/>
    </row>
    <row r="18" spans="2:5" x14ac:dyDescent="0.25">
      <c r="B18" s="342">
        <v>11</v>
      </c>
      <c r="C18" s="343" t="s">
        <v>631</v>
      </c>
      <c r="D18" s="344">
        <v>0.1</v>
      </c>
      <c r="E18" s="234" t="s">
        <v>624</v>
      </c>
    </row>
    <row r="19" spans="2:5" x14ac:dyDescent="0.25">
      <c r="B19" s="339">
        <v>12</v>
      </c>
      <c r="C19" s="340" t="s">
        <v>632</v>
      </c>
      <c r="D19" s="341">
        <v>0.1</v>
      </c>
      <c r="E19" s="290" t="s">
        <v>624</v>
      </c>
    </row>
    <row r="20" spans="2:5" x14ac:dyDescent="0.25">
      <c r="B20" s="342">
        <v>13</v>
      </c>
      <c r="C20" s="343" t="s">
        <v>633</v>
      </c>
      <c r="D20" s="344">
        <v>0.1</v>
      </c>
      <c r="E20" s="234" t="s">
        <v>624</v>
      </c>
    </row>
    <row r="21" spans="2:5" ht="28.5" x14ac:dyDescent="0.25">
      <c r="B21" s="339">
        <v>14</v>
      </c>
      <c r="C21" s="340" t="s">
        <v>460</v>
      </c>
      <c r="D21" s="341">
        <v>0.1</v>
      </c>
      <c r="E21" s="290" t="s">
        <v>624</v>
      </c>
    </row>
  </sheetData>
  <mergeCells count="3">
    <mergeCell ref="B5:E5"/>
    <mergeCell ref="B8:E8"/>
    <mergeCell ref="B17:E17"/>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38F2E-8F8D-4F81-9EA3-368CC18043B3}">
  <dimension ref="B2:C42"/>
  <sheetViews>
    <sheetView topLeftCell="A18" workbookViewId="0">
      <selection activeCell="E23" sqref="E23"/>
    </sheetView>
  </sheetViews>
  <sheetFormatPr baseColWidth="10" defaultColWidth="11.5703125" defaultRowHeight="15" x14ac:dyDescent="0.25"/>
  <cols>
    <col min="1" max="1" width="11.5703125" style="18"/>
    <col min="2" max="2" width="75.28515625" style="18" bestFit="1" customWidth="1"/>
    <col min="3" max="3" width="14.28515625" style="18" bestFit="1" customWidth="1"/>
    <col min="4" max="16384" width="11.5703125" style="18"/>
  </cols>
  <sheetData>
    <row r="2" spans="2:3" x14ac:dyDescent="0.25">
      <c r="B2" s="94" t="s">
        <v>635</v>
      </c>
    </row>
    <row r="4" spans="2:3" ht="29.25" thickBot="1" x14ac:dyDescent="0.3">
      <c r="B4" s="280" t="s">
        <v>636</v>
      </c>
      <c r="C4" s="345" t="s">
        <v>639</v>
      </c>
    </row>
    <row r="5" spans="2:3" x14ac:dyDescent="0.25">
      <c r="B5" s="201" t="s">
        <v>449</v>
      </c>
      <c r="C5" s="347">
        <v>112095131693</v>
      </c>
    </row>
    <row r="6" spans="2:3" x14ac:dyDescent="0.25">
      <c r="B6" s="346" t="s">
        <v>450</v>
      </c>
      <c r="C6" s="348">
        <v>86707481974</v>
      </c>
    </row>
    <row r="7" spans="2:3" x14ac:dyDescent="0.25">
      <c r="B7" s="201" t="s">
        <v>451</v>
      </c>
      <c r="C7" s="347">
        <v>66480832667</v>
      </c>
    </row>
    <row r="8" spans="2:3" x14ac:dyDescent="0.25">
      <c r="B8" s="346" t="s">
        <v>454</v>
      </c>
      <c r="C8" s="348">
        <v>53834764621</v>
      </c>
    </row>
    <row r="9" spans="2:3" x14ac:dyDescent="0.25">
      <c r="B9" s="201" t="s">
        <v>452</v>
      </c>
      <c r="C9" s="347">
        <v>14733047934</v>
      </c>
    </row>
    <row r="10" spans="2:3" x14ac:dyDescent="0.25">
      <c r="B10" s="346" t="s">
        <v>456</v>
      </c>
      <c r="C10" s="348">
        <v>14442926120</v>
      </c>
    </row>
    <row r="11" spans="2:3" x14ac:dyDescent="0.25">
      <c r="B11" s="201" t="s">
        <v>455</v>
      </c>
      <c r="C11" s="347">
        <v>13760402267</v>
      </c>
    </row>
    <row r="12" spans="2:3" x14ac:dyDescent="0.25">
      <c r="B12" s="346" t="s">
        <v>458</v>
      </c>
      <c r="C12" s="348">
        <v>4318519177</v>
      </c>
    </row>
    <row r="13" spans="2:3" x14ac:dyDescent="0.25">
      <c r="B13" s="201" t="s">
        <v>278</v>
      </c>
      <c r="C13" s="347">
        <v>3525721547</v>
      </c>
    </row>
    <row r="14" spans="2:3" x14ac:dyDescent="0.25">
      <c r="B14" s="346" t="s">
        <v>464</v>
      </c>
      <c r="C14" s="348">
        <v>3090305249</v>
      </c>
    </row>
    <row r="15" spans="2:3" x14ac:dyDescent="0.25">
      <c r="B15" s="201" t="s">
        <v>453</v>
      </c>
      <c r="C15" s="347">
        <v>2827321000</v>
      </c>
    </row>
    <row r="16" spans="2:3" x14ac:dyDescent="0.25">
      <c r="B16" s="346" t="s">
        <v>463</v>
      </c>
      <c r="C16" s="348">
        <v>934940504</v>
      </c>
    </row>
    <row r="17" spans="2:3" x14ac:dyDescent="0.25">
      <c r="B17" s="201" t="s">
        <v>449</v>
      </c>
      <c r="C17" s="347">
        <v>655701515</v>
      </c>
    </row>
    <row r="18" spans="2:3" x14ac:dyDescent="0.25">
      <c r="B18" s="346" t="s">
        <v>461</v>
      </c>
      <c r="C18" s="348">
        <v>652661712</v>
      </c>
    </row>
    <row r="19" spans="2:3" x14ac:dyDescent="0.25">
      <c r="B19" s="201" t="s">
        <v>462</v>
      </c>
      <c r="C19" s="347">
        <v>617494754</v>
      </c>
    </row>
    <row r="20" spans="2:3" x14ac:dyDescent="0.25">
      <c r="B20" s="346" t="s">
        <v>459</v>
      </c>
      <c r="C20" s="348">
        <v>188606766</v>
      </c>
    </row>
    <row r="21" spans="2:3" x14ac:dyDescent="0.25">
      <c r="B21" s="201" t="s">
        <v>448</v>
      </c>
      <c r="C21" s="347">
        <v>10721572</v>
      </c>
    </row>
    <row r="22" spans="2:3" x14ac:dyDescent="0.25">
      <c r="B22" s="233" t="s">
        <v>638</v>
      </c>
      <c r="C22" s="283">
        <v>378876581072</v>
      </c>
    </row>
    <row r="24" spans="2:3" x14ac:dyDescent="0.25">
      <c r="B24" s="94" t="s">
        <v>640</v>
      </c>
    </row>
    <row r="26" spans="2:3" ht="29.25" thickBot="1" x14ac:dyDescent="0.3">
      <c r="B26" s="280" t="s">
        <v>636</v>
      </c>
      <c r="C26" s="345" t="s">
        <v>639</v>
      </c>
    </row>
    <row r="27" spans="2:3" x14ac:dyDescent="0.25">
      <c r="B27" s="201" t="s">
        <v>454</v>
      </c>
      <c r="C27" s="347">
        <v>384034858550</v>
      </c>
    </row>
    <row r="28" spans="2:3" x14ac:dyDescent="0.25">
      <c r="B28" s="346" t="s">
        <v>451</v>
      </c>
      <c r="C28" s="348">
        <v>150236323716</v>
      </c>
    </row>
    <row r="29" spans="2:3" x14ac:dyDescent="0.25">
      <c r="B29" s="201" t="s">
        <v>450</v>
      </c>
      <c r="C29" s="347">
        <v>117616039337</v>
      </c>
    </row>
    <row r="30" spans="2:3" x14ac:dyDescent="0.25">
      <c r="B30" s="346" t="s">
        <v>449</v>
      </c>
      <c r="C30" s="348">
        <v>77042716253</v>
      </c>
    </row>
    <row r="31" spans="2:3" x14ac:dyDescent="0.25">
      <c r="B31" s="201" t="s">
        <v>278</v>
      </c>
      <c r="C31" s="347">
        <v>73898973869</v>
      </c>
    </row>
    <row r="32" spans="2:3" x14ac:dyDescent="0.25">
      <c r="B32" s="346" t="s">
        <v>455</v>
      </c>
      <c r="C32" s="348">
        <v>37230919097</v>
      </c>
    </row>
    <row r="33" spans="2:3" x14ac:dyDescent="0.25">
      <c r="B33" s="201" t="s">
        <v>452</v>
      </c>
      <c r="C33" s="347">
        <v>33016444737</v>
      </c>
    </row>
    <row r="34" spans="2:3" x14ac:dyDescent="0.25">
      <c r="B34" s="346" t="s">
        <v>458</v>
      </c>
      <c r="C34" s="348">
        <v>2743705855</v>
      </c>
    </row>
    <row r="35" spans="2:3" x14ac:dyDescent="0.25">
      <c r="B35" s="201" t="s">
        <v>456</v>
      </c>
      <c r="C35" s="347">
        <v>2000064108</v>
      </c>
    </row>
    <row r="36" spans="2:3" x14ac:dyDescent="0.25">
      <c r="B36" s="346" t="s">
        <v>463</v>
      </c>
      <c r="C36" s="348">
        <v>1924319566</v>
      </c>
    </row>
    <row r="37" spans="2:3" x14ac:dyDescent="0.25">
      <c r="B37" s="201" t="s">
        <v>453</v>
      </c>
      <c r="C37" s="347">
        <v>1527303607</v>
      </c>
    </row>
    <row r="38" spans="2:3" x14ac:dyDescent="0.25">
      <c r="B38" s="346" t="s">
        <v>459</v>
      </c>
      <c r="C38" s="348">
        <v>494978563</v>
      </c>
    </row>
    <row r="39" spans="2:3" x14ac:dyDescent="0.25">
      <c r="B39" s="201" t="s">
        <v>461</v>
      </c>
      <c r="C39" s="347">
        <v>189523162</v>
      </c>
    </row>
    <row r="40" spans="2:3" x14ac:dyDescent="0.25">
      <c r="B40" s="346" t="s">
        <v>462</v>
      </c>
      <c r="C40" s="348">
        <v>70759597</v>
      </c>
    </row>
    <row r="41" spans="2:3" x14ac:dyDescent="0.25">
      <c r="B41" s="201" t="s">
        <v>448</v>
      </c>
      <c r="C41" s="347">
        <v>2527500</v>
      </c>
    </row>
    <row r="42" spans="2:3" x14ac:dyDescent="0.25">
      <c r="B42" s="233" t="s">
        <v>641</v>
      </c>
      <c r="C42" s="283">
        <v>882029457517</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B3C34-C3AE-4D2D-98C4-A0D107D6EF36}">
  <dimension ref="B2:E14"/>
  <sheetViews>
    <sheetView workbookViewId="0">
      <selection activeCell="G14" sqref="G14"/>
    </sheetView>
  </sheetViews>
  <sheetFormatPr baseColWidth="10" defaultColWidth="11.5703125" defaultRowHeight="15" x14ac:dyDescent="0.25"/>
  <cols>
    <col min="1" max="1" width="11.5703125" style="18"/>
    <col min="2" max="2" width="46.28515625" style="18" customWidth="1"/>
    <col min="3" max="5" width="9.7109375" style="18" bestFit="1" customWidth="1"/>
    <col min="6" max="16384" width="11.5703125" style="18"/>
  </cols>
  <sheetData>
    <row r="2" spans="2:5" x14ac:dyDescent="0.25">
      <c r="B2" s="94" t="s">
        <v>642</v>
      </c>
    </row>
    <row r="3" spans="2:5" ht="15.75" thickBot="1" x14ac:dyDescent="0.3"/>
    <row r="4" spans="2:5" ht="15.75" thickBot="1" x14ac:dyDescent="0.3">
      <c r="B4" s="349" t="s">
        <v>438</v>
      </c>
      <c r="C4" s="349" t="s">
        <v>392</v>
      </c>
      <c r="D4" s="349" t="s">
        <v>487</v>
      </c>
      <c r="E4" s="349" t="s">
        <v>41</v>
      </c>
    </row>
    <row r="5" spans="2:5" x14ac:dyDescent="0.35">
      <c r="B5" s="240" t="s">
        <v>126</v>
      </c>
      <c r="C5" s="285">
        <v>12310000</v>
      </c>
      <c r="D5" s="350"/>
      <c r="E5" s="285">
        <v>12310000</v>
      </c>
    </row>
    <row r="6" spans="2:5" x14ac:dyDescent="0.25">
      <c r="B6" s="272" t="s">
        <v>311</v>
      </c>
      <c r="C6" s="284">
        <v>8127350</v>
      </c>
      <c r="D6" s="284">
        <v>16110000</v>
      </c>
      <c r="E6" s="284">
        <v>24237350</v>
      </c>
    </row>
    <row r="7" spans="2:5" x14ac:dyDescent="0.25">
      <c r="B7" s="240" t="s">
        <v>458</v>
      </c>
      <c r="C7" s="285">
        <v>76953800</v>
      </c>
      <c r="D7" s="285">
        <v>66226000</v>
      </c>
      <c r="E7" s="285">
        <v>143179800</v>
      </c>
    </row>
    <row r="8" spans="2:5" x14ac:dyDescent="0.25">
      <c r="B8" s="272" t="s">
        <v>450</v>
      </c>
      <c r="C8" s="284">
        <v>102506250</v>
      </c>
      <c r="D8" s="284">
        <v>276065547</v>
      </c>
      <c r="E8" s="284">
        <v>378571797</v>
      </c>
    </row>
    <row r="9" spans="2:5" x14ac:dyDescent="0.25">
      <c r="B9" s="240" t="s">
        <v>449</v>
      </c>
      <c r="C9" s="285">
        <v>9413652</v>
      </c>
      <c r="D9" s="351"/>
      <c r="E9" s="285">
        <v>9413652</v>
      </c>
    </row>
    <row r="10" spans="2:5" x14ac:dyDescent="0.25">
      <c r="B10" s="272" t="s">
        <v>456</v>
      </c>
      <c r="C10" s="284">
        <v>4128000</v>
      </c>
      <c r="D10" s="217"/>
      <c r="E10" s="284">
        <v>4128000</v>
      </c>
    </row>
    <row r="11" spans="2:5" x14ac:dyDescent="0.25">
      <c r="B11" s="240" t="s">
        <v>452</v>
      </c>
      <c r="C11" s="351"/>
      <c r="D11" s="285">
        <v>40800000</v>
      </c>
      <c r="E11" s="285">
        <v>40800000</v>
      </c>
    </row>
    <row r="12" spans="2:5" x14ac:dyDescent="0.25">
      <c r="B12" s="272" t="s">
        <v>462</v>
      </c>
      <c r="C12" s="217"/>
      <c r="D12" s="284">
        <v>58024566</v>
      </c>
      <c r="E12" s="284">
        <v>58024566</v>
      </c>
    </row>
    <row r="13" spans="2:5" x14ac:dyDescent="0.25">
      <c r="B13" s="240" t="s">
        <v>453</v>
      </c>
      <c r="C13" s="351"/>
      <c r="D13" s="285">
        <v>12572000</v>
      </c>
      <c r="E13" s="285">
        <v>12572000</v>
      </c>
    </row>
    <row r="14" spans="2:5" x14ac:dyDescent="0.25">
      <c r="B14" s="352" t="s">
        <v>643</v>
      </c>
      <c r="C14" s="286">
        <v>213439052</v>
      </c>
      <c r="D14" s="286">
        <v>469798113</v>
      </c>
      <c r="E14" s="286">
        <v>683237165</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59E17-1ABA-4D4F-893F-6C2B50F6AB62}">
  <dimension ref="B2:D8"/>
  <sheetViews>
    <sheetView workbookViewId="0">
      <selection activeCell="E18" sqref="E18"/>
    </sheetView>
  </sheetViews>
  <sheetFormatPr baseColWidth="10" defaultColWidth="11.5703125" defaultRowHeight="15" x14ac:dyDescent="0.25"/>
  <cols>
    <col min="1" max="1" width="11.5703125" style="18"/>
    <col min="2" max="2" width="36.28515625" style="18" customWidth="1"/>
    <col min="3" max="3" width="11.28515625" style="18" bestFit="1" customWidth="1"/>
    <col min="4" max="4" width="14.28515625" style="18" bestFit="1" customWidth="1"/>
    <col min="5" max="16384" width="11.5703125" style="18"/>
  </cols>
  <sheetData>
    <row r="2" spans="2:4" x14ac:dyDescent="0.25">
      <c r="B2" s="94" t="s">
        <v>644</v>
      </c>
    </row>
    <row r="4" spans="2:4" ht="15.75" thickBot="1" x14ac:dyDescent="0.3">
      <c r="B4" s="136" t="s">
        <v>502</v>
      </c>
      <c r="C4" s="136" t="s">
        <v>34</v>
      </c>
      <c r="D4" s="136" t="s">
        <v>645</v>
      </c>
    </row>
    <row r="5" spans="2:4" x14ac:dyDescent="0.25">
      <c r="B5" s="250" t="s">
        <v>454</v>
      </c>
      <c r="C5" s="250" t="s">
        <v>3</v>
      </c>
      <c r="D5" s="353">
        <v>8290018982</v>
      </c>
    </row>
    <row r="6" spans="2:4" x14ac:dyDescent="0.25">
      <c r="B6" s="299" t="s">
        <v>278</v>
      </c>
      <c r="C6" s="299" t="s">
        <v>3</v>
      </c>
      <c r="D6" s="354">
        <v>22509982</v>
      </c>
    </row>
    <row r="7" spans="2:4" x14ac:dyDescent="0.25">
      <c r="B7" s="250" t="s">
        <v>460</v>
      </c>
      <c r="C7" s="250" t="s">
        <v>3</v>
      </c>
      <c r="D7" s="353">
        <v>3213000</v>
      </c>
    </row>
    <row r="8" spans="2:4" x14ac:dyDescent="0.25">
      <c r="B8" s="661" t="s">
        <v>646</v>
      </c>
      <c r="C8" s="661"/>
      <c r="D8" s="355" t="s">
        <v>647</v>
      </c>
    </row>
  </sheetData>
  <mergeCells count="1">
    <mergeCell ref="B8:C8"/>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5B5BA-2A23-47FC-A295-9608F25D3084}">
  <dimension ref="B2:C7"/>
  <sheetViews>
    <sheetView workbookViewId="0">
      <selection activeCell="C6" sqref="C6"/>
    </sheetView>
  </sheetViews>
  <sheetFormatPr baseColWidth="10" defaultColWidth="11.5703125" defaultRowHeight="15" x14ac:dyDescent="0.25"/>
  <cols>
    <col min="1" max="1" width="11.5703125" style="18"/>
    <col min="2" max="2" width="58.42578125" style="18" customWidth="1"/>
    <col min="3" max="3" width="19.140625" style="18" bestFit="1" customWidth="1"/>
    <col min="4" max="16384" width="11.5703125" style="18"/>
  </cols>
  <sheetData>
    <row r="2" spans="2:3" x14ac:dyDescent="0.25">
      <c r="B2" s="94" t="s">
        <v>652</v>
      </c>
    </row>
    <row r="4" spans="2:3" ht="42.75" x14ac:dyDescent="0.25">
      <c r="B4" s="178" t="s">
        <v>502</v>
      </c>
      <c r="C4" s="69" t="s">
        <v>651</v>
      </c>
    </row>
    <row r="5" spans="2:3" x14ac:dyDescent="0.25">
      <c r="B5" s="234" t="s">
        <v>648</v>
      </c>
      <c r="C5" s="281">
        <v>594064037</v>
      </c>
    </row>
    <row r="6" spans="2:3" x14ac:dyDescent="0.25">
      <c r="B6" s="290" t="s">
        <v>649</v>
      </c>
      <c r="C6" s="282">
        <v>520611021</v>
      </c>
    </row>
    <row r="7" spans="2:3" x14ac:dyDescent="0.25">
      <c r="B7" s="278" t="s">
        <v>650</v>
      </c>
      <c r="C7" s="283">
        <f>SUM(C5:C6)</f>
        <v>1114675058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D35E4-660F-418B-B6A2-D74F2EB3ACE0}">
  <dimension ref="B2:E8"/>
  <sheetViews>
    <sheetView workbookViewId="0">
      <selection activeCell="E17" sqref="E17"/>
    </sheetView>
  </sheetViews>
  <sheetFormatPr baseColWidth="10" defaultColWidth="11.5703125" defaultRowHeight="15" x14ac:dyDescent="0.25"/>
  <cols>
    <col min="1" max="1" width="11.5703125" style="18"/>
    <col min="2" max="2" width="13.7109375" style="18" bestFit="1" customWidth="1"/>
    <col min="3" max="3" width="14.140625" style="18" bestFit="1" customWidth="1"/>
    <col min="4" max="4" width="10.5703125" style="18" bestFit="1" customWidth="1"/>
    <col min="5" max="5" width="8.28515625" style="18" bestFit="1" customWidth="1"/>
    <col min="6" max="16384" width="11.5703125" style="18"/>
  </cols>
  <sheetData>
    <row r="2" spans="2:5" x14ac:dyDescent="0.25">
      <c r="B2" s="94" t="s">
        <v>659</v>
      </c>
    </row>
    <row r="4" spans="2:5" ht="30" x14ac:dyDescent="0.25">
      <c r="B4" s="170"/>
      <c r="C4" s="359" t="s">
        <v>653</v>
      </c>
      <c r="D4" s="365" t="s">
        <v>657</v>
      </c>
      <c r="E4" s="365" t="s">
        <v>658</v>
      </c>
    </row>
    <row r="5" spans="2:5" x14ac:dyDescent="0.25">
      <c r="B5" s="360" t="s">
        <v>654</v>
      </c>
      <c r="C5" s="361">
        <v>0</v>
      </c>
      <c r="D5" s="366">
        <v>0.32490000000000002</v>
      </c>
      <c r="E5" s="361">
        <v>0.6</v>
      </c>
    </row>
    <row r="6" spans="2:5" x14ac:dyDescent="0.25">
      <c r="B6" s="362" t="s">
        <v>655</v>
      </c>
      <c r="C6" s="363">
        <v>0.6</v>
      </c>
      <c r="D6" s="367">
        <v>0.3251</v>
      </c>
      <c r="E6" s="363">
        <v>0.3</v>
      </c>
    </row>
    <row r="7" spans="2:5" ht="30" x14ac:dyDescent="0.25">
      <c r="B7" s="360" t="s">
        <v>656</v>
      </c>
      <c r="C7" s="361">
        <v>0.3</v>
      </c>
      <c r="D7" s="361">
        <v>0.25</v>
      </c>
      <c r="E7" s="361">
        <v>0</v>
      </c>
    </row>
    <row r="8" spans="2:5" x14ac:dyDescent="0.25">
      <c r="B8" s="362" t="s">
        <v>45</v>
      </c>
      <c r="C8" s="363">
        <v>0.1</v>
      </c>
      <c r="D8" s="363">
        <v>0.1</v>
      </c>
      <c r="E8" s="363">
        <v>0.1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A388E-CDD7-42EF-8786-0B137DAD187E}">
  <dimension ref="B2:F7"/>
  <sheetViews>
    <sheetView workbookViewId="0">
      <selection activeCell="H12" sqref="H12"/>
    </sheetView>
  </sheetViews>
  <sheetFormatPr baseColWidth="10" defaultColWidth="11.5703125" defaultRowHeight="15" x14ac:dyDescent="0.25"/>
  <cols>
    <col min="1" max="1" width="11.5703125" style="18"/>
    <col min="2" max="2" width="21.140625" style="18" bestFit="1" customWidth="1"/>
    <col min="3" max="3" width="11.42578125" style="18" bestFit="1" customWidth="1"/>
    <col min="4" max="4" width="14" style="18" bestFit="1" customWidth="1"/>
    <col min="5" max="5" width="11.42578125" style="18" bestFit="1" customWidth="1"/>
    <col min="6" max="6" width="14" style="18" bestFit="1" customWidth="1"/>
    <col min="7" max="16384" width="11.5703125" style="18"/>
  </cols>
  <sheetData>
    <row r="2" spans="2:6" x14ac:dyDescent="0.25">
      <c r="B2" s="94" t="s">
        <v>666</v>
      </c>
    </row>
    <row r="4" spans="2:6" ht="15.75" thickBot="1" x14ac:dyDescent="0.3">
      <c r="B4" s="643" t="s">
        <v>502</v>
      </c>
      <c r="C4" s="634" t="s">
        <v>660</v>
      </c>
      <c r="D4" s="634"/>
      <c r="E4" s="634" t="s">
        <v>661</v>
      </c>
      <c r="F4" s="634"/>
    </row>
    <row r="5" spans="2:6" ht="45.75" thickBot="1" x14ac:dyDescent="0.3">
      <c r="B5" s="634"/>
      <c r="C5" s="24" t="s">
        <v>662</v>
      </c>
      <c r="D5" s="24" t="s">
        <v>663</v>
      </c>
      <c r="E5" s="24" t="s">
        <v>662</v>
      </c>
      <c r="F5" s="24" t="s">
        <v>663</v>
      </c>
    </row>
    <row r="6" spans="2:6" x14ac:dyDescent="0.25">
      <c r="B6" s="368" t="s">
        <v>664</v>
      </c>
      <c r="C6" s="369">
        <v>0.82</v>
      </c>
      <c r="D6" s="369">
        <v>0.9</v>
      </c>
      <c r="E6" s="369">
        <v>0.82</v>
      </c>
      <c r="F6" s="369">
        <v>0.9</v>
      </c>
    </row>
    <row r="7" spans="2:6" x14ac:dyDescent="0.25">
      <c r="B7" s="18" t="s">
        <v>665</v>
      </c>
      <c r="C7" s="370">
        <v>0.18</v>
      </c>
      <c r="D7" s="370">
        <v>0.1</v>
      </c>
      <c r="E7" s="370">
        <v>0.18</v>
      </c>
      <c r="F7" s="370">
        <v>0.1</v>
      </c>
    </row>
  </sheetData>
  <mergeCells count="3">
    <mergeCell ref="B4:B5"/>
    <mergeCell ref="C4:D4"/>
    <mergeCell ref="E4:F4"/>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49939-D37B-4984-956A-56CB1BE96FFB}">
  <dimension ref="B2:I5"/>
  <sheetViews>
    <sheetView workbookViewId="0">
      <selection activeCell="G33" sqref="G33"/>
    </sheetView>
  </sheetViews>
  <sheetFormatPr baseColWidth="10" defaultColWidth="11.5703125" defaultRowHeight="15" x14ac:dyDescent="0.25"/>
  <cols>
    <col min="1" max="16384" width="11.5703125" style="18"/>
  </cols>
  <sheetData>
    <row r="2" spans="2:9" x14ac:dyDescent="0.25">
      <c r="B2" s="94" t="s">
        <v>675</v>
      </c>
    </row>
    <row r="3" spans="2:9" ht="15.75" thickBot="1" x14ac:dyDescent="0.3"/>
    <row r="4" spans="2:9" ht="15.75" thickBot="1" x14ac:dyDescent="0.3">
      <c r="B4" s="371" t="s">
        <v>596</v>
      </c>
      <c r="C4" s="372" t="s">
        <v>667</v>
      </c>
      <c r="D4" s="372" t="s">
        <v>668</v>
      </c>
      <c r="E4" s="372" t="s">
        <v>669</v>
      </c>
      <c r="F4" s="372" t="s">
        <v>670</v>
      </c>
      <c r="G4" s="372" t="s">
        <v>671</v>
      </c>
      <c r="H4" s="372" t="s">
        <v>672</v>
      </c>
      <c r="I4" s="372" t="s">
        <v>673</v>
      </c>
    </row>
    <row r="5" spans="2:9" x14ac:dyDescent="0.25">
      <c r="B5" s="250" t="s">
        <v>674</v>
      </c>
      <c r="C5" s="298">
        <v>4446906</v>
      </c>
      <c r="D5" s="298">
        <v>6305978</v>
      </c>
      <c r="E5" s="298">
        <v>14494075</v>
      </c>
      <c r="F5" s="298">
        <v>15695937</v>
      </c>
      <c r="G5" s="298">
        <v>11060632</v>
      </c>
      <c r="H5" s="298">
        <v>17647366</v>
      </c>
      <c r="I5" s="298">
        <v>21064534</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7BCB2-89F5-4B11-864B-6BA79C00167F}">
  <dimension ref="B2:F12"/>
  <sheetViews>
    <sheetView workbookViewId="0">
      <selection activeCell="D11" sqref="D11"/>
    </sheetView>
  </sheetViews>
  <sheetFormatPr baseColWidth="10" defaultColWidth="11.5703125" defaultRowHeight="15" x14ac:dyDescent="0.25"/>
  <cols>
    <col min="1" max="1" width="11.5703125" style="18"/>
    <col min="2" max="2" width="49.85546875" style="18" bestFit="1" customWidth="1"/>
    <col min="3" max="3" width="11.42578125" style="18" bestFit="1" customWidth="1"/>
    <col min="4" max="4" width="47.28515625" style="18" customWidth="1"/>
    <col min="5" max="5" width="10.7109375" style="18" bestFit="1" customWidth="1"/>
    <col min="6" max="6" width="46.140625" style="18" customWidth="1"/>
    <col min="7" max="16384" width="11.5703125" style="18"/>
  </cols>
  <sheetData>
    <row r="2" spans="2:6" x14ac:dyDescent="0.25">
      <c r="B2" s="94" t="s">
        <v>676</v>
      </c>
    </row>
    <row r="5" spans="2:6" ht="15.75" thickBot="1" x14ac:dyDescent="0.3">
      <c r="B5" s="662" t="s">
        <v>677</v>
      </c>
      <c r="C5" s="663" t="s">
        <v>678</v>
      </c>
      <c r="D5" s="663"/>
      <c r="E5" s="663" t="s">
        <v>679</v>
      </c>
      <c r="F5" s="663"/>
    </row>
    <row r="6" spans="2:6" ht="15.75" thickBot="1" x14ac:dyDescent="0.3">
      <c r="B6" s="663"/>
      <c r="C6" s="180" t="s">
        <v>680</v>
      </c>
      <c r="D6" s="180" t="s">
        <v>681</v>
      </c>
      <c r="E6" s="180" t="s">
        <v>680</v>
      </c>
      <c r="F6" s="180" t="s">
        <v>681</v>
      </c>
    </row>
    <row r="7" spans="2:6" ht="85.5" x14ac:dyDescent="0.25">
      <c r="B7" s="373" t="s">
        <v>682</v>
      </c>
      <c r="C7" s="168" t="s">
        <v>683</v>
      </c>
      <c r="D7" s="356" t="s">
        <v>684</v>
      </c>
      <c r="E7" s="168" t="s">
        <v>685</v>
      </c>
      <c r="F7" s="356" t="s">
        <v>686</v>
      </c>
    </row>
    <row r="8" spans="2:6" ht="85.5" x14ac:dyDescent="0.25">
      <c r="B8" s="374" t="s">
        <v>687</v>
      </c>
      <c r="C8" s="166" t="s">
        <v>700</v>
      </c>
      <c r="D8" s="166" t="s">
        <v>688</v>
      </c>
      <c r="E8" s="67" t="s">
        <v>689</v>
      </c>
      <c r="F8" s="67" t="s">
        <v>689</v>
      </c>
    </row>
    <row r="9" spans="2:6" ht="85.5" x14ac:dyDescent="0.25">
      <c r="B9" s="375" t="s">
        <v>690</v>
      </c>
      <c r="C9" s="179" t="s">
        <v>689</v>
      </c>
      <c r="D9" s="179" t="s">
        <v>689</v>
      </c>
      <c r="E9" s="168" t="s">
        <v>703</v>
      </c>
      <c r="F9" s="382" t="s">
        <v>691</v>
      </c>
    </row>
    <row r="10" spans="2:6" ht="85.5" x14ac:dyDescent="0.25">
      <c r="B10" s="374" t="s">
        <v>692</v>
      </c>
      <c r="C10" s="376" t="s">
        <v>685</v>
      </c>
      <c r="D10" s="166" t="s">
        <v>693</v>
      </c>
      <c r="E10" s="166" t="s">
        <v>694</v>
      </c>
      <c r="F10" s="357" t="s">
        <v>695</v>
      </c>
    </row>
    <row r="11" spans="2:6" ht="142.5" x14ac:dyDescent="0.25">
      <c r="B11" s="375" t="s">
        <v>696</v>
      </c>
      <c r="C11" s="179" t="s">
        <v>689</v>
      </c>
      <c r="D11" s="179" t="s">
        <v>689</v>
      </c>
      <c r="E11" s="179" t="s">
        <v>701</v>
      </c>
      <c r="F11" s="377" t="s">
        <v>702</v>
      </c>
    </row>
    <row r="12" spans="2:6" ht="71.25" x14ac:dyDescent="0.25">
      <c r="B12" s="378" t="s">
        <v>697</v>
      </c>
      <c r="C12" s="379" t="s">
        <v>698</v>
      </c>
      <c r="D12" s="380" t="s">
        <v>699</v>
      </c>
      <c r="E12" s="381" t="s">
        <v>689</v>
      </c>
      <c r="F12" s="381" t="s">
        <v>689</v>
      </c>
    </row>
  </sheetData>
  <mergeCells count="3">
    <mergeCell ref="B5:B6"/>
    <mergeCell ref="C5:D5"/>
    <mergeCell ref="E5:F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C6EC6-2AE3-41B1-81BB-A89C2CDA326B}">
  <dimension ref="B2:C8"/>
  <sheetViews>
    <sheetView workbookViewId="0">
      <selection activeCell="C8" sqref="C8"/>
    </sheetView>
  </sheetViews>
  <sheetFormatPr baseColWidth="10" defaultColWidth="11.5703125" defaultRowHeight="15" x14ac:dyDescent="0.25"/>
  <cols>
    <col min="1" max="1" width="11.5703125" style="18"/>
    <col min="2" max="2" width="36.85546875" style="18" bestFit="1" customWidth="1"/>
    <col min="3" max="3" width="10.7109375" style="18" bestFit="1" customWidth="1"/>
    <col min="4" max="16384" width="11.5703125" style="18"/>
  </cols>
  <sheetData>
    <row r="2" spans="2:3" x14ac:dyDescent="0.25">
      <c r="B2" s="94" t="s">
        <v>706</v>
      </c>
    </row>
    <row r="3" spans="2:3" ht="15.75" thickBot="1" x14ac:dyDescent="0.3"/>
    <row r="4" spans="2:3" ht="29.25" thickBot="1" x14ac:dyDescent="0.3">
      <c r="B4" s="383" t="s">
        <v>50</v>
      </c>
      <c r="C4" s="82" t="s">
        <v>704</v>
      </c>
    </row>
    <row r="5" spans="2:3" x14ac:dyDescent="0.25">
      <c r="B5" s="231" t="s">
        <v>53</v>
      </c>
      <c r="C5" s="384">
        <v>475028655</v>
      </c>
    </row>
    <row r="6" spans="2:3" x14ac:dyDescent="0.25">
      <c r="B6" s="234" t="s">
        <v>52</v>
      </c>
      <c r="C6" s="279">
        <v>841183230</v>
      </c>
    </row>
    <row r="7" spans="2:3" x14ac:dyDescent="0.25">
      <c r="B7" s="231" t="s">
        <v>705</v>
      </c>
      <c r="C7" s="384">
        <v>129045148</v>
      </c>
    </row>
    <row r="8" spans="2:3" x14ac:dyDescent="0.25">
      <c r="B8" s="182" t="s">
        <v>41</v>
      </c>
      <c r="C8" s="385">
        <v>1445257033</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6ABA2-75B8-415E-B753-02A9668BD314}">
  <dimension ref="B2:C20"/>
  <sheetViews>
    <sheetView workbookViewId="0">
      <selection activeCell="F18" sqref="F18"/>
    </sheetView>
  </sheetViews>
  <sheetFormatPr baseColWidth="10" defaultColWidth="11.5703125" defaultRowHeight="15" x14ac:dyDescent="0.25"/>
  <cols>
    <col min="1" max="1" width="11.5703125" style="18"/>
    <col min="2" max="2" width="85.42578125" style="18" bestFit="1" customWidth="1"/>
    <col min="3" max="3" width="16.28515625" style="18" bestFit="1" customWidth="1"/>
    <col min="4" max="16384" width="11.5703125" style="18"/>
  </cols>
  <sheetData>
    <row r="2" spans="2:3" x14ac:dyDescent="0.25">
      <c r="B2" s="94" t="s">
        <v>708</v>
      </c>
    </row>
    <row r="4" spans="2:3" ht="30.75" thickBot="1" x14ac:dyDescent="0.3">
      <c r="B4" s="386" t="s">
        <v>636</v>
      </c>
      <c r="C4" s="387" t="s">
        <v>637</v>
      </c>
    </row>
    <row r="5" spans="2:3" x14ac:dyDescent="0.25">
      <c r="B5" s="250" t="s">
        <v>446</v>
      </c>
      <c r="C5" s="353">
        <v>344141113198</v>
      </c>
    </row>
    <row r="6" spans="2:3" x14ac:dyDescent="0.25">
      <c r="B6" s="251" t="s">
        <v>245</v>
      </c>
      <c r="C6" s="388">
        <v>3704067392</v>
      </c>
    </row>
    <row r="7" spans="2:3" x14ac:dyDescent="0.25">
      <c r="B7" s="250" t="s">
        <v>237</v>
      </c>
      <c r="C7" s="353">
        <v>586830017</v>
      </c>
    </row>
    <row r="8" spans="2:3" x14ac:dyDescent="0.25">
      <c r="B8" s="251" t="s">
        <v>442</v>
      </c>
      <c r="C8" s="388">
        <v>476020691</v>
      </c>
    </row>
    <row r="9" spans="2:3" x14ac:dyDescent="0.25">
      <c r="B9" s="250" t="s">
        <v>707</v>
      </c>
      <c r="C9" s="353">
        <v>133788468</v>
      </c>
    </row>
    <row r="10" spans="2:3" x14ac:dyDescent="0.25">
      <c r="B10" s="251" t="s">
        <v>441</v>
      </c>
      <c r="C10" s="388">
        <v>159463260</v>
      </c>
    </row>
    <row r="11" spans="2:3" x14ac:dyDescent="0.25">
      <c r="B11" s="247" t="s">
        <v>638</v>
      </c>
      <c r="C11" s="355">
        <f>SUM(C5:C10)</f>
        <v>349201283026</v>
      </c>
    </row>
    <row r="13" spans="2:3" x14ac:dyDescent="0.25">
      <c r="B13" s="94" t="s">
        <v>709</v>
      </c>
    </row>
    <row r="15" spans="2:3" ht="30.75" thickBot="1" x14ac:dyDescent="0.3">
      <c r="B15" s="386" t="s">
        <v>636</v>
      </c>
      <c r="C15" s="387" t="s">
        <v>637</v>
      </c>
    </row>
    <row r="16" spans="2:3" x14ac:dyDescent="0.25">
      <c r="B16" s="250" t="s">
        <v>446</v>
      </c>
      <c r="C16" s="353">
        <v>407267083284</v>
      </c>
    </row>
    <row r="17" spans="2:3" x14ac:dyDescent="0.25">
      <c r="B17" s="251" t="s">
        <v>245</v>
      </c>
      <c r="C17" s="388">
        <v>14622585600</v>
      </c>
    </row>
    <row r="18" spans="2:3" x14ac:dyDescent="0.25">
      <c r="B18" s="250" t="s">
        <v>710</v>
      </c>
      <c r="C18" s="353">
        <v>2299776966</v>
      </c>
    </row>
    <row r="19" spans="2:3" x14ac:dyDescent="0.25">
      <c r="B19" s="251" t="s">
        <v>237</v>
      </c>
      <c r="C19" s="388">
        <v>486857757</v>
      </c>
    </row>
    <row r="20" spans="2:3" x14ac:dyDescent="0.25">
      <c r="B20" s="247" t="s">
        <v>641</v>
      </c>
      <c r="C20" s="355">
        <f>SUM(C16:C19)</f>
        <v>424676303607</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C2A9A-E88D-421E-B915-1996369F0A7A}">
  <dimension ref="B2:E18"/>
  <sheetViews>
    <sheetView workbookViewId="0">
      <selection activeCell="G17" sqref="G17"/>
    </sheetView>
  </sheetViews>
  <sheetFormatPr baseColWidth="10" defaultColWidth="11.5703125" defaultRowHeight="15" x14ac:dyDescent="0.25"/>
  <cols>
    <col min="1" max="1" width="11.5703125" style="18"/>
    <col min="2" max="2" width="45.42578125" style="18" customWidth="1"/>
    <col min="3" max="3" width="21.140625" style="18" bestFit="1" customWidth="1"/>
    <col min="4" max="4" width="13" style="18" bestFit="1" customWidth="1"/>
    <col min="5" max="5" width="15.7109375" style="18" bestFit="1" customWidth="1"/>
    <col min="6" max="16384" width="11.5703125" style="18"/>
  </cols>
  <sheetData>
    <row r="2" spans="2:5" x14ac:dyDescent="0.25">
      <c r="B2" s="94" t="s">
        <v>711</v>
      </c>
    </row>
    <row r="4" spans="2:5" ht="45" x14ac:dyDescent="0.25">
      <c r="B4" s="300" t="s">
        <v>502</v>
      </c>
      <c r="C4" s="70" t="s">
        <v>651</v>
      </c>
    </row>
    <row r="5" spans="2:5" x14ac:dyDescent="0.25">
      <c r="B5" s="250" t="s">
        <v>648</v>
      </c>
      <c r="C5" s="298">
        <v>594064037</v>
      </c>
    </row>
    <row r="6" spans="2:5" x14ac:dyDescent="0.25">
      <c r="B6" s="299" t="s">
        <v>649</v>
      </c>
      <c r="C6" s="297">
        <v>520611021</v>
      </c>
    </row>
    <row r="7" spans="2:5" ht="30" x14ac:dyDescent="0.25">
      <c r="B7" s="275" t="s">
        <v>650</v>
      </c>
      <c r="C7" s="286">
        <f>SUM(C5:C6)</f>
        <v>1114675058</v>
      </c>
    </row>
    <row r="9" spans="2:5" x14ac:dyDescent="0.25">
      <c r="B9" s="94" t="s">
        <v>712</v>
      </c>
    </row>
    <row r="11" spans="2:5" ht="45.75" thickBot="1" x14ac:dyDescent="0.3">
      <c r="B11" s="391" t="s">
        <v>713</v>
      </c>
      <c r="C11" s="391" t="s">
        <v>667</v>
      </c>
      <c r="D11" s="391" t="s">
        <v>668</v>
      </c>
      <c r="E11" s="389" t="s">
        <v>715</v>
      </c>
    </row>
    <row r="12" spans="2:5" x14ac:dyDescent="0.25">
      <c r="B12" s="250" t="s">
        <v>449</v>
      </c>
      <c r="C12" s="353">
        <v>594064037</v>
      </c>
      <c r="D12" s="353">
        <v>81430000</v>
      </c>
      <c r="E12" s="353">
        <v>45000000</v>
      </c>
    </row>
    <row r="13" spans="2:5" x14ac:dyDescent="0.25">
      <c r="B13" s="299" t="s">
        <v>278</v>
      </c>
      <c r="C13" s="354">
        <v>520611021</v>
      </c>
      <c r="D13" s="354">
        <v>300000000</v>
      </c>
      <c r="E13" s="354">
        <v>820611021</v>
      </c>
    </row>
    <row r="14" spans="2:5" x14ac:dyDescent="0.25">
      <c r="B14" s="250" t="s">
        <v>452</v>
      </c>
      <c r="C14" s="393"/>
      <c r="D14" s="353">
        <v>274130357</v>
      </c>
      <c r="E14" s="353">
        <v>274130357</v>
      </c>
    </row>
    <row r="15" spans="2:5" x14ac:dyDescent="0.25">
      <c r="B15" s="299" t="s">
        <v>460</v>
      </c>
      <c r="C15" s="394"/>
      <c r="D15" s="354">
        <v>80000000</v>
      </c>
      <c r="E15" s="354">
        <v>84000000</v>
      </c>
    </row>
    <row r="16" spans="2:5" x14ac:dyDescent="0.35">
      <c r="B16" s="250" t="s">
        <v>455</v>
      </c>
      <c r="C16" s="393"/>
      <c r="D16" s="395"/>
      <c r="E16" s="353">
        <v>23529412</v>
      </c>
    </row>
    <row r="17" spans="2:5" x14ac:dyDescent="0.35">
      <c r="B17" s="299" t="s">
        <v>714</v>
      </c>
      <c r="C17" s="394"/>
      <c r="D17" s="396"/>
      <c r="E17" s="354">
        <v>350692540</v>
      </c>
    </row>
    <row r="18" spans="2:5" x14ac:dyDescent="0.25">
      <c r="B18" s="390" t="s">
        <v>41</v>
      </c>
      <c r="C18" s="392">
        <v>1114675058</v>
      </c>
      <c r="D18" s="392">
        <v>735560357</v>
      </c>
      <c r="E18" s="392">
        <v>1597963330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0B277-859E-48D3-9472-0BEE9F45BB0E}">
  <dimension ref="B2:C20"/>
  <sheetViews>
    <sheetView workbookViewId="0">
      <selection activeCell="B21" sqref="B21"/>
    </sheetView>
  </sheetViews>
  <sheetFormatPr baseColWidth="10" defaultColWidth="11.5703125" defaultRowHeight="15" x14ac:dyDescent="0.25"/>
  <cols>
    <col min="1" max="1" width="11.5703125" style="18"/>
    <col min="2" max="2" width="59.140625" style="18" bestFit="1" customWidth="1"/>
    <col min="3" max="3" width="14.28515625" style="18" bestFit="1" customWidth="1"/>
    <col min="4" max="16384" width="11.5703125" style="18"/>
  </cols>
  <sheetData>
    <row r="2" spans="2:3" x14ac:dyDescent="0.25">
      <c r="B2" s="94" t="s">
        <v>716</v>
      </c>
    </row>
    <row r="4" spans="2:3" x14ac:dyDescent="0.25">
      <c r="B4" s="300" t="s">
        <v>717</v>
      </c>
      <c r="C4" s="177" t="s">
        <v>718</v>
      </c>
    </row>
    <row r="5" spans="2:3" x14ac:dyDescent="0.25">
      <c r="B5" s="397" t="s">
        <v>719</v>
      </c>
      <c r="C5" s="400">
        <v>700210162</v>
      </c>
    </row>
    <row r="6" spans="2:3" x14ac:dyDescent="0.25">
      <c r="B6" s="299" t="s">
        <v>386</v>
      </c>
      <c r="C6" s="354">
        <v>0</v>
      </c>
    </row>
    <row r="7" spans="2:3" x14ac:dyDescent="0.25">
      <c r="B7" s="397" t="s">
        <v>387</v>
      </c>
      <c r="C7" s="400">
        <v>0</v>
      </c>
    </row>
    <row r="8" spans="2:3" x14ac:dyDescent="0.25">
      <c r="B8" s="299" t="s">
        <v>476</v>
      </c>
      <c r="C8" s="354">
        <v>46379293</v>
      </c>
    </row>
    <row r="9" spans="2:3" x14ac:dyDescent="0.25">
      <c r="B9" s="397" t="s">
        <v>477</v>
      </c>
      <c r="C9" s="400">
        <v>0</v>
      </c>
    </row>
    <row r="10" spans="2:3" x14ac:dyDescent="0.25">
      <c r="B10" s="251" t="s">
        <v>391</v>
      </c>
      <c r="C10" s="388">
        <v>1770577202</v>
      </c>
    </row>
    <row r="11" spans="2:3" x14ac:dyDescent="0.25">
      <c r="B11" s="247" t="s">
        <v>41</v>
      </c>
      <c r="C11" s="355">
        <f>SUM(C5:C10)</f>
        <v>2517166657</v>
      </c>
    </row>
    <row r="13" spans="2:3" x14ac:dyDescent="0.25">
      <c r="B13" s="227" t="s">
        <v>720</v>
      </c>
    </row>
    <row r="15" spans="2:3" ht="30.75" thickBot="1" x14ac:dyDescent="0.3">
      <c r="B15" s="136" t="s">
        <v>502</v>
      </c>
      <c r="C15" s="136" t="s">
        <v>718</v>
      </c>
    </row>
    <row r="16" spans="2:3" x14ac:dyDescent="0.25">
      <c r="B16" s="173" t="s">
        <v>449</v>
      </c>
      <c r="C16" s="400">
        <v>1596379293</v>
      </c>
    </row>
    <row r="17" spans="2:3" x14ac:dyDescent="0.25">
      <c r="B17" s="59" t="s">
        <v>450</v>
      </c>
      <c r="C17" s="388">
        <v>700210162</v>
      </c>
    </row>
    <row r="18" spans="2:3" x14ac:dyDescent="0.25">
      <c r="B18" s="173" t="s">
        <v>466</v>
      </c>
      <c r="C18" s="400">
        <v>116120061</v>
      </c>
    </row>
    <row r="19" spans="2:3" x14ac:dyDescent="0.25">
      <c r="B19" s="59" t="s">
        <v>467</v>
      </c>
      <c r="C19" s="388">
        <v>104457141</v>
      </c>
    </row>
    <row r="20" spans="2:3" x14ac:dyDescent="0.25">
      <c r="B20" s="247" t="s">
        <v>41</v>
      </c>
      <c r="C20" s="355">
        <v>2517166657</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79C81-A527-4D0F-BE87-D423C43D66B8}">
  <dimension ref="B2:D14"/>
  <sheetViews>
    <sheetView tabSelected="1" workbookViewId="0">
      <selection activeCell="I32" sqref="I32"/>
    </sheetView>
  </sheetViews>
  <sheetFormatPr baseColWidth="10" defaultColWidth="11.5703125" defaultRowHeight="15" x14ac:dyDescent="0.25"/>
  <cols>
    <col min="1" max="2" width="11.5703125" style="18"/>
    <col min="3" max="3" width="49.7109375" style="18" bestFit="1" customWidth="1"/>
    <col min="4" max="4" width="11.28515625" style="18" bestFit="1" customWidth="1"/>
    <col min="5" max="16384" width="11.5703125" style="18"/>
  </cols>
  <sheetData>
    <row r="2" spans="2:4" x14ac:dyDescent="0.25">
      <c r="B2" s="94" t="s">
        <v>721</v>
      </c>
    </row>
    <row r="4" spans="2:4" ht="15.75" thickBot="1" x14ac:dyDescent="0.3">
      <c r="B4" s="24" t="s">
        <v>597</v>
      </c>
      <c r="C4" s="24" t="s">
        <v>438</v>
      </c>
      <c r="D4" s="24" t="s">
        <v>722</v>
      </c>
    </row>
    <row r="5" spans="2:4" x14ac:dyDescent="0.25">
      <c r="B5" s="171">
        <v>1</v>
      </c>
      <c r="C5" s="59" t="s">
        <v>723</v>
      </c>
      <c r="D5" s="59" t="s">
        <v>724</v>
      </c>
    </row>
    <row r="6" spans="2:4" x14ac:dyDescent="0.25">
      <c r="B6" s="402">
        <v>2</v>
      </c>
      <c r="C6" s="403" t="s">
        <v>725</v>
      </c>
      <c r="D6" s="403" t="s">
        <v>724</v>
      </c>
    </row>
    <row r="7" spans="2:4" x14ac:dyDescent="0.25">
      <c r="B7" s="171">
        <v>3</v>
      </c>
      <c r="C7" s="59" t="s">
        <v>726</v>
      </c>
      <c r="D7" s="59" t="s">
        <v>724</v>
      </c>
    </row>
    <row r="8" spans="2:4" x14ac:dyDescent="0.25">
      <c r="B8" s="402">
        <v>4</v>
      </c>
      <c r="C8" s="403" t="s">
        <v>727</v>
      </c>
      <c r="D8" s="403" t="s">
        <v>724</v>
      </c>
    </row>
    <row r="9" spans="2:4" x14ac:dyDescent="0.25">
      <c r="B9" s="171">
        <v>5</v>
      </c>
      <c r="C9" s="59" t="s">
        <v>728</v>
      </c>
      <c r="D9" s="59" t="s">
        <v>724</v>
      </c>
    </row>
    <row r="10" spans="2:4" x14ac:dyDescent="0.25">
      <c r="B10" s="402">
        <v>6</v>
      </c>
      <c r="C10" s="403" t="s">
        <v>138</v>
      </c>
      <c r="D10" s="403" t="s">
        <v>729</v>
      </c>
    </row>
    <row r="11" spans="2:4" x14ac:dyDescent="0.25">
      <c r="B11" s="171">
        <v>7</v>
      </c>
      <c r="C11" s="59" t="s">
        <v>730</v>
      </c>
      <c r="D11" s="59" t="s">
        <v>724</v>
      </c>
    </row>
    <row r="12" spans="2:4" x14ac:dyDescent="0.25">
      <c r="B12" s="402">
        <v>8</v>
      </c>
      <c r="C12" s="403" t="s">
        <v>731</v>
      </c>
      <c r="D12" s="403" t="s">
        <v>724</v>
      </c>
    </row>
    <row r="13" spans="2:4" x14ac:dyDescent="0.25">
      <c r="B13" s="171">
        <v>9</v>
      </c>
      <c r="C13" s="59" t="s">
        <v>732</v>
      </c>
      <c r="D13" s="59" t="s">
        <v>724</v>
      </c>
    </row>
    <row r="14" spans="2:4" x14ac:dyDescent="0.25">
      <c r="B14" s="402">
        <v>10</v>
      </c>
      <c r="C14" s="403" t="s">
        <v>733</v>
      </c>
      <c r="D14" s="403" t="s">
        <v>724</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D1AE5-9C0E-4326-A930-47FE8F1D4383}">
  <dimension ref="B2:I9"/>
  <sheetViews>
    <sheetView workbookViewId="0">
      <selection activeCell="J28" sqref="J28"/>
    </sheetView>
  </sheetViews>
  <sheetFormatPr baseColWidth="10" defaultColWidth="11.5703125" defaultRowHeight="15" x14ac:dyDescent="0.25"/>
  <cols>
    <col min="1" max="1" width="11.5703125" style="18"/>
    <col min="2" max="2" width="19.140625" style="18" customWidth="1"/>
    <col min="3" max="3" width="6.85546875" style="18" bestFit="1" customWidth="1"/>
    <col min="4" max="4" width="11.28515625" style="18" bestFit="1" customWidth="1"/>
    <col min="5" max="5" width="6.7109375" style="18" bestFit="1" customWidth="1"/>
    <col min="6" max="6" width="21.7109375" style="18" bestFit="1" customWidth="1"/>
    <col min="7" max="7" width="8.7109375" style="18" bestFit="1" customWidth="1"/>
    <col min="8" max="8" width="9.7109375" style="18" bestFit="1" customWidth="1"/>
    <col min="9" max="9" width="15.7109375" style="18" customWidth="1"/>
    <col min="10" max="16384" width="11.5703125" style="18"/>
  </cols>
  <sheetData>
    <row r="2" spans="2:9" x14ac:dyDescent="0.25">
      <c r="B2" s="94" t="s">
        <v>734</v>
      </c>
    </row>
    <row r="4" spans="2:9" ht="57.75" thickBot="1" x14ac:dyDescent="0.3">
      <c r="B4" s="408"/>
      <c r="C4" s="408" t="s">
        <v>735</v>
      </c>
      <c r="D4" s="408" t="s">
        <v>736</v>
      </c>
      <c r="E4" s="408" t="s">
        <v>737</v>
      </c>
      <c r="F4" s="408" t="s">
        <v>738</v>
      </c>
      <c r="G4" s="408" t="s">
        <v>739</v>
      </c>
      <c r="H4" s="408" t="s">
        <v>740</v>
      </c>
      <c r="I4" s="408" t="s">
        <v>741</v>
      </c>
    </row>
    <row r="5" spans="2:9" ht="15.75" thickBot="1" x14ac:dyDescent="0.3">
      <c r="B5" s="404" t="s">
        <v>228</v>
      </c>
      <c r="C5" s="405" t="s">
        <v>742</v>
      </c>
      <c r="D5" s="405" t="s">
        <v>742</v>
      </c>
      <c r="E5" s="406" t="s">
        <v>743</v>
      </c>
      <c r="F5" s="664" t="s">
        <v>744</v>
      </c>
      <c r="G5" s="666" t="s">
        <v>745</v>
      </c>
      <c r="H5" s="668" t="s">
        <v>746</v>
      </c>
      <c r="I5" s="666" t="s">
        <v>753</v>
      </c>
    </row>
    <row r="6" spans="2:9" ht="15.75" thickBot="1" x14ac:dyDescent="0.3">
      <c r="B6" s="404" t="s">
        <v>412</v>
      </c>
      <c r="C6" s="405" t="s">
        <v>747</v>
      </c>
      <c r="D6" s="405" t="s">
        <v>748</v>
      </c>
      <c r="E6" s="406" t="s">
        <v>743</v>
      </c>
      <c r="F6" s="665"/>
      <c r="G6" s="667"/>
      <c r="H6" s="669"/>
      <c r="I6" s="667"/>
    </row>
    <row r="7" spans="2:9" ht="72" thickBot="1" x14ac:dyDescent="0.3">
      <c r="B7" s="404" t="s">
        <v>749</v>
      </c>
      <c r="C7" s="406" t="s">
        <v>743</v>
      </c>
      <c r="D7" s="406" t="s">
        <v>743</v>
      </c>
      <c r="E7" s="406" t="s">
        <v>743</v>
      </c>
      <c r="F7" s="405" t="s">
        <v>750</v>
      </c>
      <c r="G7" s="406" t="s">
        <v>751</v>
      </c>
      <c r="H7" s="407" t="s">
        <v>748</v>
      </c>
      <c r="I7" s="406" t="s">
        <v>752</v>
      </c>
    </row>
    <row r="8" spans="2:9" x14ac:dyDescent="0.25">
      <c r="B8" s="230"/>
      <c r="C8" s="230"/>
      <c r="D8" s="230"/>
      <c r="E8" s="230"/>
      <c r="F8" s="230"/>
      <c r="G8" s="230"/>
      <c r="H8" s="230"/>
      <c r="I8" s="230"/>
    </row>
    <row r="9" spans="2:9" x14ac:dyDescent="0.25">
      <c r="B9" s="230"/>
      <c r="C9" s="230"/>
      <c r="D9" s="230"/>
      <c r="E9" s="230"/>
      <c r="F9" s="230"/>
      <c r="G9" s="230"/>
      <c r="H9" s="230"/>
      <c r="I9" s="230"/>
    </row>
  </sheetData>
  <mergeCells count="4">
    <mergeCell ref="F5:F6"/>
    <mergeCell ref="G5:G6"/>
    <mergeCell ref="H5:H6"/>
    <mergeCell ref="I5:I6"/>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9EA28-C6B1-4ECC-95D8-E91BE616E064}">
  <dimension ref="A2:G38"/>
  <sheetViews>
    <sheetView workbookViewId="0">
      <selection activeCell="D37" sqref="D37"/>
    </sheetView>
  </sheetViews>
  <sheetFormatPr baseColWidth="10" defaultColWidth="7.42578125" defaultRowHeight="14.25" x14ac:dyDescent="0.35"/>
  <cols>
    <col min="1" max="1" width="51.140625" style="409" bestFit="1" customWidth="1"/>
    <col min="2" max="3" width="13.5703125" style="409" bestFit="1" customWidth="1"/>
    <col min="4" max="4" width="14.7109375" style="409" bestFit="1" customWidth="1"/>
    <col min="5" max="5" width="12.28515625" style="409" bestFit="1" customWidth="1"/>
    <col min="6" max="6" width="17.28515625" style="409" customWidth="1"/>
    <col min="7" max="7" width="12.7109375" style="409" bestFit="1" customWidth="1"/>
    <col min="8" max="9" width="13.5703125" style="409" bestFit="1" customWidth="1"/>
    <col min="10" max="10" width="11.5703125" style="409" bestFit="1" customWidth="1"/>
    <col min="11" max="12" width="7.42578125" style="409"/>
    <col min="13" max="13" width="10.7109375" style="409" bestFit="1" customWidth="1"/>
    <col min="14" max="14" width="11.140625" style="409" bestFit="1" customWidth="1"/>
    <col min="15" max="15" width="12.28515625" style="409" customWidth="1"/>
    <col min="16" max="17" width="11.140625" style="409" bestFit="1" customWidth="1"/>
    <col min="18" max="18" width="12.7109375" style="409" customWidth="1"/>
    <col min="19" max="19" width="8.7109375" style="409" bestFit="1" customWidth="1"/>
    <col min="20" max="16384" width="7.42578125" style="409"/>
  </cols>
  <sheetData>
    <row r="2" spans="1:7" ht="43.5" thickBot="1" x14ac:dyDescent="0.4">
      <c r="A2" s="68" t="s">
        <v>775</v>
      </c>
      <c r="B2" s="68" t="s">
        <v>776</v>
      </c>
      <c r="C2" s="68" t="s">
        <v>777</v>
      </c>
      <c r="D2" s="280" t="s">
        <v>597</v>
      </c>
      <c r="E2" s="68" t="s">
        <v>778</v>
      </c>
      <c r="F2" s="68" t="s">
        <v>762</v>
      </c>
      <c r="G2" s="68" t="s">
        <v>779</v>
      </c>
    </row>
    <row r="3" spans="1:7" x14ac:dyDescent="0.35">
      <c r="A3" s="168" t="s">
        <v>758</v>
      </c>
      <c r="B3" s="168" t="s">
        <v>759</v>
      </c>
      <c r="C3" s="168" t="s">
        <v>759</v>
      </c>
      <c r="D3" s="410">
        <v>11</v>
      </c>
      <c r="E3" s="411">
        <v>27.552132482787826</v>
      </c>
      <c r="F3" s="412">
        <v>0.10621593279730895</v>
      </c>
      <c r="G3" s="410" t="s">
        <v>754</v>
      </c>
    </row>
    <row r="4" spans="1:7" x14ac:dyDescent="0.35">
      <c r="A4" s="379" t="s">
        <v>743</v>
      </c>
      <c r="B4" s="379" t="s">
        <v>743</v>
      </c>
      <c r="C4" s="379" t="s">
        <v>748</v>
      </c>
      <c r="D4" s="413">
        <v>4</v>
      </c>
      <c r="E4" s="414">
        <v>7.1387333379999998</v>
      </c>
      <c r="F4" s="415">
        <v>2.7520454939762063E-2</v>
      </c>
      <c r="G4" s="413" t="s">
        <v>756</v>
      </c>
    </row>
    <row r="5" spans="1:7" x14ac:dyDescent="0.35">
      <c r="A5" s="416" t="s">
        <v>743</v>
      </c>
      <c r="B5" s="416" t="s">
        <v>743</v>
      </c>
      <c r="C5" s="416" t="s">
        <v>743</v>
      </c>
      <c r="D5" s="410">
        <v>14</v>
      </c>
      <c r="E5" s="411">
        <v>224.7064934752544</v>
      </c>
      <c r="F5" s="412">
        <v>0.86626361226292903</v>
      </c>
      <c r="G5" s="410" t="s">
        <v>764</v>
      </c>
    </row>
    <row r="6" spans="1:7" x14ac:dyDescent="0.35">
      <c r="A6" s="673" t="s">
        <v>766</v>
      </c>
      <c r="B6" s="673"/>
      <c r="C6" s="673"/>
      <c r="D6" s="419">
        <v>29</v>
      </c>
      <c r="E6" s="420">
        <v>259.39735929604223</v>
      </c>
      <c r="F6" s="421">
        <v>1</v>
      </c>
      <c r="G6" s="419" t="s">
        <v>764</v>
      </c>
    </row>
    <row r="8" spans="1:7" x14ac:dyDescent="0.35">
      <c r="A8" s="643" t="s">
        <v>760</v>
      </c>
      <c r="B8" s="643" t="s">
        <v>597</v>
      </c>
      <c r="C8" s="643" t="s">
        <v>761</v>
      </c>
      <c r="D8" s="643" t="s">
        <v>762</v>
      </c>
      <c r="E8" s="643" t="s">
        <v>763</v>
      </c>
    </row>
    <row r="9" spans="1:7" ht="15" thickBot="1" x14ac:dyDescent="0.4">
      <c r="A9" s="670"/>
      <c r="B9" s="670"/>
      <c r="C9" s="670"/>
      <c r="D9" s="670"/>
      <c r="E9" s="670"/>
    </row>
    <row r="10" spans="1:7" ht="15" x14ac:dyDescent="0.35">
      <c r="A10" s="397" t="s">
        <v>765</v>
      </c>
      <c r="B10" s="417">
        <v>1</v>
      </c>
      <c r="C10" s="418">
        <v>31.248343383000002</v>
      </c>
      <c r="D10" s="431">
        <v>0.16020581107897436</v>
      </c>
      <c r="E10" s="417" t="s">
        <v>754</v>
      </c>
    </row>
    <row r="11" spans="1:7" ht="15" x14ac:dyDescent="0.35">
      <c r="A11" s="251" t="s">
        <v>767</v>
      </c>
      <c r="B11" s="422">
        <v>5</v>
      </c>
      <c r="C11" s="423">
        <v>163.802904587</v>
      </c>
      <c r="D11" s="432">
        <v>0.83979418892102564</v>
      </c>
      <c r="E11" s="422" t="s">
        <v>756</v>
      </c>
    </row>
    <row r="12" spans="1:7" ht="15" x14ac:dyDescent="0.35">
      <c r="A12" s="397" t="s">
        <v>768</v>
      </c>
      <c r="B12" s="417"/>
      <c r="C12" s="418"/>
      <c r="D12" s="431">
        <v>0</v>
      </c>
      <c r="E12" s="417" t="s">
        <v>755</v>
      </c>
    </row>
    <row r="13" spans="1:7" ht="15" x14ac:dyDescent="0.35">
      <c r="A13" s="169" t="s">
        <v>769</v>
      </c>
      <c r="B13" s="426">
        <v>6</v>
      </c>
      <c r="C13" s="427">
        <v>195.05124796999999</v>
      </c>
      <c r="D13" s="430">
        <v>1</v>
      </c>
      <c r="E13" s="426" t="s">
        <v>755</v>
      </c>
    </row>
    <row r="15" spans="1:7" x14ac:dyDescent="0.35">
      <c r="A15" s="671" t="s">
        <v>770</v>
      </c>
      <c r="B15" s="69" t="s">
        <v>771</v>
      </c>
    </row>
    <row r="16" spans="1:7" ht="29.25" thickBot="1" x14ac:dyDescent="0.4">
      <c r="A16" s="672"/>
      <c r="B16" s="180" t="s">
        <v>772</v>
      </c>
    </row>
    <row r="17" spans="1:5" x14ac:dyDescent="0.35">
      <c r="A17" s="200" t="s">
        <v>322</v>
      </c>
      <c r="B17" s="411">
        <v>113.16960448</v>
      </c>
    </row>
    <row r="18" spans="1:5" x14ac:dyDescent="0.35">
      <c r="A18" s="201" t="s">
        <v>324</v>
      </c>
      <c r="B18" s="429">
        <v>44.527298082999998</v>
      </c>
    </row>
    <row r="19" spans="1:5" x14ac:dyDescent="0.35">
      <c r="A19" s="200" t="s">
        <v>325</v>
      </c>
      <c r="B19" s="411">
        <v>31.248343383000002</v>
      </c>
    </row>
    <row r="20" spans="1:5" x14ac:dyDescent="0.35">
      <c r="A20" s="201" t="s">
        <v>773</v>
      </c>
      <c r="B20" s="429">
        <v>5.4168759309999999</v>
      </c>
    </row>
    <row r="21" spans="1:5" x14ac:dyDescent="0.35">
      <c r="A21" s="200" t="s">
        <v>774</v>
      </c>
      <c r="B21" s="411">
        <v>0.46979811300000002</v>
      </c>
    </row>
    <row r="22" spans="1:5" x14ac:dyDescent="0.35">
      <c r="A22" s="201" t="s">
        <v>327</v>
      </c>
      <c r="B22" s="429">
        <v>0.21932798000000001</v>
      </c>
    </row>
    <row r="23" spans="1:5" x14ac:dyDescent="0.35">
      <c r="A23" s="182" t="s">
        <v>41</v>
      </c>
      <c r="B23" s="420">
        <v>195.05124796999999</v>
      </c>
    </row>
    <row r="25" spans="1:5" x14ac:dyDescent="0.35">
      <c r="A25" s="643" t="s">
        <v>760</v>
      </c>
      <c r="B25" s="643" t="s">
        <v>597</v>
      </c>
      <c r="C25" s="643" t="s">
        <v>761</v>
      </c>
      <c r="D25" s="643" t="s">
        <v>762</v>
      </c>
      <c r="E25" s="643" t="s">
        <v>763</v>
      </c>
    </row>
    <row r="26" spans="1:5" ht="15" thickBot="1" x14ac:dyDescent="0.4">
      <c r="A26" s="670"/>
      <c r="B26" s="670"/>
      <c r="C26" s="670"/>
      <c r="D26" s="670"/>
      <c r="E26" s="670"/>
    </row>
    <row r="27" spans="1:5" ht="15" x14ac:dyDescent="0.35">
      <c r="A27" s="397" t="s">
        <v>765</v>
      </c>
      <c r="B27" s="417">
        <v>1</v>
      </c>
      <c r="C27" s="418">
        <v>1.260436133347826</v>
      </c>
      <c r="D27" s="425">
        <v>1</v>
      </c>
      <c r="E27" s="417" t="s">
        <v>754</v>
      </c>
    </row>
    <row r="28" spans="1:5" ht="15" x14ac:dyDescent="0.35">
      <c r="A28" s="251" t="s">
        <v>767</v>
      </c>
      <c r="B28" s="422"/>
      <c r="C28" s="423"/>
      <c r="D28" s="424"/>
      <c r="E28" s="422" t="s">
        <v>756</v>
      </c>
    </row>
    <row r="29" spans="1:5" ht="15" x14ac:dyDescent="0.35">
      <c r="A29" s="397" t="s">
        <v>768</v>
      </c>
      <c r="B29" s="417"/>
      <c r="C29" s="418"/>
      <c r="D29" s="425"/>
      <c r="E29" s="417" t="s">
        <v>755</v>
      </c>
    </row>
    <row r="30" spans="1:5" ht="15" x14ac:dyDescent="0.35">
      <c r="A30" s="169" t="s">
        <v>769</v>
      </c>
      <c r="B30" s="426">
        <v>1</v>
      </c>
      <c r="C30" s="427">
        <v>1.260436133347826</v>
      </c>
      <c r="D30" s="430">
        <v>1</v>
      </c>
      <c r="E30" s="426" t="s">
        <v>755</v>
      </c>
    </row>
    <row r="33" spans="1:5" x14ac:dyDescent="0.35">
      <c r="A33" s="644" t="s">
        <v>760</v>
      </c>
      <c r="B33" s="643" t="s">
        <v>597</v>
      </c>
      <c r="C33" s="643" t="s">
        <v>761</v>
      </c>
      <c r="D33" s="643" t="s">
        <v>762</v>
      </c>
      <c r="E33" s="643" t="s">
        <v>763</v>
      </c>
    </row>
    <row r="34" spans="1:5" ht="15" thickBot="1" x14ac:dyDescent="0.4">
      <c r="A34" s="674"/>
      <c r="B34" s="670"/>
      <c r="C34" s="670"/>
      <c r="D34" s="670"/>
      <c r="E34" s="670"/>
    </row>
    <row r="35" spans="1:5" ht="15" x14ac:dyDescent="0.35">
      <c r="A35" s="397" t="s">
        <v>765</v>
      </c>
      <c r="B35" s="417"/>
      <c r="C35" s="418" t="s">
        <v>43</v>
      </c>
      <c r="D35" s="417" t="s">
        <v>43</v>
      </c>
      <c r="E35" s="417" t="s">
        <v>754</v>
      </c>
    </row>
    <row r="36" spans="1:5" ht="15" x14ac:dyDescent="0.35">
      <c r="A36" s="251" t="s">
        <v>767</v>
      </c>
      <c r="B36" s="422">
        <v>1</v>
      </c>
      <c r="C36" s="423">
        <v>0.80170519399999995</v>
      </c>
      <c r="D36" s="424">
        <v>0.14755793369377512</v>
      </c>
      <c r="E36" s="422" t="s">
        <v>756</v>
      </c>
    </row>
    <row r="37" spans="1:5" ht="15" x14ac:dyDescent="0.35">
      <c r="A37" s="397" t="s">
        <v>768</v>
      </c>
      <c r="B37" s="417">
        <v>1</v>
      </c>
      <c r="C37" s="418">
        <v>4.6314502720000004</v>
      </c>
      <c r="D37" s="425">
        <v>0.85244206630622488</v>
      </c>
      <c r="E37" s="417" t="s">
        <v>755</v>
      </c>
    </row>
    <row r="38" spans="1:5" ht="15" x14ac:dyDescent="0.35">
      <c r="A38" s="169" t="s">
        <v>769</v>
      </c>
      <c r="B38" s="426">
        <v>2</v>
      </c>
      <c r="C38" s="427">
        <v>5.4331554660000005</v>
      </c>
      <c r="D38" s="428">
        <v>1</v>
      </c>
      <c r="E38" s="426" t="s">
        <v>755</v>
      </c>
    </row>
  </sheetData>
  <mergeCells count="17">
    <mergeCell ref="A33:A34"/>
    <mergeCell ref="B33:B34"/>
    <mergeCell ref="C33:C34"/>
    <mergeCell ref="D33:D34"/>
    <mergeCell ref="E33:E34"/>
    <mergeCell ref="A25:A26"/>
    <mergeCell ref="B25:B26"/>
    <mergeCell ref="C25:C26"/>
    <mergeCell ref="D25:D26"/>
    <mergeCell ref="E25:E26"/>
    <mergeCell ref="D8:D9"/>
    <mergeCell ref="E8:E9"/>
    <mergeCell ref="A15:A16"/>
    <mergeCell ref="A6:C6"/>
    <mergeCell ref="A8:A9"/>
    <mergeCell ref="B8:B9"/>
    <mergeCell ref="C8:C9"/>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F7370-7DA1-4283-982B-79149B21A7FE}">
  <dimension ref="B2:D55"/>
  <sheetViews>
    <sheetView workbookViewId="0">
      <selection activeCell="F54" sqref="F54"/>
    </sheetView>
  </sheetViews>
  <sheetFormatPr baseColWidth="10" defaultColWidth="14.28515625" defaultRowHeight="15" x14ac:dyDescent="0.25"/>
  <cols>
    <col min="1" max="1" width="14.28515625" style="18"/>
    <col min="2" max="2" width="41.7109375" style="18" bestFit="1" customWidth="1"/>
    <col min="3" max="3" width="16.28515625" style="18" bestFit="1" customWidth="1"/>
    <col min="4" max="4" width="7.140625" style="18" bestFit="1" customWidth="1"/>
    <col min="5" max="16384" width="14.28515625" style="18"/>
  </cols>
  <sheetData>
    <row r="2" spans="2:4" x14ac:dyDescent="0.25">
      <c r="B2" s="94" t="s">
        <v>782</v>
      </c>
    </row>
    <row r="3" spans="2:4" ht="15.75" thickBot="1" x14ac:dyDescent="0.3"/>
    <row r="4" spans="2:4" ht="30.75" thickBot="1" x14ac:dyDescent="0.3">
      <c r="B4" s="433" t="s">
        <v>34</v>
      </c>
      <c r="C4" s="83" t="s">
        <v>780</v>
      </c>
      <c r="D4" s="83" t="s">
        <v>23</v>
      </c>
    </row>
    <row r="5" spans="2:4" x14ac:dyDescent="0.25">
      <c r="B5" s="240" t="s">
        <v>3</v>
      </c>
      <c r="C5" s="443">
        <v>224316.760729</v>
      </c>
      <c r="D5" s="434">
        <v>0.92577825457088059</v>
      </c>
    </row>
    <row r="6" spans="2:4" x14ac:dyDescent="0.25">
      <c r="B6" s="244" t="s">
        <v>4</v>
      </c>
      <c r="C6" s="442">
        <v>17983.984208000002</v>
      </c>
      <c r="D6" s="435">
        <v>7.4221745429119385E-2</v>
      </c>
    </row>
    <row r="7" spans="2:4" x14ac:dyDescent="0.25">
      <c r="B7" s="247" t="s">
        <v>781</v>
      </c>
      <c r="C7" s="355">
        <v>242300.74493700001</v>
      </c>
      <c r="D7" s="436">
        <v>1</v>
      </c>
    </row>
    <row r="9" spans="2:4" x14ac:dyDescent="0.25">
      <c r="B9" s="94" t="s">
        <v>783</v>
      </c>
    </row>
    <row r="10" spans="2:4" ht="15.75" thickBot="1" x14ac:dyDescent="0.3"/>
    <row r="11" spans="2:4" ht="30.75" thickBot="1" x14ac:dyDescent="0.3">
      <c r="B11" s="433" t="s">
        <v>502</v>
      </c>
      <c r="C11" s="83" t="s">
        <v>780</v>
      </c>
      <c r="D11" s="83" t="s">
        <v>23</v>
      </c>
    </row>
    <row r="12" spans="2:4" x14ac:dyDescent="0.25">
      <c r="B12" s="240" t="s">
        <v>445</v>
      </c>
      <c r="C12" s="440">
        <v>8783.129696</v>
      </c>
      <c r="D12" s="434">
        <v>0.48838619932133337</v>
      </c>
    </row>
    <row r="13" spans="2:4" x14ac:dyDescent="0.25">
      <c r="B13" s="244" t="s">
        <v>446</v>
      </c>
      <c r="C13" s="441">
        <v>7805.3190000000004</v>
      </c>
      <c r="D13" s="435">
        <v>0.43401500522492004</v>
      </c>
    </row>
    <row r="14" spans="2:4" x14ac:dyDescent="0.25">
      <c r="B14" s="240" t="s">
        <v>237</v>
      </c>
      <c r="C14" s="440">
        <v>836.68883000000005</v>
      </c>
      <c r="D14" s="434">
        <v>4.6524108357913652E-2</v>
      </c>
    </row>
    <row r="15" spans="2:4" x14ac:dyDescent="0.25">
      <c r="B15" s="244" t="s">
        <v>442</v>
      </c>
      <c r="C15" s="441">
        <v>365.21540199999998</v>
      </c>
      <c r="D15" s="435">
        <v>2.0307813762288417E-2</v>
      </c>
    </row>
    <row r="16" spans="2:4" x14ac:dyDescent="0.25">
      <c r="B16" s="240" t="s">
        <v>441</v>
      </c>
      <c r="C16" s="440">
        <v>175.34587999999999</v>
      </c>
      <c r="D16" s="434">
        <v>9.7501130990761808E-3</v>
      </c>
    </row>
    <row r="17" spans="2:4" x14ac:dyDescent="0.25">
      <c r="B17" s="244" t="s">
        <v>157</v>
      </c>
      <c r="C17" s="442">
        <v>18.285399999999999</v>
      </c>
      <c r="D17" s="435">
        <v>1.016760234468284E-3</v>
      </c>
    </row>
    <row r="18" spans="2:4" x14ac:dyDescent="0.25">
      <c r="B18" s="247" t="s">
        <v>781</v>
      </c>
      <c r="C18" s="355">
        <v>17983.984208000002</v>
      </c>
      <c r="D18" s="439">
        <v>0.99999999999999989</v>
      </c>
    </row>
    <row r="20" spans="2:4" x14ac:dyDescent="0.25">
      <c r="B20" s="94" t="s">
        <v>791</v>
      </c>
    </row>
    <row r="21" spans="2:4" ht="15.75" thickBot="1" x14ac:dyDescent="0.3"/>
    <row r="22" spans="2:4" ht="30.75" thickBot="1" x14ac:dyDescent="0.3">
      <c r="B22" s="433" t="s">
        <v>34</v>
      </c>
      <c r="C22" s="83" t="s">
        <v>780</v>
      </c>
      <c r="D22" s="83" t="s">
        <v>23</v>
      </c>
    </row>
    <row r="23" spans="2:4" x14ac:dyDescent="0.25">
      <c r="B23" s="250" t="s">
        <v>103</v>
      </c>
      <c r="C23" s="443">
        <v>77557</v>
      </c>
      <c r="D23" s="434">
        <v>0.34570000000000001</v>
      </c>
    </row>
    <row r="24" spans="2:4" x14ac:dyDescent="0.25">
      <c r="B24" s="251" t="s">
        <v>106</v>
      </c>
      <c r="C24" s="445">
        <v>47561</v>
      </c>
      <c r="D24" s="444">
        <v>0.21199999999999999</v>
      </c>
    </row>
    <row r="25" spans="2:4" x14ac:dyDescent="0.25">
      <c r="B25" s="250" t="s">
        <v>136</v>
      </c>
      <c r="C25" s="443">
        <v>29765</v>
      </c>
      <c r="D25" s="434">
        <v>0.13270000000000001</v>
      </c>
    </row>
    <row r="26" spans="2:4" x14ac:dyDescent="0.25">
      <c r="B26" s="251" t="s">
        <v>112</v>
      </c>
      <c r="C26" s="445">
        <v>17817</v>
      </c>
      <c r="D26" s="444">
        <v>7.9399999999999998E-2</v>
      </c>
    </row>
    <row r="27" spans="2:4" x14ac:dyDescent="0.25">
      <c r="B27" s="250" t="s">
        <v>115</v>
      </c>
      <c r="C27" s="443">
        <v>17542</v>
      </c>
      <c r="D27" s="434">
        <v>7.8200000000000006E-2</v>
      </c>
    </row>
    <row r="28" spans="2:4" x14ac:dyDescent="0.25">
      <c r="B28" s="251" t="s">
        <v>275</v>
      </c>
      <c r="C28" s="445">
        <v>14710</v>
      </c>
      <c r="D28" s="444">
        <v>6.5600000000000006E-2</v>
      </c>
    </row>
    <row r="29" spans="2:4" x14ac:dyDescent="0.25">
      <c r="B29" s="250" t="s">
        <v>491</v>
      </c>
      <c r="C29" s="443">
        <v>19365</v>
      </c>
      <c r="D29" s="434">
        <v>8.6300000000000002E-2</v>
      </c>
    </row>
    <row r="30" spans="2:4" x14ac:dyDescent="0.25">
      <c r="B30" s="247" t="s">
        <v>784</v>
      </c>
      <c r="C30" s="355">
        <v>224317</v>
      </c>
      <c r="D30" s="436">
        <v>1</v>
      </c>
    </row>
    <row r="32" spans="2:4" x14ac:dyDescent="0.25">
      <c r="B32" s="94" t="s">
        <v>786</v>
      </c>
    </row>
    <row r="33" spans="2:4" ht="15.75" thickBot="1" x14ac:dyDescent="0.3"/>
    <row r="34" spans="2:4" ht="30.75" thickBot="1" x14ac:dyDescent="0.3">
      <c r="B34" s="433" t="s">
        <v>34</v>
      </c>
      <c r="C34" s="83" t="s">
        <v>780</v>
      </c>
      <c r="D34" s="83" t="s">
        <v>23</v>
      </c>
    </row>
    <row r="35" spans="2:4" ht="30" x14ac:dyDescent="0.25">
      <c r="B35" s="446" t="s">
        <v>359</v>
      </c>
      <c r="C35" s="285">
        <v>6583</v>
      </c>
      <c r="D35" s="434">
        <v>0.36599999999999999</v>
      </c>
    </row>
    <row r="36" spans="2:4" x14ac:dyDescent="0.25">
      <c r="B36" s="447" t="s">
        <v>363</v>
      </c>
      <c r="C36" s="320">
        <v>5521</v>
      </c>
      <c r="D36" s="444">
        <v>0.307</v>
      </c>
    </row>
    <row r="37" spans="2:4" ht="30" x14ac:dyDescent="0.25">
      <c r="B37" s="446" t="s">
        <v>365</v>
      </c>
      <c r="C37" s="285">
        <v>5030</v>
      </c>
      <c r="D37" s="434">
        <v>0.2797</v>
      </c>
    </row>
    <row r="38" spans="2:4" x14ac:dyDescent="0.25">
      <c r="B38" s="447" t="s">
        <v>785</v>
      </c>
      <c r="C38" s="448">
        <v>850</v>
      </c>
      <c r="D38" s="444">
        <v>4.7300000000000002E-2</v>
      </c>
    </row>
    <row r="39" spans="2:4" x14ac:dyDescent="0.25">
      <c r="B39" s="247" t="s">
        <v>447</v>
      </c>
      <c r="C39" s="286">
        <v>17984</v>
      </c>
      <c r="D39" s="439">
        <v>1</v>
      </c>
    </row>
    <row r="41" spans="2:4" x14ac:dyDescent="0.25">
      <c r="B41" s="94" t="s">
        <v>790</v>
      </c>
    </row>
    <row r="42" spans="2:4" ht="15.75" thickBot="1" x14ac:dyDescent="0.3"/>
    <row r="43" spans="2:4" ht="30.75" thickBot="1" x14ac:dyDescent="0.3">
      <c r="B43" s="433" t="s">
        <v>34</v>
      </c>
      <c r="C43" s="83" t="s">
        <v>780</v>
      </c>
      <c r="D43" s="83" t="s">
        <v>23</v>
      </c>
    </row>
    <row r="44" spans="2:4" x14ac:dyDescent="0.25">
      <c r="B44" s="250" t="s">
        <v>471</v>
      </c>
      <c r="C44" s="443">
        <v>42532</v>
      </c>
      <c r="D44" s="434">
        <v>0.18959999999999999</v>
      </c>
    </row>
    <row r="45" spans="2:4" x14ac:dyDescent="0.25">
      <c r="B45" s="251" t="s">
        <v>787</v>
      </c>
      <c r="C45" s="445">
        <v>32526</v>
      </c>
      <c r="D45" s="444">
        <v>0.14499999999999999</v>
      </c>
    </row>
    <row r="46" spans="2:4" x14ac:dyDescent="0.25">
      <c r="B46" s="250" t="s">
        <v>788</v>
      </c>
      <c r="C46" s="443">
        <v>25991</v>
      </c>
      <c r="D46" s="434">
        <v>0.1159</v>
      </c>
    </row>
    <row r="47" spans="2:4" x14ac:dyDescent="0.25">
      <c r="B47" s="251" t="s">
        <v>789</v>
      </c>
      <c r="C47" s="445">
        <v>23378</v>
      </c>
      <c r="D47" s="444">
        <v>0.1042</v>
      </c>
    </row>
    <row r="48" spans="2:4" x14ac:dyDescent="0.25">
      <c r="B48" s="250" t="s">
        <v>481</v>
      </c>
      <c r="C48" s="443">
        <v>22522</v>
      </c>
      <c r="D48" s="434">
        <v>0.1004</v>
      </c>
    </row>
    <row r="49" spans="2:4" x14ac:dyDescent="0.25">
      <c r="B49" s="251" t="s">
        <v>370</v>
      </c>
      <c r="C49" s="445">
        <v>16600</v>
      </c>
      <c r="D49" s="444">
        <v>7.3999999999999996E-2</v>
      </c>
    </row>
    <row r="50" spans="2:4" x14ac:dyDescent="0.25">
      <c r="B50" s="250" t="s">
        <v>478</v>
      </c>
      <c r="C50" s="443">
        <v>15434</v>
      </c>
      <c r="D50" s="434">
        <v>6.88E-2</v>
      </c>
    </row>
    <row r="51" spans="2:4" x14ac:dyDescent="0.25">
      <c r="B51" s="299" t="s">
        <v>361</v>
      </c>
      <c r="C51" s="450">
        <v>13448</v>
      </c>
      <c r="D51" s="449">
        <v>5.9900000000000002E-2</v>
      </c>
    </row>
    <row r="52" spans="2:4" x14ac:dyDescent="0.25">
      <c r="B52" s="250" t="s">
        <v>372</v>
      </c>
      <c r="C52" s="443">
        <v>10290</v>
      </c>
      <c r="D52" s="434">
        <v>4.5900000000000003E-2</v>
      </c>
    </row>
    <row r="53" spans="2:4" x14ac:dyDescent="0.25">
      <c r="B53" s="299" t="s">
        <v>377</v>
      </c>
      <c r="C53" s="450">
        <v>9618</v>
      </c>
      <c r="D53" s="449">
        <v>4.2900000000000001E-2</v>
      </c>
    </row>
    <row r="54" spans="2:4" x14ac:dyDescent="0.25">
      <c r="B54" s="250" t="s">
        <v>785</v>
      </c>
      <c r="C54" s="443">
        <v>11978</v>
      </c>
      <c r="D54" s="434">
        <v>5.3400000000000003E-2</v>
      </c>
    </row>
    <row r="55" spans="2:4" x14ac:dyDescent="0.25">
      <c r="B55" s="247" t="s">
        <v>447</v>
      </c>
      <c r="C55" s="355">
        <v>224317</v>
      </c>
      <c r="D55" s="436">
        <v>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4155A-0114-46C2-923A-457F813DC14F}">
  <dimension ref="B2:D12"/>
  <sheetViews>
    <sheetView workbookViewId="0">
      <selection activeCell="F15" sqref="F15"/>
    </sheetView>
  </sheetViews>
  <sheetFormatPr baseColWidth="10" defaultColWidth="11.5703125" defaultRowHeight="15" x14ac:dyDescent="0.25"/>
  <cols>
    <col min="1" max="1" width="11.5703125" style="18"/>
    <col min="2" max="2" width="57.85546875" style="18" bestFit="1" customWidth="1"/>
    <col min="3" max="3" width="18.7109375" style="18" bestFit="1" customWidth="1"/>
    <col min="4" max="4" width="6.28515625" style="18" bestFit="1" customWidth="1"/>
    <col min="5" max="16384" width="11.5703125" style="18"/>
  </cols>
  <sheetData>
    <row r="2" spans="2:4" x14ac:dyDescent="0.25">
      <c r="B2" s="94" t="s">
        <v>792</v>
      </c>
    </row>
    <row r="3" spans="2:4" ht="15.75" thickBot="1" x14ac:dyDescent="0.3"/>
    <row r="4" spans="2:4" ht="30.75" thickBot="1" x14ac:dyDescent="0.3">
      <c r="B4" s="433" t="s">
        <v>34</v>
      </c>
      <c r="C4" s="83" t="s">
        <v>780</v>
      </c>
      <c r="D4" s="83" t="s">
        <v>23</v>
      </c>
    </row>
    <row r="5" spans="2:4" x14ac:dyDescent="0.25">
      <c r="B5" s="403" t="s">
        <v>322</v>
      </c>
      <c r="C5" s="443">
        <v>144253</v>
      </c>
      <c r="D5" s="434">
        <v>0.59530000000000005</v>
      </c>
    </row>
    <row r="6" spans="2:4" x14ac:dyDescent="0.25">
      <c r="B6" s="59" t="s">
        <v>325</v>
      </c>
      <c r="C6" s="445">
        <v>42608</v>
      </c>
      <c r="D6" s="444">
        <v>0.17580000000000001</v>
      </c>
    </row>
    <row r="7" spans="2:4" x14ac:dyDescent="0.25">
      <c r="B7" s="403" t="s">
        <v>324</v>
      </c>
      <c r="C7" s="443">
        <v>34989</v>
      </c>
      <c r="D7" s="434">
        <v>0.1444</v>
      </c>
    </row>
    <row r="8" spans="2:4" x14ac:dyDescent="0.25">
      <c r="B8" s="59" t="s">
        <v>793</v>
      </c>
      <c r="C8" s="445">
        <v>20113</v>
      </c>
      <c r="D8" s="444">
        <v>8.3000000000000004E-2</v>
      </c>
    </row>
    <row r="9" spans="2:4" x14ac:dyDescent="0.25">
      <c r="B9" s="403" t="s">
        <v>237</v>
      </c>
      <c r="C9" s="443">
        <v>150</v>
      </c>
      <c r="D9" s="434">
        <v>5.9999999999999995E-4</v>
      </c>
    </row>
    <row r="10" spans="2:4" x14ac:dyDescent="0.25">
      <c r="B10" s="59" t="s">
        <v>327</v>
      </c>
      <c r="C10" s="445">
        <v>138</v>
      </c>
      <c r="D10" s="444">
        <v>5.9999999999999995E-4</v>
      </c>
    </row>
    <row r="11" spans="2:4" x14ac:dyDescent="0.25">
      <c r="B11" s="403" t="s">
        <v>774</v>
      </c>
      <c r="C11" s="443">
        <v>50</v>
      </c>
      <c r="D11" s="434">
        <v>2.0000000000000001E-4</v>
      </c>
    </row>
    <row r="12" spans="2:4" x14ac:dyDescent="0.25">
      <c r="B12" s="247" t="s">
        <v>447</v>
      </c>
      <c r="C12" s="355">
        <v>242301</v>
      </c>
      <c r="D12" s="436">
        <v>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A25F0-453C-469A-958F-DCC835055818}">
  <dimension ref="B2:D56"/>
  <sheetViews>
    <sheetView topLeftCell="A31" workbookViewId="0">
      <selection activeCell="C43" sqref="C43"/>
    </sheetView>
  </sheetViews>
  <sheetFormatPr baseColWidth="10" defaultColWidth="11.5703125" defaultRowHeight="15" x14ac:dyDescent="0.25"/>
  <cols>
    <col min="1" max="1" width="11.5703125" style="18"/>
    <col min="2" max="2" width="43" style="18" bestFit="1" customWidth="1"/>
    <col min="3" max="3" width="23.5703125" style="18" bestFit="1" customWidth="1"/>
    <col min="4" max="4" width="7.140625" style="18" bestFit="1" customWidth="1"/>
    <col min="5" max="16384" width="11.5703125" style="18"/>
  </cols>
  <sheetData>
    <row r="2" spans="2:4" x14ac:dyDescent="0.25">
      <c r="B2" s="94" t="s">
        <v>794</v>
      </c>
    </row>
    <row r="3" spans="2:4" ht="15.75" thickBot="1" x14ac:dyDescent="0.3"/>
    <row r="4" spans="2:4" ht="30.75" thickBot="1" x14ac:dyDescent="0.3">
      <c r="B4" s="433" t="s">
        <v>34</v>
      </c>
      <c r="C4" s="83" t="s">
        <v>780</v>
      </c>
      <c r="D4" s="83" t="s">
        <v>23</v>
      </c>
    </row>
    <row r="5" spans="2:4" x14ac:dyDescent="0.25">
      <c r="B5" s="250" t="s">
        <v>3</v>
      </c>
      <c r="C5" s="285">
        <v>248840</v>
      </c>
      <c r="D5" s="434">
        <v>0.90380000000000005</v>
      </c>
    </row>
    <row r="6" spans="2:4" x14ac:dyDescent="0.25">
      <c r="B6" s="251" t="s">
        <v>4</v>
      </c>
      <c r="C6" s="320">
        <v>26488</v>
      </c>
      <c r="D6" s="444">
        <v>9.6199999999999994E-2</v>
      </c>
    </row>
    <row r="7" spans="2:4" x14ac:dyDescent="0.25">
      <c r="B7" s="247" t="s">
        <v>781</v>
      </c>
      <c r="C7" s="286">
        <v>275328</v>
      </c>
      <c r="D7" s="436">
        <v>1</v>
      </c>
    </row>
    <row r="9" spans="2:4" x14ac:dyDescent="0.25">
      <c r="B9" s="94" t="s">
        <v>795</v>
      </c>
    </row>
    <row r="10" spans="2:4" ht="15.75" thickBot="1" x14ac:dyDescent="0.3"/>
    <row r="11" spans="2:4" ht="30.75" thickBot="1" x14ac:dyDescent="0.3">
      <c r="B11" s="433" t="s">
        <v>34</v>
      </c>
      <c r="C11" s="83" t="s">
        <v>780</v>
      </c>
      <c r="D11" s="83" t="s">
        <v>23</v>
      </c>
    </row>
    <row r="12" spans="2:4" x14ac:dyDescent="0.25">
      <c r="B12" s="240" t="s">
        <v>446</v>
      </c>
      <c r="C12" s="437">
        <v>13721.631286347825</v>
      </c>
      <c r="D12" s="434">
        <v>0.51802886091646794</v>
      </c>
    </row>
    <row r="13" spans="2:4" x14ac:dyDescent="0.25">
      <c r="B13" s="244" t="s">
        <v>445</v>
      </c>
      <c r="C13" s="438">
        <v>10198.0818586</v>
      </c>
      <c r="D13" s="435">
        <v>0.38500529700135688</v>
      </c>
    </row>
    <row r="14" spans="2:4" x14ac:dyDescent="0.25">
      <c r="B14" s="240" t="s">
        <v>237</v>
      </c>
      <c r="C14" s="437">
        <v>942.68475100000001</v>
      </c>
      <c r="D14" s="434">
        <v>3.5588910500001576E-2</v>
      </c>
    </row>
    <row r="15" spans="2:4" x14ac:dyDescent="0.25">
      <c r="B15" s="244" t="s">
        <v>443</v>
      </c>
      <c r="C15" s="438">
        <v>791.15676074534167</v>
      </c>
      <c r="D15" s="435">
        <v>2.9868317186385804E-2</v>
      </c>
    </row>
    <row r="16" spans="2:4" x14ac:dyDescent="0.25">
      <c r="B16" s="240" t="s">
        <v>442</v>
      </c>
      <c r="C16" s="437">
        <v>425.27384546583846</v>
      </c>
      <c r="D16" s="434">
        <v>1.6055243079109938E-2</v>
      </c>
    </row>
    <row r="17" spans="2:4" x14ac:dyDescent="0.25">
      <c r="B17" s="244" t="s">
        <v>157</v>
      </c>
      <c r="C17" s="452">
        <v>409.33137000000005</v>
      </c>
      <c r="D17" s="435">
        <v>1.5453371316677882E-2</v>
      </c>
    </row>
    <row r="18" spans="2:4" x14ac:dyDescent="0.25">
      <c r="B18" s="247" t="s">
        <v>781</v>
      </c>
      <c r="C18" s="451">
        <v>26488.159872159005</v>
      </c>
      <c r="D18" s="436">
        <v>1</v>
      </c>
    </row>
    <row r="20" spans="2:4" x14ac:dyDescent="0.25">
      <c r="B20" s="94" t="s">
        <v>796</v>
      </c>
    </row>
    <row r="21" spans="2:4" ht="15.75" thickBot="1" x14ac:dyDescent="0.3"/>
    <row r="22" spans="2:4" ht="30.75" thickBot="1" x14ac:dyDescent="0.3">
      <c r="B22" s="433" t="s">
        <v>34</v>
      </c>
      <c r="C22" s="83" t="s">
        <v>780</v>
      </c>
      <c r="D22" s="83" t="s">
        <v>23</v>
      </c>
    </row>
    <row r="23" spans="2:4" x14ac:dyDescent="0.25">
      <c r="B23" s="240" t="s">
        <v>103</v>
      </c>
      <c r="C23" s="437">
        <v>80033.213763484702</v>
      </c>
      <c r="D23" s="434">
        <v>0.32162507306641513</v>
      </c>
    </row>
    <row r="24" spans="2:4" x14ac:dyDescent="0.25">
      <c r="B24" s="244" t="s">
        <v>106</v>
      </c>
      <c r="C24" s="438">
        <v>50016.947655000004</v>
      </c>
      <c r="D24" s="435">
        <v>0.20100035582274747</v>
      </c>
    </row>
    <row r="25" spans="2:4" x14ac:dyDescent="0.25">
      <c r="B25" s="240" t="s">
        <v>136</v>
      </c>
      <c r="C25" s="437">
        <v>31889.855927999997</v>
      </c>
      <c r="D25" s="434">
        <v>0.12815400957446035</v>
      </c>
    </row>
    <row r="26" spans="2:4" x14ac:dyDescent="0.25">
      <c r="B26" s="244" t="s">
        <v>112</v>
      </c>
      <c r="C26" s="438">
        <v>19525.569764479998</v>
      </c>
      <c r="D26" s="435">
        <v>7.8466332999231461E-2</v>
      </c>
    </row>
    <row r="27" spans="2:4" x14ac:dyDescent="0.25">
      <c r="B27" s="240" t="s">
        <v>115</v>
      </c>
      <c r="C27" s="437">
        <v>19201.688371780001</v>
      </c>
      <c r="D27" s="434">
        <v>7.7164768664956085E-2</v>
      </c>
    </row>
    <row r="28" spans="2:4" x14ac:dyDescent="0.25">
      <c r="B28" s="244" t="s">
        <v>275</v>
      </c>
      <c r="C28" s="438">
        <v>15664.698762999997</v>
      </c>
      <c r="D28" s="435">
        <v>6.2950863114182798E-2</v>
      </c>
    </row>
    <row r="29" spans="2:4" x14ac:dyDescent="0.25">
      <c r="B29" s="240" t="s">
        <v>121</v>
      </c>
      <c r="C29" s="437">
        <v>15572.210364</v>
      </c>
      <c r="D29" s="434">
        <v>6.2579185073437404E-2</v>
      </c>
    </row>
    <row r="30" spans="2:4" x14ac:dyDescent="0.25">
      <c r="B30" s="453" t="s">
        <v>157</v>
      </c>
      <c r="C30" s="454">
        <v>16935.910475000012</v>
      </c>
      <c r="D30" s="455">
        <v>6.8059411684569304E-2</v>
      </c>
    </row>
    <row r="31" spans="2:4" x14ac:dyDescent="0.25">
      <c r="B31" s="247" t="s">
        <v>784</v>
      </c>
      <c r="C31" s="286">
        <v>248840.09508474471</v>
      </c>
      <c r="D31" s="46">
        <v>1</v>
      </c>
    </row>
    <row r="33" spans="2:4" x14ac:dyDescent="0.25">
      <c r="B33" s="94" t="s">
        <v>797</v>
      </c>
    </row>
    <row r="34" spans="2:4" ht="15.75" thickBot="1" x14ac:dyDescent="0.3"/>
    <row r="35" spans="2:4" ht="30.75" thickBot="1" x14ac:dyDescent="0.3">
      <c r="B35" s="433" t="s">
        <v>34</v>
      </c>
      <c r="C35" s="83" t="s">
        <v>798</v>
      </c>
      <c r="D35" s="433" t="s">
        <v>23</v>
      </c>
    </row>
    <row r="36" spans="2:4" x14ac:dyDescent="0.25">
      <c r="B36" s="240" t="s">
        <v>359</v>
      </c>
      <c r="C36" s="437">
        <v>6582.5889509999988</v>
      </c>
      <c r="D36" s="456">
        <v>0.24851061692355542</v>
      </c>
    </row>
    <row r="37" spans="2:4" x14ac:dyDescent="0.25">
      <c r="B37" s="244" t="s">
        <v>363</v>
      </c>
      <c r="C37" s="438">
        <v>5520.7106879999992</v>
      </c>
      <c r="D37" s="457">
        <v>0.20842182751255101</v>
      </c>
    </row>
    <row r="38" spans="2:4" x14ac:dyDescent="0.25">
      <c r="B38" s="240" t="s">
        <v>365</v>
      </c>
      <c r="C38" s="437">
        <v>5030.8920020000005</v>
      </c>
      <c r="D38" s="456">
        <v>0.18992984134348403</v>
      </c>
    </row>
    <row r="39" spans="2:4" x14ac:dyDescent="0.25">
      <c r="B39" s="244" t="s">
        <v>376</v>
      </c>
      <c r="C39" s="438">
        <v>2224.6112310000003</v>
      </c>
      <c r="D39" s="457">
        <v>8.3985117944649287E-2</v>
      </c>
    </row>
    <row r="40" spans="2:4" x14ac:dyDescent="0.25">
      <c r="B40" s="240" t="s">
        <v>799</v>
      </c>
      <c r="C40" s="458">
        <v>7129.3570001590097</v>
      </c>
      <c r="D40" s="456">
        <v>0.26915259627576038</v>
      </c>
    </row>
    <row r="41" spans="2:4" x14ac:dyDescent="0.25">
      <c r="B41" s="247" t="s">
        <v>447</v>
      </c>
      <c r="C41" s="451">
        <v>26488.159872159005</v>
      </c>
      <c r="D41" s="439">
        <v>1</v>
      </c>
    </row>
    <row r="43" spans="2:4" x14ac:dyDescent="0.25">
      <c r="B43" s="94" t="s">
        <v>800</v>
      </c>
    </row>
    <row r="44" spans="2:4" ht="15.75" thickBot="1" x14ac:dyDescent="0.3"/>
    <row r="45" spans="2:4" ht="30.75" thickBot="1" x14ac:dyDescent="0.3">
      <c r="B45" s="433" t="s">
        <v>34</v>
      </c>
      <c r="C45" s="83" t="s">
        <v>780</v>
      </c>
      <c r="D45" s="83" t="s">
        <v>23</v>
      </c>
    </row>
    <row r="46" spans="2:4" x14ac:dyDescent="0.25">
      <c r="B46" s="240" t="s">
        <v>471</v>
      </c>
      <c r="C46" s="437">
        <v>42532.060136999899</v>
      </c>
      <c r="D46" s="456">
        <v>0.1709212501406385</v>
      </c>
    </row>
    <row r="47" spans="2:4" x14ac:dyDescent="0.25">
      <c r="B47" s="244" t="s">
        <v>358</v>
      </c>
      <c r="C47" s="438">
        <v>32526.122862</v>
      </c>
      <c r="D47" s="457">
        <v>0.13071094049744256</v>
      </c>
    </row>
    <row r="48" spans="2:4" x14ac:dyDescent="0.25">
      <c r="B48" s="240" t="s">
        <v>359</v>
      </c>
      <c r="C48" s="437">
        <v>25990.968213000015</v>
      </c>
      <c r="D48" s="456">
        <v>0.10444847404574641</v>
      </c>
    </row>
    <row r="49" spans="2:4" x14ac:dyDescent="0.25">
      <c r="B49" s="244" t="s">
        <v>481</v>
      </c>
      <c r="C49" s="438">
        <v>23377.806013000001</v>
      </c>
      <c r="D49" s="457">
        <v>9.3947102877606978E-2</v>
      </c>
    </row>
    <row r="50" spans="2:4" x14ac:dyDescent="0.25">
      <c r="B50" s="240" t="s">
        <v>369</v>
      </c>
      <c r="C50" s="437">
        <v>22522.304770999996</v>
      </c>
      <c r="D50" s="456">
        <v>9.0509147102398574E-2</v>
      </c>
    </row>
    <row r="51" spans="2:4" x14ac:dyDescent="0.25">
      <c r="B51" s="244" t="s">
        <v>478</v>
      </c>
      <c r="C51" s="438">
        <v>16599.906089</v>
      </c>
      <c r="D51" s="457">
        <v>6.67091293440744E-2</v>
      </c>
    </row>
    <row r="52" spans="2:4" x14ac:dyDescent="0.25">
      <c r="B52" s="240" t="s">
        <v>370</v>
      </c>
      <c r="C52" s="437">
        <v>15433.880734000002</v>
      </c>
      <c r="D52" s="456">
        <v>6.2023287399660669E-2</v>
      </c>
    </row>
    <row r="53" spans="2:4" x14ac:dyDescent="0.25">
      <c r="B53" s="244" t="s">
        <v>361</v>
      </c>
      <c r="C53" s="438">
        <v>13447.825419999999</v>
      </c>
      <c r="D53" s="457">
        <v>5.4042036173552452E-2</v>
      </c>
    </row>
    <row r="54" spans="2:4" x14ac:dyDescent="0.25">
      <c r="B54" s="240" t="s">
        <v>372</v>
      </c>
      <c r="C54" s="437">
        <v>10289.539042</v>
      </c>
      <c r="D54" s="456">
        <v>4.1350004461683763E-2</v>
      </c>
    </row>
    <row r="55" spans="2:4" x14ac:dyDescent="0.25">
      <c r="B55" s="244" t="s">
        <v>785</v>
      </c>
      <c r="C55" s="438">
        <v>46119.681803744694</v>
      </c>
      <c r="D55" s="457">
        <v>0.18533862795719575</v>
      </c>
    </row>
    <row r="56" spans="2:4" x14ac:dyDescent="0.25">
      <c r="B56" s="247" t="s">
        <v>447</v>
      </c>
      <c r="C56" s="451">
        <v>248840.09508474459</v>
      </c>
      <c r="D56" s="436">
        <v>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2379F-A68C-43E5-89D4-2A48C332AA02}">
  <dimension ref="B2:D18"/>
  <sheetViews>
    <sheetView workbookViewId="0">
      <selection activeCell="B15" sqref="B15"/>
    </sheetView>
  </sheetViews>
  <sheetFormatPr baseColWidth="10" defaultColWidth="11.5703125" defaultRowHeight="15" x14ac:dyDescent="0.25"/>
  <cols>
    <col min="1" max="1" width="11.5703125" style="18"/>
    <col min="2" max="2" width="57.85546875" style="18" bestFit="1" customWidth="1"/>
    <col min="3" max="3" width="16.28515625" style="18" bestFit="1" customWidth="1"/>
    <col min="4" max="4" width="6.28515625" style="18" bestFit="1" customWidth="1"/>
    <col min="5" max="16384" width="11.5703125" style="18"/>
  </cols>
  <sheetData>
    <row r="2" spans="2:4" x14ac:dyDescent="0.25">
      <c r="B2" s="94" t="s">
        <v>808</v>
      </c>
    </row>
    <row r="3" spans="2:4" ht="15.75" thickBot="1" x14ac:dyDescent="0.3"/>
    <row r="4" spans="2:4" ht="30.75" thickBot="1" x14ac:dyDescent="0.3">
      <c r="B4" s="433" t="s">
        <v>801</v>
      </c>
      <c r="C4" s="83" t="s">
        <v>780</v>
      </c>
      <c r="D4" s="83" t="s">
        <v>23</v>
      </c>
    </row>
    <row r="5" spans="2:4" x14ac:dyDescent="0.25">
      <c r="B5" s="403" t="s">
        <v>322</v>
      </c>
      <c r="C5" s="459">
        <v>144450.15988299996</v>
      </c>
      <c r="D5" s="434">
        <v>0.52464706139807726</v>
      </c>
    </row>
    <row r="6" spans="2:4" x14ac:dyDescent="0.25">
      <c r="B6" s="59" t="s">
        <v>324</v>
      </c>
      <c r="C6" s="460">
        <v>44632.621430999912</v>
      </c>
      <c r="D6" s="435">
        <v>0.1621069419046228</v>
      </c>
    </row>
    <row r="7" spans="2:4" x14ac:dyDescent="0.25">
      <c r="B7" s="403" t="s">
        <v>325</v>
      </c>
      <c r="C7" s="459">
        <v>43205.899975999884</v>
      </c>
      <c r="D7" s="434">
        <v>0.15692504927531981</v>
      </c>
    </row>
    <row r="8" spans="2:4" x14ac:dyDescent="0.25">
      <c r="B8" s="59" t="s">
        <v>793</v>
      </c>
      <c r="C8" s="460">
        <v>20158.882594999992</v>
      </c>
      <c r="D8" s="435">
        <v>7.3217631071520142E-2</v>
      </c>
    </row>
    <row r="9" spans="2:4" x14ac:dyDescent="0.25">
      <c r="B9" s="403" t="s">
        <v>802</v>
      </c>
      <c r="C9" s="459">
        <v>8727.6049056499996</v>
      </c>
      <c r="D9" s="434">
        <v>3.1698907571313793E-2</v>
      </c>
    </row>
    <row r="10" spans="2:4" x14ac:dyDescent="0.25">
      <c r="B10" s="59" t="s">
        <v>803</v>
      </c>
      <c r="C10" s="460">
        <v>4872.7335989999992</v>
      </c>
      <c r="D10" s="435">
        <v>1.7697906085820066E-2</v>
      </c>
    </row>
    <row r="11" spans="2:4" x14ac:dyDescent="0.25">
      <c r="B11" s="403" t="s">
        <v>804</v>
      </c>
      <c r="C11" s="459">
        <v>3168.438764825838</v>
      </c>
      <c r="D11" s="434">
        <v>1.150785910193557E-2</v>
      </c>
    </row>
    <row r="12" spans="2:4" x14ac:dyDescent="0.25">
      <c r="B12" s="59" t="s">
        <v>805</v>
      </c>
      <c r="C12" s="460">
        <v>1904.673051334687</v>
      </c>
      <c r="D12" s="435">
        <v>6.9178263292767458E-3</v>
      </c>
    </row>
    <row r="13" spans="2:4" x14ac:dyDescent="0.25">
      <c r="B13" s="403" t="s">
        <v>806</v>
      </c>
      <c r="C13" s="459">
        <v>1466.0183890931678</v>
      </c>
      <c r="D13" s="434">
        <v>5.3246202040638391E-3</v>
      </c>
    </row>
    <row r="14" spans="2:4" x14ac:dyDescent="0.25">
      <c r="B14" s="59" t="s">
        <v>807</v>
      </c>
      <c r="C14" s="460">
        <v>1114.675058</v>
      </c>
      <c r="D14" s="435">
        <v>4.0485313001183913E-3</v>
      </c>
    </row>
    <row r="15" spans="2:4" x14ac:dyDescent="0.25">
      <c r="B15" s="403" t="s">
        <v>329</v>
      </c>
      <c r="C15" s="459">
        <v>872.98827999999969</v>
      </c>
      <c r="D15" s="434">
        <v>3.1707180947943277E-3</v>
      </c>
    </row>
    <row r="16" spans="2:4" x14ac:dyDescent="0.25">
      <c r="B16" s="59" t="s">
        <v>774</v>
      </c>
      <c r="C16" s="460">
        <v>538.41661299999998</v>
      </c>
      <c r="D16" s="435">
        <v>1.9555443486331519E-3</v>
      </c>
    </row>
    <row r="17" spans="2:4" x14ac:dyDescent="0.25">
      <c r="B17" s="403" t="s">
        <v>327</v>
      </c>
      <c r="C17" s="459">
        <v>215.14241100000001</v>
      </c>
      <c r="D17" s="434">
        <v>7.8140331450426634E-4</v>
      </c>
    </row>
    <row r="18" spans="2:4" x14ac:dyDescent="0.25">
      <c r="B18" s="247" t="s">
        <v>447</v>
      </c>
      <c r="C18" s="286">
        <v>275328.2549569034</v>
      </c>
      <c r="D18" s="436">
        <v>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70B8B-6859-4FD0-9708-67872A55DC5B}">
  <dimension ref="B2:F11"/>
  <sheetViews>
    <sheetView workbookViewId="0">
      <selection activeCell="D14" sqref="D14"/>
    </sheetView>
  </sheetViews>
  <sheetFormatPr baseColWidth="10" defaultColWidth="11.5703125" defaultRowHeight="15" x14ac:dyDescent="0.25"/>
  <cols>
    <col min="1" max="2" width="11.5703125" style="18"/>
    <col min="3" max="3" width="36.42578125" style="18" bestFit="1" customWidth="1"/>
    <col min="4" max="4" width="9" style="18" bestFit="1" customWidth="1"/>
    <col min="5" max="5" width="9.42578125" style="18" bestFit="1" customWidth="1"/>
    <col min="6" max="6" width="9.85546875" style="18" bestFit="1" customWidth="1"/>
    <col min="7" max="16384" width="11.5703125" style="18"/>
  </cols>
  <sheetData>
    <row r="2" spans="2:6" x14ac:dyDescent="0.25">
      <c r="B2" s="94" t="s">
        <v>809</v>
      </c>
    </row>
    <row r="4" spans="2:6" ht="30.75" thickBot="1" x14ac:dyDescent="0.3">
      <c r="B4" s="24" t="s">
        <v>233</v>
      </c>
      <c r="C4" s="24" t="s">
        <v>502</v>
      </c>
      <c r="D4" s="24" t="s">
        <v>810</v>
      </c>
      <c r="E4" s="24" t="s">
        <v>418</v>
      </c>
      <c r="F4" s="24" t="s">
        <v>811</v>
      </c>
    </row>
    <row r="5" spans="2:6" x14ac:dyDescent="0.25">
      <c r="B5" s="461">
        <v>1</v>
      </c>
      <c r="C5" s="250" t="s">
        <v>812</v>
      </c>
      <c r="D5" s="462" t="s">
        <v>748</v>
      </c>
      <c r="E5" s="462" t="s">
        <v>813</v>
      </c>
      <c r="F5" s="462" t="s">
        <v>813</v>
      </c>
    </row>
    <row r="6" spans="2:6" x14ac:dyDescent="0.25">
      <c r="B6" s="364">
        <v>2</v>
      </c>
      <c r="C6" s="251" t="s">
        <v>814</v>
      </c>
      <c r="D6" s="358" t="s">
        <v>743</v>
      </c>
      <c r="E6" s="358" t="s">
        <v>748</v>
      </c>
      <c r="F6" s="358" t="s">
        <v>813</v>
      </c>
    </row>
    <row r="7" spans="2:6" x14ac:dyDescent="0.25">
      <c r="B7" s="461">
        <v>3</v>
      </c>
      <c r="C7" s="250" t="s">
        <v>815</v>
      </c>
      <c r="D7" s="462" t="s">
        <v>743</v>
      </c>
      <c r="E7" s="462" t="s">
        <v>813</v>
      </c>
      <c r="F7" s="462" t="s">
        <v>813</v>
      </c>
    </row>
    <row r="8" spans="2:6" x14ac:dyDescent="0.25">
      <c r="B8" s="364">
        <v>4</v>
      </c>
      <c r="C8" s="251" t="s">
        <v>816</v>
      </c>
      <c r="D8" s="358" t="s">
        <v>743</v>
      </c>
      <c r="E8" s="358" t="s">
        <v>813</v>
      </c>
      <c r="F8" s="358" t="s">
        <v>813</v>
      </c>
    </row>
    <row r="9" spans="2:6" x14ac:dyDescent="0.25">
      <c r="B9" s="461">
        <v>5</v>
      </c>
      <c r="C9" s="250" t="s">
        <v>817</v>
      </c>
      <c r="D9" s="462" t="s">
        <v>743</v>
      </c>
      <c r="E9" s="462" t="s">
        <v>813</v>
      </c>
      <c r="F9" s="462" t="s">
        <v>813</v>
      </c>
    </row>
    <row r="10" spans="2:6" x14ac:dyDescent="0.25">
      <c r="B10" s="364">
        <v>6</v>
      </c>
      <c r="C10" s="251" t="s">
        <v>818</v>
      </c>
      <c r="D10" s="358" t="s">
        <v>819</v>
      </c>
      <c r="E10" s="358" t="s">
        <v>813</v>
      </c>
      <c r="F10" s="358" t="s">
        <v>813</v>
      </c>
    </row>
    <row r="11" spans="2:6" x14ac:dyDescent="0.25">
      <c r="B11" s="461">
        <v>7</v>
      </c>
      <c r="C11" s="250" t="s">
        <v>820</v>
      </c>
      <c r="D11" s="462" t="s">
        <v>743</v>
      </c>
      <c r="E11" s="462" t="s">
        <v>813</v>
      </c>
      <c r="F11" s="462" t="s">
        <v>813</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A783B-D93D-494B-9BD3-4ED5A6E28472}">
  <dimension ref="B2:F26"/>
  <sheetViews>
    <sheetView workbookViewId="0">
      <selection activeCell="D13" sqref="D13"/>
    </sheetView>
  </sheetViews>
  <sheetFormatPr baseColWidth="10" defaultColWidth="11.5703125" defaultRowHeight="15" x14ac:dyDescent="0.25"/>
  <cols>
    <col min="1" max="2" width="11.5703125" style="18"/>
    <col min="3" max="3" width="50.7109375" style="18" customWidth="1"/>
    <col min="4" max="16384" width="11.5703125" style="18"/>
  </cols>
  <sheetData>
    <row r="2" spans="2:6" x14ac:dyDescent="0.25">
      <c r="B2" s="94" t="s">
        <v>821</v>
      </c>
    </row>
    <row r="4" spans="2:6" ht="15.75" thickBot="1" x14ac:dyDescent="0.3">
      <c r="B4" s="386" t="s">
        <v>233</v>
      </c>
      <c r="C4" s="386" t="s">
        <v>502</v>
      </c>
      <c r="D4" s="24" t="s">
        <v>810</v>
      </c>
      <c r="E4" s="386" t="s">
        <v>418</v>
      </c>
      <c r="F4" s="386" t="s">
        <v>811</v>
      </c>
    </row>
    <row r="5" spans="2:6" x14ac:dyDescent="0.25">
      <c r="B5" s="461">
        <v>1</v>
      </c>
      <c r="C5" s="250" t="s">
        <v>822</v>
      </c>
      <c r="D5" s="462" t="s">
        <v>748</v>
      </c>
      <c r="E5" s="462" t="s">
        <v>823</v>
      </c>
      <c r="F5" s="462" t="s">
        <v>823</v>
      </c>
    </row>
    <row r="6" spans="2:6" x14ac:dyDescent="0.25">
      <c r="B6" s="364">
        <v>2</v>
      </c>
      <c r="C6" s="251" t="s">
        <v>648</v>
      </c>
      <c r="D6" s="364" t="s">
        <v>819</v>
      </c>
      <c r="E6" s="358" t="s">
        <v>743</v>
      </c>
      <c r="F6" s="358" t="s">
        <v>743</v>
      </c>
    </row>
    <row r="7" spans="2:6" x14ac:dyDescent="0.25">
      <c r="B7" s="461">
        <v>3</v>
      </c>
      <c r="C7" s="250" t="s">
        <v>824</v>
      </c>
      <c r="D7" s="462" t="s">
        <v>743</v>
      </c>
      <c r="E7" s="462" t="s">
        <v>743</v>
      </c>
      <c r="F7" s="462" t="s">
        <v>743</v>
      </c>
    </row>
    <row r="8" spans="2:6" x14ac:dyDescent="0.25">
      <c r="B8" s="364">
        <v>4</v>
      </c>
      <c r="C8" s="251" t="s">
        <v>825</v>
      </c>
      <c r="D8" s="358" t="s">
        <v>748</v>
      </c>
      <c r="E8" s="358" t="s">
        <v>748</v>
      </c>
      <c r="F8" s="358" t="s">
        <v>748</v>
      </c>
    </row>
    <row r="9" spans="2:6" x14ac:dyDescent="0.25">
      <c r="B9" s="461">
        <v>5</v>
      </c>
      <c r="C9" s="250" t="s">
        <v>826</v>
      </c>
      <c r="D9" s="462" t="s">
        <v>743</v>
      </c>
      <c r="E9" s="462" t="s">
        <v>743</v>
      </c>
      <c r="F9" s="462" t="s">
        <v>743</v>
      </c>
    </row>
    <row r="10" spans="2:6" x14ac:dyDescent="0.25">
      <c r="B10" s="364">
        <v>6</v>
      </c>
      <c r="C10" s="251" t="s">
        <v>827</v>
      </c>
      <c r="D10" s="364" t="s">
        <v>748</v>
      </c>
      <c r="E10" s="364" t="s">
        <v>743</v>
      </c>
      <c r="F10" s="358" t="s">
        <v>743</v>
      </c>
    </row>
    <row r="11" spans="2:6" x14ac:dyDescent="0.25">
      <c r="B11" s="461">
        <v>7</v>
      </c>
      <c r="C11" s="250" t="s">
        <v>828</v>
      </c>
      <c r="D11" s="462" t="s">
        <v>743</v>
      </c>
      <c r="E11" s="462" t="s">
        <v>743</v>
      </c>
      <c r="F11" s="462" t="s">
        <v>743</v>
      </c>
    </row>
    <row r="12" spans="2:6" x14ac:dyDescent="0.25">
      <c r="B12" s="364">
        <v>8</v>
      </c>
      <c r="C12" s="251" t="s">
        <v>829</v>
      </c>
      <c r="D12" s="358" t="s">
        <v>743</v>
      </c>
      <c r="E12" s="358" t="s">
        <v>743</v>
      </c>
      <c r="F12" s="358" t="s">
        <v>743</v>
      </c>
    </row>
    <row r="13" spans="2:6" x14ac:dyDescent="0.25">
      <c r="B13" s="461">
        <v>9</v>
      </c>
      <c r="C13" s="250" t="s">
        <v>649</v>
      </c>
      <c r="D13" s="462" t="s">
        <v>743</v>
      </c>
      <c r="E13" s="462" t="s">
        <v>743</v>
      </c>
      <c r="F13" s="462" t="s">
        <v>743</v>
      </c>
    </row>
    <row r="14" spans="2:6" x14ac:dyDescent="0.25">
      <c r="B14" s="364">
        <v>10</v>
      </c>
      <c r="C14" s="251" t="s">
        <v>830</v>
      </c>
      <c r="D14" s="358" t="s">
        <v>743</v>
      </c>
      <c r="E14" s="358" t="s">
        <v>743</v>
      </c>
      <c r="F14" s="358" t="s">
        <v>743</v>
      </c>
    </row>
    <row r="15" spans="2:6" x14ac:dyDescent="0.25">
      <c r="B15" s="461">
        <v>11</v>
      </c>
      <c r="C15" s="250" t="s">
        <v>831</v>
      </c>
      <c r="D15" s="462" t="s">
        <v>96</v>
      </c>
      <c r="E15" s="462" t="s">
        <v>96</v>
      </c>
      <c r="F15" s="462" t="s">
        <v>96</v>
      </c>
    </row>
    <row r="16" spans="2:6" x14ac:dyDescent="0.25">
      <c r="B16" s="364">
        <v>12</v>
      </c>
      <c r="C16" s="251" t="s">
        <v>832</v>
      </c>
      <c r="D16" s="358" t="s">
        <v>743</v>
      </c>
      <c r="E16" s="358" t="s">
        <v>823</v>
      </c>
      <c r="F16" s="358" t="s">
        <v>823</v>
      </c>
    </row>
    <row r="17" spans="2:6" x14ac:dyDescent="0.25">
      <c r="B17" s="461">
        <v>13</v>
      </c>
      <c r="C17" s="250" t="s">
        <v>833</v>
      </c>
      <c r="D17" s="462" t="s">
        <v>748</v>
      </c>
      <c r="E17" s="462" t="s">
        <v>823</v>
      </c>
      <c r="F17" s="462" t="s">
        <v>823</v>
      </c>
    </row>
    <row r="18" spans="2:6" x14ac:dyDescent="0.25">
      <c r="B18" s="364">
        <v>14</v>
      </c>
      <c r="C18" s="251" t="s">
        <v>138</v>
      </c>
      <c r="D18" s="358" t="s">
        <v>748</v>
      </c>
      <c r="E18" s="358" t="s">
        <v>96</v>
      </c>
      <c r="F18" s="358" t="s">
        <v>96</v>
      </c>
    </row>
    <row r="19" spans="2:6" x14ac:dyDescent="0.25">
      <c r="B19" s="461">
        <v>15</v>
      </c>
      <c r="C19" s="250" t="s">
        <v>834</v>
      </c>
      <c r="D19" s="462" t="s">
        <v>743</v>
      </c>
      <c r="E19" s="462" t="s">
        <v>823</v>
      </c>
      <c r="F19" s="462" t="s">
        <v>823</v>
      </c>
    </row>
    <row r="20" spans="2:6" x14ac:dyDescent="0.25">
      <c r="B20" s="364">
        <v>16</v>
      </c>
      <c r="C20" s="251" t="s">
        <v>835</v>
      </c>
      <c r="D20" s="358" t="s">
        <v>743</v>
      </c>
      <c r="E20" s="358" t="s">
        <v>823</v>
      </c>
      <c r="F20" s="358" t="s">
        <v>823</v>
      </c>
    </row>
    <row r="21" spans="2:6" x14ac:dyDescent="0.25">
      <c r="B21" s="461">
        <v>17</v>
      </c>
      <c r="C21" s="250" t="s">
        <v>463</v>
      </c>
      <c r="D21" s="462" t="s">
        <v>748</v>
      </c>
      <c r="E21" s="462" t="s">
        <v>823</v>
      </c>
      <c r="F21" s="462" t="s">
        <v>823</v>
      </c>
    </row>
    <row r="22" spans="2:6" x14ac:dyDescent="0.25">
      <c r="B22" s="364">
        <v>18</v>
      </c>
      <c r="C22" s="251" t="s">
        <v>836</v>
      </c>
      <c r="D22" s="358" t="s">
        <v>743</v>
      </c>
      <c r="E22" s="358" t="s">
        <v>743</v>
      </c>
      <c r="F22" s="358" t="s">
        <v>743</v>
      </c>
    </row>
    <row r="23" spans="2:6" x14ac:dyDescent="0.25">
      <c r="B23" s="461">
        <v>19</v>
      </c>
      <c r="C23" s="250" t="s">
        <v>837</v>
      </c>
      <c r="D23" s="462" t="s">
        <v>96</v>
      </c>
      <c r="E23" s="462" t="s">
        <v>96</v>
      </c>
      <c r="F23" s="462" t="s">
        <v>96</v>
      </c>
    </row>
    <row r="24" spans="2:6" x14ac:dyDescent="0.25">
      <c r="B24" s="364">
        <v>20</v>
      </c>
      <c r="C24" s="251" t="s">
        <v>838</v>
      </c>
      <c r="D24" s="358" t="s">
        <v>748</v>
      </c>
      <c r="E24" s="358" t="s">
        <v>748</v>
      </c>
      <c r="F24" s="358" t="s">
        <v>748</v>
      </c>
    </row>
    <row r="25" spans="2:6" x14ac:dyDescent="0.25">
      <c r="B25" s="461">
        <v>21</v>
      </c>
      <c r="C25" s="250" t="s">
        <v>839</v>
      </c>
      <c r="D25" s="462" t="s">
        <v>743</v>
      </c>
      <c r="E25" s="462" t="s">
        <v>743</v>
      </c>
      <c r="F25" s="462" t="s">
        <v>743</v>
      </c>
    </row>
    <row r="26" spans="2:6" x14ac:dyDescent="0.25">
      <c r="B26" s="364">
        <v>22</v>
      </c>
      <c r="C26" s="251" t="s">
        <v>840</v>
      </c>
      <c r="D26" s="358" t="s">
        <v>96</v>
      </c>
      <c r="E26" s="358" t="s">
        <v>96</v>
      </c>
      <c r="F26" s="358" t="s">
        <v>96</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F0E04-10AF-42D4-B543-1E0C24FFB812}">
  <dimension ref="B2:F14"/>
  <sheetViews>
    <sheetView workbookViewId="0">
      <selection activeCell="D30" sqref="D30"/>
    </sheetView>
  </sheetViews>
  <sheetFormatPr baseColWidth="10" defaultColWidth="11.5703125" defaultRowHeight="15" x14ac:dyDescent="0.25"/>
  <cols>
    <col min="1" max="1" width="11.5703125" style="18"/>
    <col min="2" max="2" width="18" style="18" customWidth="1"/>
    <col min="3" max="3" width="31.5703125" style="18" bestFit="1" customWidth="1"/>
    <col min="4" max="5" width="10" style="18" bestFit="1" customWidth="1"/>
    <col min="6" max="6" width="10.28515625" style="18" bestFit="1" customWidth="1"/>
    <col min="7" max="16384" width="11.5703125" style="18"/>
  </cols>
  <sheetData>
    <row r="2" spans="2:6" x14ac:dyDescent="0.25">
      <c r="B2" s="94" t="s">
        <v>841</v>
      </c>
    </row>
    <row r="4" spans="2:6" ht="72" thickBot="1" x14ac:dyDescent="0.3">
      <c r="B4" s="88" t="s">
        <v>62</v>
      </c>
      <c r="C4" s="88" t="s">
        <v>438</v>
      </c>
      <c r="D4" s="88" t="s">
        <v>842</v>
      </c>
      <c r="E4" s="88" t="s">
        <v>843</v>
      </c>
      <c r="F4" s="88" t="s">
        <v>844</v>
      </c>
    </row>
    <row r="5" spans="2:6" ht="15.75" thickTop="1" x14ac:dyDescent="0.25">
      <c r="B5" s="463" t="s">
        <v>845</v>
      </c>
      <c r="C5" s="463" t="s">
        <v>443</v>
      </c>
      <c r="D5" s="464">
        <v>451.76589634782607</v>
      </c>
      <c r="E5" s="464">
        <v>451.76589634782607</v>
      </c>
      <c r="F5" s="465">
        <v>1</v>
      </c>
    </row>
    <row r="6" spans="2:6" x14ac:dyDescent="0.25">
      <c r="B6" s="466" t="s">
        <v>846</v>
      </c>
      <c r="C6" s="466" t="s">
        <v>442</v>
      </c>
      <c r="D6" s="467">
        <v>373.39136200000002</v>
      </c>
      <c r="E6" s="467">
        <v>373.39136200000002</v>
      </c>
      <c r="F6" s="468">
        <v>1</v>
      </c>
    </row>
    <row r="7" spans="2:6" x14ac:dyDescent="0.25">
      <c r="B7" s="469" t="s">
        <v>847</v>
      </c>
      <c r="C7" s="469" t="s">
        <v>444</v>
      </c>
      <c r="D7" s="470">
        <v>222.7393393478261</v>
      </c>
      <c r="E7" s="470">
        <v>222.7393393478261</v>
      </c>
      <c r="F7" s="471">
        <v>1</v>
      </c>
    </row>
    <row r="8" spans="2:6" x14ac:dyDescent="0.25">
      <c r="B8" s="466" t="s">
        <v>848</v>
      </c>
      <c r="C8" s="466" t="s">
        <v>446</v>
      </c>
      <c r="D8" s="467">
        <v>12844.130833347826</v>
      </c>
      <c r="E8" s="467">
        <v>12844.130833347826</v>
      </c>
      <c r="F8" s="468">
        <v>1</v>
      </c>
    </row>
    <row r="9" spans="2:6" x14ac:dyDescent="0.25">
      <c r="B9" s="469" t="s">
        <v>849</v>
      </c>
      <c r="C9" s="469" t="s">
        <v>441</v>
      </c>
      <c r="D9" s="470">
        <v>149.80650399999999</v>
      </c>
      <c r="E9" s="470">
        <v>149.80650399999999</v>
      </c>
      <c r="F9" s="471">
        <v>1</v>
      </c>
    </row>
    <row r="10" spans="2:6" x14ac:dyDescent="0.25">
      <c r="B10" s="466" t="s">
        <v>850</v>
      </c>
      <c r="C10" s="675" t="s">
        <v>445</v>
      </c>
      <c r="D10" s="467">
        <v>426.220372</v>
      </c>
      <c r="E10" s="676">
        <v>9651.0256090000003</v>
      </c>
      <c r="F10" s="468">
        <v>4.4163220497781187E-2</v>
      </c>
    </row>
    <row r="11" spans="2:6" x14ac:dyDescent="0.25">
      <c r="B11" s="466" t="s">
        <v>851</v>
      </c>
      <c r="C11" s="675"/>
      <c r="D11" s="467">
        <v>7724.2956370000002</v>
      </c>
      <c r="E11" s="676"/>
      <c r="F11" s="468">
        <v>0.80036008088060184</v>
      </c>
    </row>
    <row r="12" spans="2:6" x14ac:dyDescent="0.25">
      <c r="B12" s="466" t="s">
        <v>96</v>
      </c>
      <c r="C12" s="675"/>
      <c r="D12" s="472">
        <v>0</v>
      </c>
      <c r="E12" s="676"/>
      <c r="F12" s="468">
        <v>0.16</v>
      </c>
    </row>
    <row r="13" spans="2:6" ht="28.5" x14ac:dyDescent="0.25">
      <c r="B13" s="473" t="s">
        <v>96</v>
      </c>
      <c r="C13" s="473" t="s">
        <v>237</v>
      </c>
      <c r="D13" s="474">
        <v>0</v>
      </c>
      <c r="E13" s="475">
        <v>552.93703200000004</v>
      </c>
      <c r="F13" s="476">
        <v>0</v>
      </c>
    </row>
    <row r="14" spans="2:6" x14ac:dyDescent="0.25">
      <c r="B14" s="677" t="s">
        <v>41</v>
      </c>
      <c r="C14" s="677"/>
      <c r="D14" s="477">
        <v>22192.349944043479</v>
      </c>
      <c r="E14" s="477">
        <v>24245.796576043482</v>
      </c>
      <c r="F14" s="478">
        <v>0.91530710795334524</v>
      </c>
    </row>
  </sheetData>
  <mergeCells count="3">
    <mergeCell ref="C10:C12"/>
    <mergeCell ref="E10:E12"/>
    <mergeCell ref="B14:C14"/>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18A3C-2FA5-42BC-9002-C8238003FEBF}">
  <dimension ref="B2:F37"/>
  <sheetViews>
    <sheetView workbookViewId="0">
      <selection activeCell="D19" sqref="D19"/>
    </sheetView>
  </sheetViews>
  <sheetFormatPr baseColWidth="10" defaultColWidth="11.5703125" defaultRowHeight="15" x14ac:dyDescent="0.25"/>
  <cols>
    <col min="1" max="1" width="11.5703125" style="18"/>
    <col min="2" max="2" width="17.7109375" style="18" customWidth="1"/>
    <col min="3" max="3" width="40.85546875" style="18" bestFit="1" customWidth="1"/>
    <col min="4" max="4" width="19.28515625" style="18" bestFit="1" customWidth="1"/>
    <col min="5" max="5" width="20.7109375" style="18" bestFit="1" customWidth="1"/>
    <col min="6" max="6" width="9.5703125" style="18" bestFit="1" customWidth="1"/>
    <col min="7" max="16384" width="11.5703125" style="18"/>
  </cols>
  <sheetData>
    <row r="2" spans="2:6" x14ac:dyDescent="0.25">
      <c r="B2" s="94" t="s">
        <v>863</v>
      </c>
    </row>
    <row r="4" spans="2:6" ht="60.75" thickBot="1" x14ac:dyDescent="0.3">
      <c r="B4" s="107" t="s">
        <v>62</v>
      </c>
      <c r="C4" s="107" t="s">
        <v>438</v>
      </c>
      <c r="D4" s="107" t="s">
        <v>842</v>
      </c>
      <c r="E4" s="107" t="s">
        <v>843</v>
      </c>
      <c r="F4" s="107" t="s">
        <v>844</v>
      </c>
    </row>
    <row r="5" spans="2:6" ht="15.75" thickTop="1" x14ac:dyDescent="0.25">
      <c r="B5" s="497" t="s">
        <v>852</v>
      </c>
      <c r="C5" s="679" t="s">
        <v>461</v>
      </c>
      <c r="D5" s="498">
        <v>17915157</v>
      </c>
      <c r="E5" s="498">
        <v>17915157</v>
      </c>
      <c r="F5" s="499">
        <v>1</v>
      </c>
    </row>
    <row r="6" spans="2:6" x14ac:dyDescent="0.25">
      <c r="B6" s="500" t="s">
        <v>853</v>
      </c>
      <c r="C6" s="680"/>
      <c r="D6" s="501">
        <v>447799679</v>
      </c>
      <c r="E6" s="501">
        <v>447799679</v>
      </c>
      <c r="F6" s="502">
        <v>1</v>
      </c>
    </row>
    <row r="7" spans="2:6" x14ac:dyDescent="0.25">
      <c r="B7" s="500" t="s">
        <v>854</v>
      </c>
      <c r="C7" s="680"/>
      <c r="D7" s="501">
        <v>19862657</v>
      </c>
      <c r="E7" s="501">
        <v>19862657</v>
      </c>
      <c r="F7" s="502">
        <v>1</v>
      </c>
    </row>
    <row r="8" spans="2:6" x14ac:dyDescent="0.25">
      <c r="B8" s="503" t="s">
        <v>108</v>
      </c>
      <c r="C8" s="503" t="s">
        <v>455</v>
      </c>
      <c r="D8" s="504">
        <v>6129957979</v>
      </c>
      <c r="E8" s="504">
        <v>6129957979</v>
      </c>
      <c r="F8" s="505">
        <v>1</v>
      </c>
    </row>
    <row r="9" spans="2:6" x14ac:dyDescent="0.25">
      <c r="B9" s="500" t="s">
        <v>109</v>
      </c>
      <c r="C9" s="680" t="s">
        <v>467</v>
      </c>
      <c r="D9" s="501">
        <v>2827625502</v>
      </c>
      <c r="E9" s="501">
        <v>2827625502</v>
      </c>
      <c r="F9" s="502">
        <v>1</v>
      </c>
    </row>
    <row r="10" spans="2:6" x14ac:dyDescent="0.25">
      <c r="B10" s="500" t="s">
        <v>855</v>
      </c>
      <c r="C10" s="680"/>
      <c r="D10" s="501">
        <v>8127350</v>
      </c>
      <c r="E10" s="501">
        <v>8127350</v>
      </c>
      <c r="F10" s="502">
        <v>1</v>
      </c>
    </row>
    <row r="11" spans="2:6" x14ac:dyDescent="0.25">
      <c r="B11" s="503" t="s">
        <v>96</v>
      </c>
      <c r="C11" s="503" t="s">
        <v>459</v>
      </c>
      <c r="D11" s="504">
        <v>0</v>
      </c>
      <c r="E11" s="504">
        <v>5146322</v>
      </c>
      <c r="F11" s="505">
        <v>0</v>
      </c>
    </row>
    <row r="12" spans="2:6" x14ac:dyDescent="0.25">
      <c r="B12" s="500" t="s">
        <v>113</v>
      </c>
      <c r="C12" s="680" t="s">
        <v>452</v>
      </c>
      <c r="D12" s="501">
        <v>19758626582.439999</v>
      </c>
      <c r="E12" s="501">
        <v>19758626582.439999</v>
      </c>
      <c r="F12" s="502">
        <v>1</v>
      </c>
    </row>
    <row r="13" spans="2:6" x14ac:dyDescent="0.25">
      <c r="B13" s="500" t="s">
        <v>96</v>
      </c>
      <c r="C13" s="680"/>
      <c r="D13" s="501">
        <v>197138444</v>
      </c>
      <c r="E13" s="501">
        <v>197138444</v>
      </c>
      <c r="F13" s="502">
        <v>1</v>
      </c>
    </row>
    <row r="14" spans="2:6" x14ac:dyDescent="0.25">
      <c r="B14" s="503" t="s">
        <v>856</v>
      </c>
      <c r="C14" s="503" t="s">
        <v>458</v>
      </c>
      <c r="D14" s="504">
        <v>664893351</v>
      </c>
      <c r="E14" s="504">
        <v>664893351</v>
      </c>
      <c r="F14" s="505">
        <v>1</v>
      </c>
    </row>
    <row r="15" spans="2:6" x14ac:dyDescent="0.25">
      <c r="B15" s="500" t="s">
        <v>122</v>
      </c>
      <c r="C15" s="500" t="s">
        <v>454</v>
      </c>
      <c r="D15" s="501">
        <v>6382723361</v>
      </c>
      <c r="E15" s="501">
        <v>6382723361</v>
      </c>
      <c r="F15" s="502">
        <v>1</v>
      </c>
    </row>
    <row r="16" spans="2:6" x14ac:dyDescent="0.25">
      <c r="B16" s="503" t="s">
        <v>857</v>
      </c>
      <c r="C16" s="503" t="s">
        <v>278</v>
      </c>
      <c r="D16" s="504">
        <v>18610092871.496422</v>
      </c>
      <c r="E16" s="504">
        <v>18610092871.496422</v>
      </c>
      <c r="F16" s="505">
        <v>1</v>
      </c>
    </row>
    <row r="17" spans="2:6" x14ac:dyDescent="0.25">
      <c r="B17" s="500" t="s">
        <v>858</v>
      </c>
      <c r="C17" s="680" t="s">
        <v>450</v>
      </c>
      <c r="D17" s="501">
        <v>28242788909</v>
      </c>
      <c r="E17" s="501">
        <v>28242788909</v>
      </c>
      <c r="F17" s="502">
        <v>1</v>
      </c>
    </row>
    <row r="18" spans="2:6" x14ac:dyDescent="0.25">
      <c r="B18" s="500" t="s">
        <v>104</v>
      </c>
      <c r="C18" s="680"/>
      <c r="D18" s="501">
        <v>57178954571.562279</v>
      </c>
      <c r="E18" s="501">
        <v>57178954571.562279</v>
      </c>
      <c r="F18" s="502">
        <v>1</v>
      </c>
    </row>
    <row r="19" spans="2:6" x14ac:dyDescent="0.25">
      <c r="B19" s="503" t="s">
        <v>104</v>
      </c>
      <c r="C19" s="503" t="s">
        <v>462</v>
      </c>
      <c r="D19" s="504">
        <v>372333428</v>
      </c>
      <c r="E19" s="504">
        <v>372333428</v>
      </c>
      <c r="F19" s="505">
        <v>1</v>
      </c>
    </row>
    <row r="20" spans="2:6" x14ac:dyDescent="0.25">
      <c r="B20" s="500" t="s">
        <v>131</v>
      </c>
      <c r="C20" s="500" t="s">
        <v>464</v>
      </c>
      <c r="D20" s="501">
        <v>4997998314</v>
      </c>
      <c r="E20" s="501">
        <v>4997998314</v>
      </c>
      <c r="F20" s="502">
        <v>1</v>
      </c>
    </row>
    <row r="21" spans="2:6" x14ac:dyDescent="0.25">
      <c r="B21" s="503" t="s">
        <v>110</v>
      </c>
      <c r="C21" s="681" t="s">
        <v>449</v>
      </c>
      <c r="D21" s="504">
        <v>8825117</v>
      </c>
      <c r="E21" s="504">
        <v>8825117</v>
      </c>
      <c r="F21" s="505">
        <v>1</v>
      </c>
    </row>
    <row r="22" spans="2:6" x14ac:dyDescent="0.25">
      <c r="B22" s="503" t="s">
        <v>107</v>
      </c>
      <c r="C22" s="681"/>
      <c r="D22" s="504">
        <v>156898889</v>
      </c>
      <c r="E22" s="504">
        <v>156898889</v>
      </c>
      <c r="F22" s="505">
        <v>1</v>
      </c>
    </row>
    <row r="23" spans="2:6" x14ac:dyDescent="0.25">
      <c r="B23" s="503" t="s">
        <v>109</v>
      </c>
      <c r="C23" s="681"/>
      <c r="D23" s="504">
        <v>38966354</v>
      </c>
      <c r="E23" s="504">
        <v>38966354</v>
      </c>
      <c r="F23" s="505">
        <v>1</v>
      </c>
    </row>
    <row r="24" spans="2:6" x14ac:dyDescent="0.25">
      <c r="B24" s="503" t="s">
        <v>859</v>
      </c>
      <c r="C24" s="681"/>
      <c r="D24" s="504">
        <v>16250000</v>
      </c>
      <c r="E24" s="504">
        <v>16250000</v>
      </c>
      <c r="F24" s="505">
        <v>1</v>
      </c>
    </row>
    <row r="25" spans="2:6" x14ac:dyDescent="0.25">
      <c r="B25" s="503" t="s">
        <v>860</v>
      </c>
      <c r="C25" s="681"/>
      <c r="D25" s="504">
        <v>8935907</v>
      </c>
      <c r="E25" s="504">
        <v>8935907</v>
      </c>
      <c r="F25" s="505">
        <v>1</v>
      </c>
    </row>
    <row r="26" spans="2:6" x14ac:dyDescent="0.25">
      <c r="B26" s="503" t="s">
        <v>108</v>
      </c>
      <c r="C26" s="681"/>
      <c r="D26" s="504">
        <v>62892323</v>
      </c>
      <c r="E26" s="504">
        <v>62892323</v>
      </c>
      <c r="F26" s="505">
        <v>1</v>
      </c>
    </row>
    <row r="27" spans="2:6" x14ac:dyDescent="0.25">
      <c r="B27" s="503" t="s">
        <v>861</v>
      </c>
      <c r="C27" s="681"/>
      <c r="D27" s="504">
        <v>10000000</v>
      </c>
      <c r="E27" s="504">
        <v>10000000</v>
      </c>
      <c r="F27" s="505">
        <v>1</v>
      </c>
    </row>
    <row r="28" spans="2:6" x14ac:dyDescent="0.25">
      <c r="B28" s="503" t="s">
        <v>96</v>
      </c>
      <c r="C28" s="681"/>
      <c r="D28" s="504">
        <v>0</v>
      </c>
      <c r="E28" s="504">
        <v>51721354889.5</v>
      </c>
      <c r="F28" s="505">
        <v>0</v>
      </c>
    </row>
    <row r="29" spans="2:6" ht="30" x14ac:dyDescent="0.25">
      <c r="B29" s="500" t="s">
        <v>119</v>
      </c>
      <c r="C29" s="500" t="s">
        <v>456</v>
      </c>
      <c r="D29" s="501">
        <v>1523964126</v>
      </c>
      <c r="E29" s="501">
        <v>1523964126</v>
      </c>
      <c r="F29" s="502">
        <v>1</v>
      </c>
    </row>
    <row r="30" spans="2:6" x14ac:dyDescent="0.25">
      <c r="B30" s="681" t="s">
        <v>862</v>
      </c>
      <c r="C30" s="681" t="s">
        <v>453</v>
      </c>
      <c r="D30" s="504">
        <v>0</v>
      </c>
      <c r="E30" s="504">
        <v>12572000</v>
      </c>
      <c r="F30" s="505">
        <v>0</v>
      </c>
    </row>
    <row r="31" spans="2:6" x14ac:dyDescent="0.25">
      <c r="B31" s="681"/>
      <c r="C31" s="681"/>
      <c r="D31" s="504">
        <v>0</v>
      </c>
      <c r="E31" s="504">
        <v>205543160</v>
      </c>
      <c r="F31" s="505">
        <v>0</v>
      </c>
    </row>
    <row r="32" spans="2:6" x14ac:dyDescent="0.25">
      <c r="B32" s="681"/>
      <c r="C32" s="503" t="s">
        <v>460</v>
      </c>
      <c r="D32" s="504">
        <v>0</v>
      </c>
      <c r="E32" s="504">
        <v>183952376</v>
      </c>
      <c r="F32" s="505">
        <v>0</v>
      </c>
    </row>
    <row r="33" spans="2:6" x14ac:dyDescent="0.25">
      <c r="B33" s="681"/>
      <c r="C33" s="503" t="s">
        <v>463</v>
      </c>
      <c r="D33" s="504">
        <v>0</v>
      </c>
      <c r="E33" s="504">
        <v>324186996</v>
      </c>
      <c r="F33" s="505">
        <v>0</v>
      </c>
    </row>
    <row r="34" spans="2:6" x14ac:dyDescent="0.25">
      <c r="B34" s="681"/>
      <c r="C34" s="503" t="s">
        <v>451</v>
      </c>
      <c r="D34" s="504">
        <v>0</v>
      </c>
      <c r="E34" s="504">
        <v>31661391964</v>
      </c>
      <c r="F34" s="505">
        <v>0</v>
      </c>
    </row>
    <row r="35" spans="2:6" ht="30" x14ac:dyDescent="0.25">
      <c r="B35" s="681"/>
      <c r="C35" s="503" t="s">
        <v>466</v>
      </c>
      <c r="D35" s="504">
        <v>0</v>
      </c>
      <c r="E35" s="504">
        <v>3348315816</v>
      </c>
      <c r="F35" s="505">
        <v>0</v>
      </c>
    </row>
    <row r="36" spans="2:6" ht="30" x14ac:dyDescent="0.25">
      <c r="B36" s="682"/>
      <c r="C36" s="506" t="s">
        <v>448</v>
      </c>
      <c r="D36" s="507">
        <v>0</v>
      </c>
      <c r="E36" s="507">
        <v>5528324</v>
      </c>
      <c r="F36" s="508">
        <v>0</v>
      </c>
    </row>
    <row r="37" spans="2:6" x14ac:dyDescent="0.25">
      <c r="B37" s="678" t="s">
        <v>41</v>
      </c>
      <c r="C37" s="678"/>
      <c r="D37" s="509">
        <v>147683570872.49872</v>
      </c>
      <c r="E37" s="509">
        <v>235151562719.99872</v>
      </c>
      <c r="F37" s="510"/>
    </row>
  </sheetData>
  <mergeCells count="8">
    <mergeCell ref="B37:C37"/>
    <mergeCell ref="C5:C7"/>
    <mergeCell ref="C9:C10"/>
    <mergeCell ref="C12:C13"/>
    <mergeCell ref="C17:C18"/>
    <mergeCell ref="C21:C28"/>
    <mergeCell ref="B30:B36"/>
    <mergeCell ref="C30:C31"/>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5668F-121F-43D6-8C9C-16A9E2853EA0}">
  <dimension ref="B2:D12"/>
  <sheetViews>
    <sheetView workbookViewId="0">
      <selection activeCell="C29" sqref="C29"/>
    </sheetView>
  </sheetViews>
  <sheetFormatPr baseColWidth="10" defaultColWidth="11.5703125" defaultRowHeight="15" x14ac:dyDescent="0.25"/>
  <cols>
    <col min="1" max="1" width="11.5703125" style="18"/>
    <col min="2" max="2" width="54.85546875" style="18" bestFit="1" customWidth="1"/>
    <col min="3" max="3" width="8.140625" style="18" bestFit="1" customWidth="1"/>
    <col min="4" max="4" width="10.7109375" style="18" bestFit="1" customWidth="1"/>
    <col min="5" max="16384" width="11.5703125" style="18"/>
  </cols>
  <sheetData>
    <row r="2" spans="2:4" x14ac:dyDescent="0.25">
      <c r="B2" s="94" t="s">
        <v>864</v>
      </c>
    </row>
    <row r="4" spans="2:4" ht="30.75" thickBot="1" x14ac:dyDescent="0.3">
      <c r="B4" s="136" t="s">
        <v>865</v>
      </c>
      <c r="C4" s="136">
        <v>2022</v>
      </c>
      <c r="D4" s="136" t="s">
        <v>866</v>
      </c>
    </row>
    <row r="5" spans="2:4" x14ac:dyDescent="0.25">
      <c r="B5" s="479" t="s">
        <v>867</v>
      </c>
      <c r="C5" s="480">
        <v>3536.26</v>
      </c>
      <c r="D5" s="481"/>
    </row>
    <row r="6" spans="2:4" x14ac:dyDescent="0.25">
      <c r="B6" s="482" t="s">
        <v>868</v>
      </c>
      <c r="C6" s="483">
        <v>3135.52</v>
      </c>
      <c r="D6" s="484">
        <v>0.88667688461821237</v>
      </c>
    </row>
    <row r="7" spans="2:4" x14ac:dyDescent="0.25">
      <c r="B7" s="485" t="s">
        <v>869</v>
      </c>
      <c r="C7" s="486"/>
      <c r="D7" s="487"/>
    </row>
    <row r="8" spans="2:4" x14ac:dyDescent="0.25">
      <c r="B8" s="488" t="s">
        <v>870</v>
      </c>
      <c r="C8" s="489">
        <v>242.30074493700002</v>
      </c>
      <c r="D8" s="490">
        <v>6.8518928171853885E-2</v>
      </c>
    </row>
    <row r="9" spans="2:4" x14ac:dyDescent="0.25">
      <c r="B9" s="491" t="s">
        <v>871</v>
      </c>
      <c r="C9" s="492">
        <v>2849.643</v>
      </c>
      <c r="D9" s="493">
        <v>0.80583526098194136</v>
      </c>
    </row>
    <row r="10" spans="2:4" x14ac:dyDescent="0.25">
      <c r="B10" s="494" t="s">
        <v>872</v>
      </c>
      <c r="C10" s="495">
        <v>43.91</v>
      </c>
      <c r="D10" s="496">
        <v>1.2417073405236038E-2</v>
      </c>
    </row>
    <row r="11" spans="2:4" x14ac:dyDescent="0.25">
      <c r="B11" s="482" t="s">
        <v>873</v>
      </c>
      <c r="C11" s="483">
        <v>145.85</v>
      </c>
      <c r="D11" s="484">
        <v>4.1244139288400733E-2</v>
      </c>
    </row>
    <row r="12" spans="2:4" x14ac:dyDescent="0.25">
      <c r="B12" s="482" t="s">
        <v>874</v>
      </c>
      <c r="C12" s="483">
        <v>254.89</v>
      </c>
      <c r="D12" s="484">
        <v>7.2078976093386787E-2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3D550-3435-4181-91AA-519E5B676813}">
  <dimension ref="B2:E9"/>
  <sheetViews>
    <sheetView workbookViewId="0">
      <selection activeCell="D14" sqref="D14"/>
    </sheetView>
  </sheetViews>
  <sheetFormatPr baseColWidth="10" defaultColWidth="11.5703125" defaultRowHeight="15" x14ac:dyDescent="0.25"/>
  <cols>
    <col min="1" max="1" width="11.5703125" style="18"/>
    <col min="2" max="2" width="46.7109375" style="18" customWidth="1"/>
    <col min="3" max="5" width="9.7109375" style="18" customWidth="1"/>
    <col min="6" max="16384" width="11.5703125" style="18"/>
  </cols>
  <sheetData>
    <row r="2" spans="2:5" x14ac:dyDescent="0.25">
      <c r="B2" s="94" t="s">
        <v>875</v>
      </c>
    </row>
    <row r="4" spans="2:5" ht="15.75" thickBot="1" x14ac:dyDescent="0.3">
      <c r="B4" s="136" t="s">
        <v>865</v>
      </c>
      <c r="C4" s="136">
        <v>2022</v>
      </c>
      <c r="D4" s="136">
        <v>2021</v>
      </c>
      <c r="E4" s="136" t="s">
        <v>876</v>
      </c>
    </row>
    <row r="5" spans="2:5" x14ac:dyDescent="0.25">
      <c r="B5" s="479" t="s">
        <v>867</v>
      </c>
      <c r="C5" s="511">
        <v>3536.26</v>
      </c>
      <c r="D5" s="511">
        <v>2968.91</v>
      </c>
      <c r="E5" s="512">
        <v>567.35000000000036</v>
      </c>
    </row>
    <row r="6" spans="2:5" x14ac:dyDescent="0.25">
      <c r="B6" s="247" t="s">
        <v>877</v>
      </c>
      <c r="C6" s="513">
        <v>242.30074493700002</v>
      </c>
      <c r="D6" s="513">
        <v>206.04</v>
      </c>
      <c r="E6" s="514">
        <v>36.260744937000027</v>
      </c>
    </row>
    <row r="7" spans="2:5" x14ac:dyDescent="0.25">
      <c r="B7" s="515" t="s">
        <v>878</v>
      </c>
      <c r="C7" s="516">
        <v>17.983984208000003</v>
      </c>
      <c r="D7" s="516">
        <v>12.26</v>
      </c>
      <c r="E7" s="517">
        <v>5.7239842080000027</v>
      </c>
    </row>
    <row r="8" spans="2:5" x14ac:dyDescent="0.25">
      <c r="B8" s="518" t="s">
        <v>879</v>
      </c>
      <c r="C8" s="519">
        <v>224.31676072900001</v>
      </c>
      <c r="D8" s="519">
        <v>193.77</v>
      </c>
      <c r="E8" s="520">
        <v>30.546760728999999</v>
      </c>
    </row>
    <row r="9" spans="2:5" x14ac:dyDescent="0.25">
      <c r="B9" s="479" t="s">
        <v>880</v>
      </c>
      <c r="C9" s="521">
        <v>6.8518928171853885E-2</v>
      </c>
      <c r="D9" s="521">
        <v>6.9399207116416464E-2</v>
      </c>
      <c r="E9" s="521">
        <v>6.3912478958314978E-2</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087B9-D143-4278-9B96-BBAB9BAAD5C8}">
  <dimension ref="B2:E7"/>
  <sheetViews>
    <sheetView workbookViewId="0">
      <selection activeCell="G27" sqref="G27"/>
    </sheetView>
  </sheetViews>
  <sheetFormatPr baseColWidth="10" defaultColWidth="11.5703125" defaultRowHeight="15" x14ac:dyDescent="0.25"/>
  <cols>
    <col min="1" max="1" width="11.5703125" style="18"/>
    <col min="2" max="2" width="33.7109375" style="18" customWidth="1"/>
    <col min="3" max="16384" width="11.5703125" style="18"/>
  </cols>
  <sheetData>
    <row r="2" spans="2:5" x14ac:dyDescent="0.25">
      <c r="B2" s="94" t="s">
        <v>881</v>
      </c>
    </row>
    <row r="4" spans="2:5" ht="15.75" thickBot="1" x14ac:dyDescent="0.3">
      <c r="B4" s="136" t="s">
        <v>865</v>
      </c>
      <c r="C4" s="136">
        <v>2022</v>
      </c>
      <c r="D4" s="136">
        <v>2021</v>
      </c>
      <c r="E4" s="152" t="s">
        <v>876</v>
      </c>
    </row>
    <row r="5" spans="2:5" x14ac:dyDescent="0.25">
      <c r="B5" s="482" t="s">
        <v>221</v>
      </c>
      <c r="C5" s="522">
        <v>16867.3</v>
      </c>
      <c r="D5" s="517">
        <v>15319.1</v>
      </c>
      <c r="E5" s="517">
        <v>1548.1999999999989</v>
      </c>
    </row>
    <row r="6" spans="2:5" x14ac:dyDescent="0.25">
      <c r="B6" s="59" t="s">
        <v>882</v>
      </c>
      <c r="C6" s="330">
        <v>758.8</v>
      </c>
      <c r="D6" s="330">
        <v>762.9</v>
      </c>
      <c r="E6" s="330">
        <v>-4.1000000000000227</v>
      </c>
    </row>
    <row r="7" spans="2:5" x14ac:dyDescent="0.25">
      <c r="B7" s="479" t="s">
        <v>883</v>
      </c>
      <c r="C7" s="521">
        <v>4.4986453077848855E-2</v>
      </c>
      <c r="D7" s="521">
        <v>4.9800575751839202E-2</v>
      </c>
      <c r="E7" s="521">
        <v>-2.64823666193E-3</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D52BC-FA0F-48F0-8EC0-AF9C6CEDDB2A}">
  <dimension ref="B2:F6"/>
  <sheetViews>
    <sheetView workbookViewId="0">
      <selection activeCell="E7" sqref="E7"/>
    </sheetView>
  </sheetViews>
  <sheetFormatPr baseColWidth="10" defaultColWidth="11.5703125" defaultRowHeight="15" x14ac:dyDescent="0.25"/>
  <cols>
    <col min="1" max="1" width="11.5703125" style="18"/>
    <col min="2" max="2" width="43.42578125" style="18" customWidth="1"/>
    <col min="3" max="16384" width="11.5703125" style="18"/>
  </cols>
  <sheetData>
    <row r="2" spans="2:6" x14ac:dyDescent="0.25">
      <c r="B2" s="94" t="s">
        <v>884</v>
      </c>
    </row>
    <row r="4" spans="2:6" ht="30.75" thickBot="1" x14ac:dyDescent="0.3">
      <c r="B4" s="136" t="s">
        <v>865</v>
      </c>
      <c r="C4" s="136">
        <v>2022</v>
      </c>
      <c r="D4" s="136" t="s">
        <v>885</v>
      </c>
      <c r="E4" s="136">
        <v>2021</v>
      </c>
      <c r="F4" s="136" t="s">
        <v>886</v>
      </c>
    </row>
    <row r="5" spans="2:6" x14ac:dyDescent="0.25">
      <c r="B5" s="482" t="s">
        <v>887</v>
      </c>
      <c r="C5" s="523">
        <v>1380.962450261</v>
      </c>
      <c r="D5" s="524">
        <v>0.32162527662878171</v>
      </c>
      <c r="E5" s="523">
        <v>1096.77</v>
      </c>
      <c r="F5" s="425">
        <v>0.30630899849187287</v>
      </c>
    </row>
    <row r="6" spans="2:6" x14ac:dyDescent="0.25">
      <c r="B6" s="479" t="s">
        <v>888</v>
      </c>
      <c r="C6" s="512">
        <v>4293.7</v>
      </c>
      <c r="D6" s="521"/>
      <c r="E6" s="512">
        <v>3580.6</v>
      </c>
      <c r="F6" s="525"/>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EA832-3E7E-4BE2-9C1D-C42180B40C7C}">
  <dimension ref="B2:K17"/>
  <sheetViews>
    <sheetView workbookViewId="0">
      <selection activeCell="G24" sqref="G24"/>
    </sheetView>
  </sheetViews>
  <sheetFormatPr baseColWidth="10" defaultColWidth="11.5703125" defaultRowHeight="15" x14ac:dyDescent="0.25"/>
  <cols>
    <col min="1" max="1" width="11.5703125" style="18"/>
    <col min="2" max="2" width="25.5703125" style="18" customWidth="1"/>
    <col min="3" max="3" width="38.7109375" style="18" bestFit="1" customWidth="1"/>
    <col min="4" max="7" width="8.28515625" style="18" customWidth="1"/>
    <col min="8" max="8" width="4.7109375" style="18" bestFit="1" customWidth="1"/>
    <col min="9" max="9" width="3.42578125" style="18" bestFit="1" customWidth="1"/>
    <col min="10" max="10" width="11.5703125" style="18" bestFit="1" customWidth="1"/>
    <col min="11" max="11" width="18.140625" style="18" customWidth="1"/>
    <col min="12" max="16384" width="11.5703125" style="18"/>
  </cols>
  <sheetData>
    <row r="2" spans="2:11" x14ac:dyDescent="0.25">
      <c r="B2" s="94" t="s">
        <v>889</v>
      </c>
    </row>
    <row r="4" spans="2:11" x14ac:dyDescent="0.25">
      <c r="B4" s="643" t="s">
        <v>890</v>
      </c>
      <c r="C4" s="643" t="s">
        <v>891</v>
      </c>
      <c r="D4" s="643" t="s">
        <v>892</v>
      </c>
      <c r="E4" s="643"/>
      <c r="F4" s="643" t="s">
        <v>894</v>
      </c>
      <c r="G4" s="643"/>
      <c r="H4" s="640" t="s">
        <v>540</v>
      </c>
      <c r="I4" s="640"/>
      <c r="J4" s="640" t="s">
        <v>896</v>
      </c>
      <c r="K4" s="643" t="s">
        <v>907</v>
      </c>
    </row>
    <row r="5" spans="2:11" x14ac:dyDescent="0.25">
      <c r="B5" s="643"/>
      <c r="C5" s="643"/>
      <c r="D5" s="643" t="s">
        <v>893</v>
      </c>
      <c r="E5" s="643"/>
      <c r="F5" s="643" t="s">
        <v>895</v>
      </c>
      <c r="G5" s="643"/>
      <c r="H5" s="640"/>
      <c r="I5" s="640"/>
      <c r="J5" s="640"/>
      <c r="K5" s="643"/>
    </row>
    <row r="6" spans="2:11" x14ac:dyDescent="0.25">
      <c r="B6" s="643"/>
      <c r="C6" s="643"/>
      <c r="D6" s="177" t="s">
        <v>897</v>
      </c>
      <c r="E6" s="177" t="s">
        <v>898</v>
      </c>
      <c r="F6" s="177" t="s">
        <v>897</v>
      </c>
      <c r="G6" s="177" t="s">
        <v>898</v>
      </c>
      <c r="H6" s="177" t="s">
        <v>897</v>
      </c>
      <c r="I6" s="177" t="s">
        <v>898</v>
      </c>
      <c r="J6" s="640"/>
      <c r="K6" s="643"/>
    </row>
    <row r="7" spans="2:11" x14ac:dyDescent="0.25">
      <c r="B7" s="683" t="s">
        <v>899</v>
      </c>
      <c r="C7" s="530" t="s">
        <v>900</v>
      </c>
      <c r="D7" s="531">
        <v>341</v>
      </c>
      <c r="E7" s="531">
        <v>59</v>
      </c>
      <c r="F7" s="531">
        <v>355</v>
      </c>
      <c r="G7" s="531">
        <v>22</v>
      </c>
      <c r="H7" s="531">
        <v>696</v>
      </c>
      <c r="I7" s="531">
        <v>81</v>
      </c>
      <c r="J7" s="531">
        <v>777</v>
      </c>
      <c r="K7" s="685">
        <v>100884074175</v>
      </c>
    </row>
    <row r="8" spans="2:11" x14ac:dyDescent="0.25">
      <c r="B8" s="684"/>
      <c r="C8" s="532" t="s">
        <v>901</v>
      </c>
      <c r="D8" s="533">
        <v>846</v>
      </c>
      <c r="E8" s="533">
        <v>158</v>
      </c>
      <c r="F8" s="533">
        <v>6</v>
      </c>
      <c r="G8" s="533">
        <v>1</v>
      </c>
      <c r="H8" s="533">
        <v>852</v>
      </c>
      <c r="I8" s="533">
        <v>159</v>
      </c>
      <c r="J8" s="534">
        <v>1011</v>
      </c>
      <c r="K8" s="686"/>
    </row>
    <row r="9" spans="2:11" ht="30" x14ac:dyDescent="0.25">
      <c r="B9" s="684"/>
      <c r="C9" s="532" t="s">
        <v>902</v>
      </c>
      <c r="D9" s="534">
        <v>2712</v>
      </c>
      <c r="E9" s="533">
        <v>195</v>
      </c>
      <c r="F9" s="533">
        <v>1</v>
      </c>
      <c r="G9" s="533">
        <v>1</v>
      </c>
      <c r="H9" s="534">
        <v>2713</v>
      </c>
      <c r="I9" s="533">
        <v>196</v>
      </c>
      <c r="J9" s="534">
        <v>2909</v>
      </c>
      <c r="K9" s="686"/>
    </row>
    <row r="10" spans="2:11" x14ac:dyDescent="0.25">
      <c r="B10" s="684"/>
      <c r="C10" s="532" t="s">
        <v>903</v>
      </c>
      <c r="D10" s="534">
        <v>1699</v>
      </c>
      <c r="E10" s="533">
        <v>146</v>
      </c>
      <c r="F10" s="533">
        <v>4</v>
      </c>
      <c r="G10" s="533">
        <v>1</v>
      </c>
      <c r="H10" s="534">
        <v>1703</v>
      </c>
      <c r="I10" s="533">
        <v>147</v>
      </c>
      <c r="J10" s="534">
        <v>1850</v>
      </c>
      <c r="K10" s="686"/>
    </row>
    <row r="11" spans="2:11" x14ac:dyDescent="0.25">
      <c r="B11" s="687" t="s">
        <v>904</v>
      </c>
      <c r="C11" s="535" t="s">
        <v>900</v>
      </c>
      <c r="D11" s="536">
        <v>53</v>
      </c>
      <c r="E11" s="536">
        <v>4</v>
      </c>
      <c r="F11" s="536">
        <v>24</v>
      </c>
      <c r="G11" s="536">
        <v>0</v>
      </c>
      <c r="H11" s="536">
        <v>77</v>
      </c>
      <c r="I11" s="536">
        <v>4</v>
      </c>
      <c r="J11" s="536">
        <v>81</v>
      </c>
      <c r="K11" s="689">
        <v>19120663630</v>
      </c>
    </row>
    <row r="12" spans="2:11" x14ac:dyDescent="0.25">
      <c r="B12" s="687"/>
      <c r="C12" s="535" t="s">
        <v>901</v>
      </c>
      <c r="D12" s="536">
        <v>57</v>
      </c>
      <c r="E12" s="536">
        <v>12</v>
      </c>
      <c r="F12" s="536">
        <v>0</v>
      </c>
      <c r="G12" s="536">
        <v>0</v>
      </c>
      <c r="H12" s="536">
        <v>57</v>
      </c>
      <c r="I12" s="536">
        <v>12</v>
      </c>
      <c r="J12" s="536">
        <v>69</v>
      </c>
      <c r="K12" s="689"/>
    </row>
    <row r="13" spans="2:11" ht="30" x14ac:dyDescent="0.25">
      <c r="B13" s="687"/>
      <c r="C13" s="535" t="s">
        <v>902</v>
      </c>
      <c r="D13" s="536">
        <v>388</v>
      </c>
      <c r="E13" s="536">
        <v>31</v>
      </c>
      <c r="F13" s="536">
        <v>0</v>
      </c>
      <c r="G13" s="536">
        <v>0</v>
      </c>
      <c r="H13" s="536">
        <v>388</v>
      </c>
      <c r="I13" s="536">
        <v>31</v>
      </c>
      <c r="J13" s="536">
        <v>419</v>
      </c>
      <c r="K13" s="689"/>
    </row>
    <row r="14" spans="2:11" x14ac:dyDescent="0.25">
      <c r="B14" s="688"/>
      <c r="C14" s="537" t="s">
        <v>903</v>
      </c>
      <c r="D14" s="538">
        <v>1731</v>
      </c>
      <c r="E14" s="539">
        <v>110</v>
      </c>
      <c r="F14" s="539">
        <v>20</v>
      </c>
      <c r="G14" s="539">
        <v>0</v>
      </c>
      <c r="H14" s="538">
        <v>1751</v>
      </c>
      <c r="I14" s="539">
        <v>110</v>
      </c>
      <c r="J14" s="538">
        <v>1861</v>
      </c>
      <c r="K14" s="690"/>
    </row>
    <row r="15" spans="2:11" x14ac:dyDescent="0.25">
      <c r="B15" s="247"/>
      <c r="C15" s="247" t="s">
        <v>41</v>
      </c>
      <c r="D15" s="286">
        <v>7827</v>
      </c>
      <c r="E15" s="526">
        <v>715</v>
      </c>
      <c r="F15" s="526">
        <v>410</v>
      </c>
      <c r="G15" s="526">
        <v>25</v>
      </c>
      <c r="H15" s="286">
        <v>8237</v>
      </c>
      <c r="I15" s="526">
        <v>740</v>
      </c>
      <c r="J15" s="286">
        <v>8977</v>
      </c>
      <c r="K15" s="286">
        <v>120004737805</v>
      </c>
    </row>
    <row r="16" spans="2:11" x14ac:dyDescent="0.35">
      <c r="B16" s="527"/>
      <c r="C16" s="479" t="s">
        <v>905</v>
      </c>
      <c r="D16" s="528">
        <v>6168</v>
      </c>
      <c r="E16" s="529">
        <v>637</v>
      </c>
      <c r="F16" s="529">
        <v>366</v>
      </c>
      <c r="G16" s="529">
        <v>25</v>
      </c>
      <c r="H16" s="528">
        <v>6534</v>
      </c>
      <c r="I16" s="529">
        <v>662</v>
      </c>
      <c r="J16" s="528">
        <v>7196</v>
      </c>
      <c r="K16" s="528">
        <v>112465624143</v>
      </c>
    </row>
    <row r="17" spans="2:11" x14ac:dyDescent="0.35">
      <c r="B17" s="527"/>
      <c r="C17" s="479" t="s">
        <v>906</v>
      </c>
      <c r="D17" s="528">
        <v>1659</v>
      </c>
      <c r="E17" s="529">
        <v>78</v>
      </c>
      <c r="F17" s="529">
        <v>44</v>
      </c>
      <c r="G17" s="529">
        <v>0</v>
      </c>
      <c r="H17" s="528">
        <v>1703</v>
      </c>
      <c r="I17" s="529">
        <v>78</v>
      </c>
      <c r="J17" s="528">
        <v>1781</v>
      </c>
      <c r="K17" s="528">
        <v>7539113662</v>
      </c>
    </row>
  </sheetData>
  <mergeCells count="13">
    <mergeCell ref="H4:I5"/>
    <mergeCell ref="J4:J6"/>
    <mergeCell ref="B7:B10"/>
    <mergeCell ref="K7:K10"/>
    <mergeCell ref="B11:B14"/>
    <mergeCell ref="K11:K14"/>
    <mergeCell ref="K4:K6"/>
    <mergeCell ref="B4:B6"/>
    <mergeCell ref="C4:C6"/>
    <mergeCell ref="D4:E4"/>
    <mergeCell ref="D5:E5"/>
    <mergeCell ref="F4:G4"/>
    <mergeCell ref="F5:G5"/>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FD739-0570-4DAB-AC72-907EC2CC74F8}">
  <dimension ref="B2:D12"/>
  <sheetViews>
    <sheetView workbookViewId="0">
      <selection activeCell="B9" sqref="B9"/>
    </sheetView>
  </sheetViews>
  <sheetFormatPr baseColWidth="10" defaultColWidth="11.5703125" defaultRowHeight="15" x14ac:dyDescent="0.25"/>
  <cols>
    <col min="1" max="1" width="11.5703125" style="18"/>
    <col min="2" max="2" width="47.7109375" style="18" customWidth="1"/>
    <col min="3" max="16384" width="11.5703125" style="18"/>
  </cols>
  <sheetData>
    <row r="2" spans="2:4" x14ac:dyDescent="0.25">
      <c r="B2" s="94" t="s">
        <v>908</v>
      </c>
    </row>
    <row r="4" spans="2:4" ht="15.75" thickBot="1" x14ac:dyDescent="0.3">
      <c r="B4" s="136" t="s">
        <v>909</v>
      </c>
      <c r="C4" s="136">
        <v>2022</v>
      </c>
      <c r="D4" s="136">
        <v>2021</v>
      </c>
    </row>
    <row r="5" spans="2:4" x14ac:dyDescent="0.25">
      <c r="B5" s="397" t="s">
        <v>910</v>
      </c>
      <c r="C5" s="399">
        <v>346</v>
      </c>
      <c r="D5" s="417">
        <v>305</v>
      </c>
    </row>
    <row r="6" spans="2:4" x14ac:dyDescent="0.25">
      <c r="B6" s="251" t="s">
        <v>911</v>
      </c>
      <c r="C6" s="401">
        <v>8631</v>
      </c>
      <c r="D6" s="540">
        <v>9944</v>
      </c>
    </row>
    <row r="7" spans="2:4" x14ac:dyDescent="0.25">
      <c r="B7" s="397" t="s">
        <v>912</v>
      </c>
      <c r="C7" s="398">
        <v>8977</v>
      </c>
      <c r="D7" s="541">
        <v>10249</v>
      </c>
    </row>
    <row r="8" spans="2:4" x14ac:dyDescent="0.25">
      <c r="B8" s="251" t="s">
        <v>914</v>
      </c>
      <c r="C8" s="401">
        <v>5198745</v>
      </c>
      <c r="D8" s="540">
        <v>4419926</v>
      </c>
    </row>
    <row r="9" spans="2:4" x14ac:dyDescent="0.25">
      <c r="B9" s="397" t="s">
        <v>913</v>
      </c>
      <c r="C9" s="542">
        <v>1.6999999999999999E-3</v>
      </c>
      <c r="D9" s="425">
        <v>2.3E-3</v>
      </c>
    </row>
    <row r="10" spans="2:4" x14ac:dyDescent="0.2">
      <c r="B10" s="543"/>
      <c r="C10" s="543"/>
      <c r="D10" s="543"/>
    </row>
    <row r="11" spans="2:4" x14ac:dyDescent="0.2">
      <c r="B11" s="543"/>
      <c r="C11" s="543"/>
      <c r="D11" s="543"/>
    </row>
    <row r="12" spans="2:4" ht="17.25" x14ac:dyDescent="0.2">
      <c r="B12" s="544"/>
      <c r="C12" s="543"/>
      <c r="D12" s="543"/>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8168A-F9F5-41B7-BE6D-6CA8EA1DBBB7}">
  <dimension ref="B2:G5"/>
  <sheetViews>
    <sheetView workbookViewId="0">
      <selection activeCell="J30" sqref="J30"/>
    </sheetView>
  </sheetViews>
  <sheetFormatPr baseColWidth="10" defaultColWidth="11.5703125" defaultRowHeight="15" x14ac:dyDescent="0.25"/>
  <cols>
    <col min="1" max="6" width="11.5703125" style="18"/>
    <col min="7" max="7" width="36.7109375" style="18" customWidth="1"/>
    <col min="8" max="16384" width="11.5703125" style="18"/>
  </cols>
  <sheetData>
    <row r="2" spans="2:7" x14ac:dyDescent="0.25">
      <c r="B2" s="94" t="s">
        <v>915</v>
      </c>
    </row>
    <row r="4" spans="2:7" ht="45.75" thickBot="1" x14ac:dyDescent="0.3">
      <c r="B4" s="107" t="s">
        <v>61</v>
      </c>
      <c r="C4" s="107" t="s">
        <v>62</v>
      </c>
      <c r="D4" s="107" t="s">
        <v>63</v>
      </c>
      <c r="E4" s="107" t="s">
        <v>64</v>
      </c>
      <c r="F4" s="107" t="s">
        <v>65</v>
      </c>
      <c r="G4" s="107" t="s">
        <v>66</v>
      </c>
    </row>
    <row r="5" spans="2:7" ht="15.75" thickTop="1" x14ac:dyDescent="0.25">
      <c r="B5" s="545" t="s">
        <v>67</v>
      </c>
      <c r="C5" s="546" t="s">
        <v>68</v>
      </c>
      <c r="D5" s="546" t="s">
        <v>69</v>
      </c>
      <c r="E5" s="547" t="s">
        <v>70</v>
      </c>
      <c r="F5" s="548">
        <v>4446906</v>
      </c>
      <c r="G5" s="549">
        <f>876975000/1000000</f>
        <v>876.97500000000002</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0FE47-D073-466B-BB72-58822E1AF07B}">
  <dimension ref="B2:G59"/>
  <sheetViews>
    <sheetView workbookViewId="0">
      <selection activeCell="F23" sqref="F23"/>
    </sheetView>
  </sheetViews>
  <sheetFormatPr baseColWidth="10" defaultColWidth="11.5703125" defaultRowHeight="15" x14ac:dyDescent="0.25"/>
  <cols>
    <col min="1" max="1" width="11.5703125" style="18"/>
    <col min="2" max="2" width="21.28515625" style="18" customWidth="1"/>
    <col min="3" max="3" width="10.140625" style="18" bestFit="1" customWidth="1"/>
    <col min="4" max="4" width="14.140625" style="18" bestFit="1" customWidth="1"/>
    <col min="5" max="5" width="11.42578125" style="18" bestFit="1" customWidth="1"/>
    <col min="6" max="6" width="10.28515625" style="18" bestFit="1" customWidth="1"/>
    <col min="7" max="7" width="15.28515625" style="18" bestFit="1" customWidth="1"/>
    <col min="8" max="8" width="18" style="18" customWidth="1"/>
    <col min="9" max="9" width="16.42578125" style="18" customWidth="1"/>
    <col min="10" max="16384" width="11.5703125" style="18"/>
  </cols>
  <sheetData>
    <row r="2" spans="2:7" x14ac:dyDescent="0.25">
      <c r="B2" s="94" t="s">
        <v>916</v>
      </c>
    </row>
    <row r="4" spans="2:7" ht="60" x14ac:dyDescent="0.25">
      <c r="B4" s="2" t="s">
        <v>71</v>
      </c>
      <c r="C4" s="2" t="s">
        <v>62</v>
      </c>
      <c r="D4" s="2" t="s">
        <v>61</v>
      </c>
      <c r="E4" s="2" t="s">
        <v>101</v>
      </c>
      <c r="F4" s="2" t="s">
        <v>72</v>
      </c>
      <c r="G4" s="2" t="s">
        <v>73</v>
      </c>
    </row>
    <row r="5" spans="2:7" x14ac:dyDescent="0.25">
      <c r="B5" s="692" t="s">
        <v>74</v>
      </c>
      <c r="C5" s="550" t="s">
        <v>104</v>
      </c>
      <c r="D5" s="550" t="s">
        <v>103</v>
      </c>
      <c r="E5" s="550" t="s">
        <v>75</v>
      </c>
      <c r="F5" s="551">
        <v>11</v>
      </c>
      <c r="G5" s="552">
        <v>393709507828</v>
      </c>
    </row>
    <row r="6" spans="2:7" x14ac:dyDescent="0.25">
      <c r="B6" s="696"/>
      <c r="C6" s="550" t="s">
        <v>116</v>
      </c>
      <c r="D6" s="550" t="s">
        <v>115</v>
      </c>
      <c r="E6" s="550" t="s">
        <v>75</v>
      </c>
      <c r="F6" s="553">
        <v>4.0255270096008351</v>
      </c>
      <c r="G6" s="552">
        <v>145989168041</v>
      </c>
    </row>
    <row r="7" spans="2:7" x14ac:dyDescent="0.25">
      <c r="B7" s="693"/>
      <c r="C7" s="550" t="s">
        <v>96</v>
      </c>
      <c r="D7" s="550" t="s">
        <v>142</v>
      </c>
      <c r="E7" s="550" t="s">
        <v>75</v>
      </c>
      <c r="F7" s="553">
        <v>4.8500000000000001E-2</v>
      </c>
      <c r="G7" s="552" t="s">
        <v>96</v>
      </c>
    </row>
    <row r="8" spans="2:7" x14ac:dyDescent="0.25">
      <c r="B8" s="691"/>
      <c r="C8" s="691"/>
      <c r="D8" s="691"/>
      <c r="E8" s="691"/>
      <c r="F8" s="554">
        <f>SUM(F5:F7)</f>
        <v>15.074027009600837</v>
      </c>
      <c r="G8" s="451">
        <f>SUM(G5:G7)</f>
        <v>539698675869</v>
      </c>
    </row>
    <row r="9" spans="2:7" x14ac:dyDescent="0.25">
      <c r="B9" s="694" t="s">
        <v>76</v>
      </c>
      <c r="C9" s="555" t="s">
        <v>107</v>
      </c>
      <c r="D9" s="556" t="s">
        <v>106</v>
      </c>
      <c r="E9" s="555" t="s">
        <v>75</v>
      </c>
      <c r="F9" s="557">
        <v>3373277</v>
      </c>
      <c r="G9" s="557">
        <v>160037236423</v>
      </c>
    </row>
    <row r="10" spans="2:7" x14ac:dyDescent="0.25">
      <c r="B10" s="695"/>
      <c r="C10" s="555" t="s">
        <v>108</v>
      </c>
      <c r="D10" s="555" t="s">
        <v>124</v>
      </c>
      <c r="E10" s="555" t="s">
        <v>75</v>
      </c>
      <c r="F10" s="557">
        <v>646121</v>
      </c>
      <c r="G10" s="557">
        <v>19372003072</v>
      </c>
    </row>
    <row r="11" spans="2:7" x14ac:dyDescent="0.25">
      <c r="B11" s="691"/>
      <c r="C11" s="691"/>
      <c r="D11" s="691"/>
      <c r="E11" s="691"/>
      <c r="F11" s="451">
        <f>SUM(F9:F10)</f>
        <v>4019398</v>
      </c>
      <c r="G11" s="451">
        <f>SUM(G9:G10)</f>
        <v>179409239495</v>
      </c>
    </row>
    <row r="12" spans="2:7" x14ac:dyDescent="0.25">
      <c r="B12" s="692" t="s">
        <v>77</v>
      </c>
      <c r="C12" s="550" t="s">
        <v>107</v>
      </c>
      <c r="D12" s="558" t="s">
        <v>106</v>
      </c>
      <c r="E12" s="550" t="s">
        <v>75</v>
      </c>
      <c r="F12" s="552">
        <v>1881642</v>
      </c>
      <c r="G12" s="552">
        <v>69606686944</v>
      </c>
    </row>
    <row r="13" spans="2:7" x14ac:dyDescent="0.25">
      <c r="B13" s="693"/>
      <c r="C13" s="550" t="s">
        <v>108</v>
      </c>
      <c r="D13" s="550" t="s">
        <v>124</v>
      </c>
      <c r="E13" s="550" t="s">
        <v>75</v>
      </c>
      <c r="F13" s="552">
        <v>467250</v>
      </c>
      <c r="G13" s="552">
        <v>13433089599</v>
      </c>
    </row>
    <row r="14" spans="2:7" x14ac:dyDescent="0.25">
      <c r="B14" s="691"/>
      <c r="C14" s="691"/>
      <c r="D14" s="691"/>
      <c r="E14" s="691"/>
      <c r="F14" s="451">
        <f>SUM(F12:F13)</f>
        <v>2348892</v>
      </c>
      <c r="G14" s="451">
        <f>SUM(G12:G13)</f>
        <v>83039776543</v>
      </c>
    </row>
    <row r="15" spans="2:7" x14ac:dyDescent="0.25">
      <c r="B15" s="555" t="s">
        <v>78</v>
      </c>
      <c r="C15" s="555" t="s">
        <v>113</v>
      </c>
      <c r="D15" s="555" t="s">
        <v>112</v>
      </c>
      <c r="E15" s="555" t="s">
        <v>75</v>
      </c>
      <c r="F15" s="557">
        <v>328742</v>
      </c>
      <c r="G15" s="557">
        <v>66987102119</v>
      </c>
    </row>
    <row r="16" spans="2:7" x14ac:dyDescent="0.25">
      <c r="B16" s="691"/>
      <c r="C16" s="691"/>
      <c r="D16" s="691"/>
      <c r="E16" s="691"/>
      <c r="F16" s="451">
        <f>+F15</f>
        <v>328742</v>
      </c>
      <c r="G16" s="451">
        <f>+G15</f>
        <v>66987102119</v>
      </c>
    </row>
    <row r="17" spans="2:7" x14ac:dyDescent="0.25">
      <c r="B17" s="692" t="s">
        <v>79</v>
      </c>
      <c r="C17" s="550" t="s">
        <v>122</v>
      </c>
      <c r="D17" s="550" t="s">
        <v>121</v>
      </c>
      <c r="E17" s="550" t="s">
        <v>75</v>
      </c>
      <c r="F17" s="552">
        <v>1771000</v>
      </c>
      <c r="G17" s="552">
        <v>56392615820.073318</v>
      </c>
    </row>
    <row r="18" spans="2:7" x14ac:dyDescent="0.25">
      <c r="B18" s="696"/>
      <c r="C18" s="550" t="s">
        <v>134</v>
      </c>
      <c r="D18" s="550" t="s">
        <v>133</v>
      </c>
      <c r="E18" s="550" t="s">
        <v>75</v>
      </c>
      <c r="F18" s="552">
        <v>144956</v>
      </c>
      <c r="G18" s="552">
        <v>3564774127</v>
      </c>
    </row>
    <row r="19" spans="2:7" x14ac:dyDescent="0.25">
      <c r="B19" s="693"/>
      <c r="C19" s="550" t="s">
        <v>96</v>
      </c>
      <c r="D19" s="558" t="s">
        <v>138</v>
      </c>
      <c r="E19" s="550" t="s">
        <v>75</v>
      </c>
      <c r="F19" s="552">
        <v>71442</v>
      </c>
      <c r="G19" s="552" t="s">
        <v>96</v>
      </c>
    </row>
    <row r="20" spans="2:7" x14ac:dyDescent="0.25">
      <c r="B20" s="691"/>
      <c r="C20" s="691"/>
      <c r="D20" s="691"/>
      <c r="E20" s="691"/>
      <c r="F20" s="451">
        <f>SUM(F17:F19)</f>
        <v>1987398</v>
      </c>
      <c r="G20" s="451">
        <f>SUM(G17:G19)</f>
        <v>59957389947.073318</v>
      </c>
    </row>
    <row r="21" spans="2:7" x14ac:dyDescent="0.25">
      <c r="B21" s="555" t="s">
        <v>80</v>
      </c>
      <c r="C21" s="555" t="s">
        <v>119</v>
      </c>
      <c r="D21" s="556" t="s">
        <v>118</v>
      </c>
      <c r="E21" s="555" t="s">
        <v>75</v>
      </c>
      <c r="F21" s="557">
        <v>549556</v>
      </c>
      <c r="G21" s="557">
        <v>56442979011</v>
      </c>
    </row>
    <row r="22" spans="2:7" x14ac:dyDescent="0.25">
      <c r="B22" s="691"/>
      <c r="C22" s="691"/>
      <c r="D22" s="691"/>
      <c r="E22" s="691"/>
      <c r="F22" s="451">
        <f>SUM(F21)</f>
        <v>549556</v>
      </c>
      <c r="G22" s="451">
        <f>SUM(G21)</f>
        <v>56442979011</v>
      </c>
    </row>
    <row r="23" spans="2:7" x14ac:dyDescent="0.25">
      <c r="B23" s="550" t="s">
        <v>81</v>
      </c>
      <c r="C23" s="550" t="s">
        <v>113</v>
      </c>
      <c r="D23" s="550" t="s">
        <v>112</v>
      </c>
      <c r="E23" s="550" t="s">
        <v>75</v>
      </c>
      <c r="F23" s="552">
        <v>34583</v>
      </c>
      <c r="G23" s="552">
        <v>46680083232</v>
      </c>
    </row>
    <row r="24" spans="2:7" x14ac:dyDescent="0.25">
      <c r="B24" s="691"/>
      <c r="C24" s="691"/>
      <c r="D24" s="691"/>
      <c r="E24" s="691"/>
      <c r="F24" s="451">
        <f>SUM(F23)</f>
        <v>34583</v>
      </c>
      <c r="G24" s="451">
        <f>SUM(G23)</f>
        <v>46680083232</v>
      </c>
    </row>
    <row r="25" spans="2:7" x14ac:dyDescent="0.25">
      <c r="B25" s="694" t="s">
        <v>82</v>
      </c>
      <c r="C25" s="555" t="s">
        <v>96</v>
      </c>
      <c r="D25" s="555" t="s">
        <v>126</v>
      </c>
      <c r="E25" s="555" t="s">
        <v>75</v>
      </c>
      <c r="F25" s="557">
        <v>2205996</v>
      </c>
      <c r="G25" s="557">
        <v>18482949000</v>
      </c>
    </row>
    <row r="26" spans="2:7" x14ac:dyDescent="0.25">
      <c r="B26" s="695"/>
      <c r="C26" s="555" t="s">
        <v>109</v>
      </c>
      <c r="D26" s="555" t="s">
        <v>128</v>
      </c>
      <c r="E26" s="555" t="s">
        <v>75</v>
      </c>
      <c r="F26" s="557">
        <v>1847386</v>
      </c>
      <c r="G26" s="557">
        <v>14229037033</v>
      </c>
    </row>
    <row r="27" spans="2:7" x14ac:dyDescent="0.25">
      <c r="B27" s="691"/>
      <c r="C27" s="691"/>
      <c r="D27" s="691"/>
      <c r="E27" s="691"/>
      <c r="F27" s="451">
        <f>SUM(F25:F26)</f>
        <v>4053382</v>
      </c>
      <c r="G27" s="451">
        <f>SUM(G25:G26)</f>
        <v>32711986033</v>
      </c>
    </row>
    <row r="28" spans="2:7" x14ac:dyDescent="0.25">
      <c r="B28" s="550" t="s">
        <v>83</v>
      </c>
      <c r="C28" s="550" t="s">
        <v>113</v>
      </c>
      <c r="D28" s="550" t="s">
        <v>112</v>
      </c>
      <c r="E28" s="550" t="s">
        <v>75</v>
      </c>
      <c r="F28" s="552">
        <v>22498</v>
      </c>
      <c r="G28" s="552">
        <v>29136495247</v>
      </c>
    </row>
    <row r="29" spans="2:7" x14ac:dyDescent="0.25">
      <c r="B29" s="691"/>
      <c r="C29" s="691"/>
      <c r="D29" s="691"/>
      <c r="E29" s="691"/>
      <c r="F29" s="451">
        <f>SUM(F28)</f>
        <v>22498</v>
      </c>
      <c r="G29" s="451">
        <f>SUM(G28)</f>
        <v>29136495247</v>
      </c>
    </row>
    <row r="30" spans="2:7" x14ac:dyDescent="0.25">
      <c r="B30" s="555" t="s">
        <v>84</v>
      </c>
      <c r="C30" s="555" t="s">
        <v>113</v>
      </c>
      <c r="D30" s="555" t="s">
        <v>112</v>
      </c>
      <c r="E30" s="555" t="s">
        <v>75</v>
      </c>
      <c r="F30" s="557">
        <v>133804</v>
      </c>
      <c r="G30" s="557">
        <v>28951526564</v>
      </c>
    </row>
    <row r="31" spans="2:7" x14ac:dyDescent="0.25">
      <c r="B31" s="691"/>
      <c r="C31" s="691"/>
      <c r="D31" s="691"/>
      <c r="E31" s="691"/>
      <c r="F31" s="451">
        <f>SUM(F30)</f>
        <v>133804</v>
      </c>
      <c r="G31" s="451">
        <f>SUM(G30)</f>
        <v>28951526564</v>
      </c>
    </row>
    <row r="32" spans="2:7" x14ac:dyDescent="0.25">
      <c r="B32" s="692" t="s">
        <v>85</v>
      </c>
      <c r="C32" s="550" t="s">
        <v>96</v>
      </c>
      <c r="D32" s="550" t="s">
        <v>126</v>
      </c>
      <c r="E32" s="550" t="s">
        <v>86</v>
      </c>
      <c r="F32" s="552">
        <v>1599934</v>
      </c>
      <c r="G32" s="552">
        <v>7999670000</v>
      </c>
    </row>
    <row r="33" spans="2:7" x14ac:dyDescent="0.25">
      <c r="B33" s="696"/>
      <c r="C33" s="550" t="s">
        <v>108</v>
      </c>
      <c r="D33" s="558" t="s">
        <v>106</v>
      </c>
      <c r="E33" s="550" t="s">
        <v>75</v>
      </c>
      <c r="F33" s="552">
        <v>762283</v>
      </c>
      <c r="G33" s="552">
        <v>1673211185</v>
      </c>
    </row>
    <row r="34" spans="2:7" x14ac:dyDescent="0.25">
      <c r="B34" s="696"/>
      <c r="C34" s="550" t="s">
        <v>110</v>
      </c>
      <c r="D34" s="550" t="s">
        <v>128</v>
      </c>
      <c r="E34" s="550" t="s">
        <v>75</v>
      </c>
      <c r="F34" s="552">
        <v>436732</v>
      </c>
      <c r="G34" s="552">
        <v>1574493518</v>
      </c>
    </row>
    <row r="35" spans="2:7" x14ac:dyDescent="0.25">
      <c r="B35" s="696"/>
      <c r="C35" s="550" t="s">
        <v>110</v>
      </c>
      <c r="D35" s="558" t="s">
        <v>106</v>
      </c>
      <c r="E35" s="550" t="s">
        <v>75</v>
      </c>
      <c r="F35" s="552">
        <v>140987</v>
      </c>
      <c r="G35" s="552">
        <v>309466465</v>
      </c>
    </row>
    <row r="36" spans="2:7" x14ac:dyDescent="0.25">
      <c r="B36" s="693"/>
      <c r="C36" s="550" t="s">
        <v>96</v>
      </c>
      <c r="D36" s="550" t="s">
        <v>136</v>
      </c>
      <c r="E36" s="550" t="s">
        <v>75</v>
      </c>
      <c r="F36" s="552">
        <v>2902226</v>
      </c>
      <c r="G36" s="552" t="s">
        <v>96</v>
      </c>
    </row>
    <row r="37" spans="2:7" x14ac:dyDescent="0.25">
      <c r="B37" s="691"/>
      <c r="C37" s="691"/>
      <c r="D37" s="691"/>
      <c r="E37" s="691"/>
      <c r="F37" s="451">
        <f>SUM(F32:F36)</f>
        <v>5842162</v>
      </c>
      <c r="G37" s="451">
        <f>SUM(G32:G36)</f>
        <v>11556841168</v>
      </c>
    </row>
    <row r="38" spans="2:7" x14ac:dyDescent="0.25">
      <c r="B38" s="555" t="s">
        <v>87</v>
      </c>
      <c r="C38" s="555" t="s">
        <v>113</v>
      </c>
      <c r="D38" s="555" t="s">
        <v>112</v>
      </c>
      <c r="E38" s="555" t="s">
        <v>75</v>
      </c>
      <c r="F38" s="557">
        <v>35551</v>
      </c>
      <c r="G38" s="557">
        <v>7543497575</v>
      </c>
    </row>
    <row r="39" spans="2:7" x14ac:dyDescent="0.25">
      <c r="B39" s="691"/>
      <c r="C39" s="691"/>
      <c r="D39" s="691"/>
      <c r="E39" s="691"/>
      <c r="F39" s="451">
        <f>SUM(F38)</f>
        <v>35551</v>
      </c>
      <c r="G39" s="451">
        <f>SUM(G38)</f>
        <v>7543497575</v>
      </c>
    </row>
    <row r="40" spans="2:7" x14ac:dyDescent="0.25">
      <c r="B40" s="550" t="s">
        <v>88</v>
      </c>
      <c r="C40" s="550" t="s">
        <v>113</v>
      </c>
      <c r="D40" s="550" t="s">
        <v>112</v>
      </c>
      <c r="E40" s="550" t="s">
        <v>75</v>
      </c>
      <c r="F40" s="552">
        <v>26981</v>
      </c>
      <c r="G40" s="552">
        <v>7039966533</v>
      </c>
    </row>
    <row r="41" spans="2:7" x14ac:dyDescent="0.25">
      <c r="B41" s="691"/>
      <c r="C41" s="691"/>
      <c r="D41" s="691"/>
      <c r="E41" s="691"/>
      <c r="F41" s="451">
        <f>SUM(F40)</f>
        <v>26981</v>
      </c>
      <c r="G41" s="451">
        <f>SUM(G40)</f>
        <v>7039966533</v>
      </c>
    </row>
    <row r="42" spans="2:7" x14ac:dyDescent="0.25">
      <c r="B42" s="555" t="s">
        <v>89</v>
      </c>
      <c r="C42" s="555" t="s">
        <v>131</v>
      </c>
      <c r="D42" s="555" t="s">
        <v>130</v>
      </c>
      <c r="E42" s="555" t="s">
        <v>75</v>
      </c>
      <c r="F42" s="559">
        <v>69006</v>
      </c>
      <c r="G42" s="559">
        <v>6091675324</v>
      </c>
    </row>
    <row r="43" spans="2:7" x14ac:dyDescent="0.25">
      <c r="B43" s="691"/>
      <c r="C43" s="691"/>
      <c r="D43" s="691"/>
      <c r="E43" s="691"/>
      <c r="F43" s="451">
        <f>SUM(F42)</f>
        <v>69006</v>
      </c>
      <c r="G43" s="451">
        <f>SUM(G42)</f>
        <v>6091675324</v>
      </c>
    </row>
    <row r="44" spans="2:7" x14ac:dyDescent="0.25">
      <c r="B44" s="550" t="s">
        <v>90</v>
      </c>
      <c r="C44" s="550" t="s">
        <v>113</v>
      </c>
      <c r="D44" s="550" t="s">
        <v>112</v>
      </c>
      <c r="E44" s="550" t="s">
        <v>75</v>
      </c>
      <c r="F44" s="552">
        <v>6284</v>
      </c>
      <c r="G44" s="552">
        <v>5343597553</v>
      </c>
    </row>
    <row r="45" spans="2:7" x14ac:dyDescent="0.25">
      <c r="B45" s="691"/>
      <c r="C45" s="691"/>
      <c r="D45" s="691"/>
      <c r="E45" s="691"/>
      <c r="F45" s="451">
        <f>SUM(F44)</f>
        <v>6284</v>
      </c>
      <c r="G45" s="451">
        <f>SUM(G44)</f>
        <v>5343597553</v>
      </c>
    </row>
    <row r="46" spans="2:7" x14ac:dyDescent="0.25">
      <c r="B46" s="555" t="s">
        <v>91</v>
      </c>
      <c r="C46" s="555" t="s">
        <v>113</v>
      </c>
      <c r="D46" s="555" t="s">
        <v>112</v>
      </c>
      <c r="E46" s="555" t="s">
        <v>75</v>
      </c>
      <c r="F46" s="557">
        <v>4203</v>
      </c>
      <c r="G46" s="557">
        <v>5251482196</v>
      </c>
    </row>
    <row r="47" spans="2:7" x14ac:dyDescent="0.25">
      <c r="B47" s="691"/>
      <c r="C47" s="691"/>
      <c r="D47" s="691"/>
      <c r="E47" s="691"/>
      <c r="F47" s="451">
        <f>SUM(F46)</f>
        <v>4203</v>
      </c>
      <c r="G47" s="451">
        <f>SUM(G46)</f>
        <v>5251482196</v>
      </c>
    </row>
    <row r="48" spans="2:7" x14ac:dyDescent="0.25">
      <c r="B48" s="550" t="s">
        <v>92</v>
      </c>
      <c r="C48" s="550" t="s">
        <v>107</v>
      </c>
      <c r="D48" s="558" t="s">
        <v>106</v>
      </c>
      <c r="E48" s="550" t="s">
        <v>75</v>
      </c>
      <c r="F48" s="552">
        <v>1990935</v>
      </c>
      <c r="G48" s="552">
        <v>4370102325</v>
      </c>
    </row>
    <row r="49" spans="2:7" x14ac:dyDescent="0.25">
      <c r="B49" s="691"/>
      <c r="C49" s="691"/>
      <c r="D49" s="691"/>
      <c r="E49" s="691"/>
      <c r="F49" s="451">
        <f>SUM(F48)</f>
        <v>1990935</v>
      </c>
      <c r="G49" s="451">
        <f>SUM(G48)</f>
        <v>4370102325</v>
      </c>
    </row>
    <row r="50" spans="2:7" x14ac:dyDescent="0.25">
      <c r="B50" s="694" t="s">
        <v>93</v>
      </c>
      <c r="C50" s="555" t="s">
        <v>104</v>
      </c>
      <c r="D50" s="555" t="s">
        <v>103</v>
      </c>
      <c r="E50" s="555" t="s">
        <v>75</v>
      </c>
      <c r="F50" s="560">
        <v>1</v>
      </c>
      <c r="G50" s="557">
        <v>382666065</v>
      </c>
    </row>
    <row r="51" spans="2:7" x14ac:dyDescent="0.25">
      <c r="B51" s="695"/>
      <c r="C51" s="555" t="s">
        <v>116</v>
      </c>
      <c r="D51" s="555" t="s">
        <v>115</v>
      </c>
      <c r="E51" s="555" t="s">
        <v>75</v>
      </c>
      <c r="F51" s="561">
        <v>0.32540809617801553</v>
      </c>
      <c r="G51" s="557">
        <v>142020334</v>
      </c>
    </row>
    <row r="52" spans="2:7" x14ac:dyDescent="0.25">
      <c r="B52" s="691"/>
      <c r="C52" s="691"/>
      <c r="D52" s="691"/>
      <c r="E52" s="691"/>
      <c r="F52" s="554">
        <f>SUM(F50:F51)</f>
        <v>1.3254080961780155</v>
      </c>
      <c r="G52" s="451">
        <f>SUM(G50:G51)</f>
        <v>524686399</v>
      </c>
    </row>
    <row r="53" spans="2:7" x14ac:dyDescent="0.25">
      <c r="B53" s="692" t="s">
        <v>94</v>
      </c>
      <c r="C53" s="550" t="s">
        <v>109</v>
      </c>
      <c r="D53" s="558" t="s">
        <v>106</v>
      </c>
      <c r="E53" s="550" t="s">
        <v>75</v>
      </c>
      <c r="F53" s="552">
        <v>101441</v>
      </c>
      <c r="G53" s="552">
        <v>395011254</v>
      </c>
    </row>
    <row r="54" spans="2:7" x14ac:dyDescent="0.25">
      <c r="B54" s="693"/>
      <c r="C54" s="550" t="s">
        <v>96</v>
      </c>
      <c r="D54" s="550" t="s">
        <v>136</v>
      </c>
      <c r="E54" s="550" t="s">
        <v>75</v>
      </c>
      <c r="F54" s="552">
        <v>82473</v>
      </c>
      <c r="G54" s="552" t="s">
        <v>96</v>
      </c>
    </row>
    <row r="55" spans="2:7" x14ac:dyDescent="0.25">
      <c r="B55" s="691"/>
      <c r="C55" s="691"/>
      <c r="D55" s="691"/>
      <c r="E55" s="691"/>
      <c r="F55" s="451">
        <f>SUM(F53:F54)</f>
        <v>183914</v>
      </c>
      <c r="G55" s="451">
        <f>SUM(G53:G54)</f>
        <v>395011254</v>
      </c>
    </row>
    <row r="56" spans="2:7" x14ac:dyDescent="0.25">
      <c r="B56" s="555" t="s">
        <v>95</v>
      </c>
      <c r="C56" s="555" t="s">
        <v>96</v>
      </c>
      <c r="D56" s="555" t="s">
        <v>136</v>
      </c>
      <c r="E56" s="555" t="s">
        <v>75</v>
      </c>
      <c r="F56" s="557">
        <v>400578</v>
      </c>
      <c r="G56" s="557" t="s">
        <v>96</v>
      </c>
    </row>
    <row r="57" spans="2:7" x14ac:dyDescent="0.25">
      <c r="B57" s="691"/>
      <c r="C57" s="691"/>
      <c r="D57" s="691"/>
      <c r="E57" s="691"/>
      <c r="F57" s="451">
        <f>SUM(F56)</f>
        <v>400578</v>
      </c>
      <c r="G57" s="451">
        <f>SUM(G56)</f>
        <v>0</v>
      </c>
    </row>
    <row r="58" spans="2:7" x14ac:dyDescent="0.25">
      <c r="B58" s="550" t="s">
        <v>97</v>
      </c>
      <c r="C58" s="550" t="s">
        <v>96</v>
      </c>
      <c r="D58" s="550" t="s">
        <v>140</v>
      </c>
      <c r="E58" s="550" t="s">
        <v>75</v>
      </c>
      <c r="F58" s="552">
        <v>31092</v>
      </c>
      <c r="G58" s="552" t="s">
        <v>96</v>
      </c>
    </row>
    <row r="59" spans="2:7" x14ac:dyDescent="0.25">
      <c r="B59" s="691"/>
      <c r="C59" s="691"/>
      <c r="D59" s="691"/>
      <c r="E59" s="691"/>
      <c r="F59" s="451">
        <f>SUM(F58)</f>
        <v>31092</v>
      </c>
      <c r="G59" s="451">
        <f>SUM(G58)</f>
        <v>0</v>
      </c>
    </row>
  </sheetData>
  <mergeCells count="29">
    <mergeCell ref="B25:B26"/>
    <mergeCell ref="B5:B7"/>
    <mergeCell ref="B8:E8"/>
    <mergeCell ref="B9:B10"/>
    <mergeCell ref="B11:E11"/>
    <mergeCell ref="B12:B13"/>
    <mergeCell ref="B14:E14"/>
    <mergeCell ref="B16:E16"/>
    <mergeCell ref="B17:B19"/>
    <mergeCell ref="B20:E20"/>
    <mergeCell ref="B22:E22"/>
    <mergeCell ref="B24:E24"/>
    <mergeCell ref="B50:B51"/>
    <mergeCell ref="B27:E27"/>
    <mergeCell ref="B29:E29"/>
    <mergeCell ref="B31:E31"/>
    <mergeCell ref="B32:B36"/>
    <mergeCell ref="B37:E37"/>
    <mergeCell ref="B39:E39"/>
    <mergeCell ref="B41:E41"/>
    <mergeCell ref="B43:E43"/>
    <mergeCell ref="B45:E45"/>
    <mergeCell ref="B47:E47"/>
    <mergeCell ref="B49:E49"/>
    <mergeCell ref="B52:E52"/>
    <mergeCell ref="B53:B54"/>
    <mergeCell ref="B55:E55"/>
    <mergeCell ref="B57:E57"/>
    <mergeCell ref="B59:E59"/>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6D532-F071-40E4-896A-B367683251A2}">
  <dimension ref="B2:I118"/>
  <sheetViews>
    <sheetView workbookViewId="0">
      <selection activeCell="D96" sqref="D96"/>
    </sheetView>
  </sheetViews>
  <sheetFormatPr baseColWidth="10" defaultColWidth="11.5703125" defaultRowHeight="15" x14ac:dyDescent="0.25"/>
  <cols>
    <col min="1" max="1" width="11.5703125" style="18"/>
    <col min="2" max="2" width="25.5703125" style="18" customWidth="1"/>
    <col min="3" max="3" width="14.140625" style="18" bestFit="1" customWidth="1"/>
    <col min="4" max="4" width="9.28515625" style="18" bestFit="1" customWidth="1"/>
    <col min="5" max="5" width="12.7109375" style="18" bestFit="1" customWidth="1"/>
    <col min="6" max="6" width="6.42578125" style="18" bestFit="1" customWidth="1"/>
    <col min="7" max="7" width="9" style="18" bestFit="1" customWidth="1"/>
    <col min="8" max="8" width="15.28515625" style="18" bestFit="1" customWidth="1"/>
    <col min="9" max="9" width="12.140625" style="18" bestFit="1" customWidth="1"/>
    <col min="10" max="10" width="18.5703125" style="18" customWidth="1"/>
    <col min="11" max="16384" width="11.5703125" style="18"/>
  </cols>
  <sheetData>
    <row r="2" spans="2:9" x14ac:dyDescent="0.25">
      <c r="B2" s="94" t="s">
        <v>917</v>
      </c>
    </row>
    <row r="4" spans="2:9" ht="30.75" thickBot="1" x14ac:dyDescent="0.3">
      <c r="B4" s="107" t="s">
        <v>145</v>
      </c>
      <c r="C4" s="107" t="s">
        <v>162</v>
      </c>
      <c r="D4" s="107" t="s">
        <v>62</v>
      </c>
      <c r="E4" s="107" t="s">
        <v>163</v>
      </c>
      <c r="F4" s="107" t="s">
        <v>101</v>
      </c>
      <c r="G4" s="107" t="s">
        <v>146</v>
      </c>
      <c r="H4" s="107" t="s">
        <v>147</v>
      </c>
      <c r="I4" s="107" t="s">
        <v>164</v>
      </c>
    </row>
    <row r="5" spans="2:9" ht="15.75" thickTop="1" x14ac:dyDescent="0.25">
      <c r="B5" s="595" t="s">
        <v>74</v>
      </c>
      <c r="C5" s="142" t="s">
        <v>103</v>
      </c>
      <c r="D5" s="142" t="s">
        <v>104</v>
      </c>
      <c r="E5" s="142" t="s">
        <v>165</v>
      </c>
      <c r="F5" s="142" t="s">
        <v>75</v>
      </c>
      <c r="G5" s="143">
        <v>10.541600000000001</v>
      </c>
      <c r="H5" s="144">
        <v>380045730082</v>
      </c>
      <c r="I5" s="144">
        <v>611873638</v>
      </c>
    </row>
    <row r="6" spans="2:9" x14ac:dyDescent="0.25">
      <c r="B6" s="594"/>
      <c r="C6" s="113" t="s">
        <v>115</v>
      </c>
      <c r="D6" s="113" t="s">
        <v>116</v>
      </c>
      <c r="E6" s="113" t="s">
        <v>166</v>
      </c>
      <c r="F6" s="113" t="s">
        <v>75</v>
      </c>
      <c r="G6" s="145">
        <v>4.0319000000000003</v>
      </c>
      <c r="H6" s="114">
        <v>147954684761</v>
      </c>
      <c r="I6" s="114">
        <v>238207047</v>
      </c>
    </row>
    <row r="7" spans="2:9" x14ac:dyDescent="0.25">
      <c r="B7" s="594"/>
      <c r="C7" s="113" t="s">
        <v>103</v>
      </c>
      <c r="D7" s="113" t="s">
        <v>104</v>
      </c>
      <c r="E7" s="113" t="s">
        <v>167</v>
      </c>
      <c r="F7" s="113" t="s">
        <v>75</v>
      </c>
      <c r="G7" s="145">
        <v>0.34849999999999998</v>
      </c>
      <c r="H7" s="114">
        <v>12540974385</v>
      </c>
      <c r="I7" s="114">
        <v>20190969</v>
      </c>
    </row>
    <row r="8" spans="2:9" x14ac:dyDescent="0.25">
      <c r="B8" s="146" t="s">
        <v>168</v>
      </c>
      <c r="C8" s="146"/>
      <c r="D8" s="146"/>
      <c r="E8" s="146"/>
      <c r="F8" s="146"/>
      <c r="G8" s="147">
        <f>SUM(G5:G7)</f>
        <v>14.922000000000001</v>
      </c>
      <c r="H8" s="148">
        <f t="shared" ref="H8:I8" si="0">SUM(H5:H7)</f>
        <v>540541389228</v>
      </c>
      <c r="I8" s="148">
        <f t="shared" si="0"/>
        <v>870271654</v>
      </c>
    </row>
    <row r="9" spans="2:9" x14ac:dyDescent="0.25">
      <c r="B9" s="113" t="s">
        <v>148</v>
      </c>
      <c r="C9" s="113" t="s">
        <v>121</v>
      </c>
      <c r="D9" s="113" t="s">
        <v>122</v>
      </c>
      <c r="E9" s="113" t="s">
        <v>169</v>
      </c>
      <c r="F9" s="113" t="s">
        <v>75</v>
      </c>
      <c r="G9" s="114">
        <v>558409</v>
      </c>
      <c r="H9" s="114">
        <v>533842674117</v>
      </c>
      <c r="I9" s="114">
        <v>859486723</v>
      </c>
    </row>
    <row r="10" spans="2:9" x14ac:dyDescent="0.25">
      <c r="B10" s="146" t="s">
        <v>170</v>
      </c>
      <c r="C10" s="146"/>
      <c r="D10" s="146"/>
      <c r="E10" s="146"/>
      <c r="F10" s="146"/>
      <c r="G10" s="148">
        <f>+G9</f>
        <v>558409</v>
      </c>
      <c r="H10" s="148">
        <f t="shared" ref="H10:I10" si="1">+H9</f>
        <v>533842674117</v>
      </c>
      <c r="I10" s="148">
        <f t="shared" si="1"/>
        <v>859486723</v>
      </c>
    </row>
    <row r="11" spans="2:9" x14ac:dyDescent="0.25">
      <c r="B11" s="594" t="s">
        <v>78</v>
      </c>
      <c r="C11" s="594" t="s">
        <v>112</v>
      </c>
      <c r="D11" s="594" t="s">
        <v>113</v>
      </c>
      <c r="E11" s="113" t="s">
        <v>171</v>
      </c>
      <c r="F11" s="113" t="s">
        <v>75</v>
      </c>
      <c r="G11" s="114">
        <v>255142</v>
      </c>
      <c r="H11" s="114">
        <v>55201748257</v>
      </c>
      <c r="I11" s="114">
        <v>88874816</v>
      </c>
    </row>
    <row r="12" spans="2:9" x14ac:dyDescent="0.25">
      <c r="B12" s="594"/>
      <c r="C12" s="594"/>
      <c r="D12" s="594"/>
      <c r="E12" s="113" t="s">
        <v>172</v>
      </c>
      <c r="F12" s="113" t="s">
        <v>75</v>
      </c>
      <c r="G12" s="114">
        <v>101793</v>
      </c>
      <c r="H12" s="114">
        <v>17574924450</v>
      </c>
      <c r="I12" s="114">
        <v>28295629</v>
      </c>
    </row>
    <row r="13" spans="2:9" x14ac:dyDescent="0.25">
      <c r="B13" s="146" t="s">
        <v>173</v>
      </c>
      <c r="C13" s="146"/>
      <c r="D13" s="146"/>
      <c r="E13" s="146"/>
      <c r="F13" s="146"/>
      <c r="G13" s="148">
        <f>SUM(G11:G12)</f>
        <v>356935</v>
      </c>
      <c r="H13" s="148">
        <f>SUM(H11:H12)</f>
        <v>72776672707</v>
      </c>
      <c r="I13" s="148">
        <f t="shared" ref="I13" si="2">SUM(I11:I12)</f>
        <v>117170445</v>
      </c>
    </row>
    <row r="14" spans="2:9" x14ac:dyDescent="0.25">
      <c r="B14" s="594" t="s">
        <v>149</v>
      </c>
      <c r="C14" s="594" t="s">
        <v>136</v>
      </c>
      <c r="D14" s="113" t="s">
        <v>96</v>
      </c>
      <c r="E14" s="113" t="s">
        <v>174</v>
      </c>
      <c r="F14" s="113" t="s">
        <v>75</v>
      </c>
      <c r="G14" s="114">
        <v>586349</v>
      </c>
      <c r="H14" s="114">
        <v>27805006450</v>
      </c>
      <c r="I14" s="114">
        <v>44766061</v>
      </c>
    </row>
    <row r="15" spans="2:9" x14ac:dyDescent="0.25">
      <c r="B15" s="594"/>
      <c r="C15" s="594"/>
      <c r="D15" s="113" t="s">
        <v>96</v>
      </c>
      <c r="E15" s="113" t="s">
        <v>175</v>
      </c>
      <c r="F15" s="113" t="s">
        <v>75</v>
      </c>
      <c r="G15" s="114">
        <v>487563</v>
      </c>
      <c r="H15" s="114">
        <v>21800118950</v>
      </c>
      <c r="I15" s="114">
        <v>35098192</v>
      </c>
    </row>
    <row r="16" spans="2:9" x14ac:dyDescent="0.25">
      <c r="B16" s="594"/>
      <c r="C16" s="594" t="s">
        <v>106</v>
      </c>
      <c r="D16" s="594" t="s">
        <v>107</v>
      </c>
      <c r="E16" s="113" t="s">
        <v>174</v>
      </c>
      <c r="F16" s="113" t="s">
        <v>75</v>
      </c>
      <c r="G16" s="114">
        <v>132612</v>
      </c>
      <c r="H16" s="114">
        <v>5920144025</v>
      </c>
      <c r="I16" s="114">
        <v>9531432</v>
      </c>
    </row>
    <row r="17" spans="2:9" x14ac:dyDescent="0.25">
      <c r="B17" s="594"/>
      <c r="C17" s="594"/>
      <c r="D17" s="594"/>
      <c r="E17" s="113" t="s">
        <v>175</v>
      </c>
      <c r="F17" s="113" t="s">
        <v>75</v>
      </c>
      <c r="G17" s="114">
        <v>44460</v>
      </c>
      <c r="H17" s="114">
        <v>1994599434</v>
      </c>
      <c r="I17" s="114">
        <v>3211305</v>
      </c>
    </row>
    <row r="18" spans="2:9" x14ac:dyDescent="0.25">
      <c r="B18" s="594"/>
      <c r="C18" s="113" t="s">
        <v>176</v>
      </c>
      <c r="D18" s="113" t="s">
        <v>108</v>
      </c>
      <c r="E18" s="113" t="s">
        <v>175</v>
      </c>
      <c r="F18" s="113" t="s">
        <v>75</v>
      </c>
      <c r="G18" s="114">
        <v>51948</v>
      </c>
      <c r="H18" s="114">
        <v>1949347100</v>
      </c>
      <c r="I18" s="114">
        <v>3138449</v>
      </c>
    </row>
    <row r="19" spans="2:9" x14ac:dyDescent="0.25">
      <c r="B19" s="594"/>
      <c r="C19" s="113" t="s">
        <v>136</v>
      </c>
      <c r="D19" s="113" t="s">
        <v>96</v>
      </c>
      <c r="E19" s="113" t="s">
        <v>177</v>
      </c>
      <c r="F19" s="113" t="s">
        <v>75</v>
      </c>
      <c r="G19" s="114">
        <v>35174</v>
      </c>
      <c r="H19" s="114">
        <v>1572723200</v>
      </c>
      <c r="I19" s="114">
        <v>2532084</v>
      </c>
    </row>
    <row r="20" spans="2:9" x14ac:dyDescent="0.25">
      <c r="B20" s="594"/>
      <c r="C20" s="594" t="s">
        <v>176</v>
      </c>
      <c r="D20" s="594" t="s">
        <v>108</v>
      </c>
      <c r="E20" s="113" t="s">
        <v>174</v>
      </c>
      <c r="F20" s="113" t="s">
        <v>75</v>
      </c>
      <c r="G20" s="114">
        <v>27637</v>
      </c>
      <c r="H20" s="114">
        <v>1094455440</v>
      </c>
      <c r="I20" s="114">
        <v>1762073</v>
      </c>
    </row>
    <row r="21" spans="2:9" x14ac:dyDescent="0.25">
      <c r="B21" s="594"/>
      <c r="C21" s="594"/>
      <c r="D21" s="594"/>
      <c r="E21" s="113" t="s">
        <v>178</v>
      </c>
      <c r="F21" s="113" t="s">
        <v>75</v>
      </c>
      <c r="G21" s="114">
        <v>7991</v>
      </c>
      <c r="H21" s="114">
        <v>300244740</v>
      </c>
      <c r="I21" s="114">
        <v>483394</v>
      </c>
    </row>
    <row r="22" spans="2:9" x14ac:dyDescent="0.25">
      <c r="B22" s="594"/>
      <c r="C22" s="113" t="s">
        <v>136</v>
      </c>
      <c r="D22" s="113" t="s">
        <v>96</v>
      </c>
      <c r="E22" s="113" t="s">
        <v>178</v>
      </c>
      <c r="F22" s="113" t="s">
        <v>75</v>
      </c>
      <c r="G22" s="114">
        <v>2836</v>
      </c>
      <c r="H22" s="114">
        <v>134463000</v>
      </c>
      <c r="I22" s="114">
        <v>216485</v>
      </c>
    </row>
    <row r="23" spans="2:9" x14ac:dyDescent="0.25">
      <c r="B23" s="594"/>
      <c r="C23" s="113" t="s">
        <v>176</v>
      </c>
      <c r="D23" s="113" t="s">
        <v>108</v>
      </c>
      <c r="E23" s="113" t="s">
        <v>179</v>
      </c>
      <c r="F23" s="113" t="s">
        <v>75</v>
      </c>
      <c r="G23" s="114">
        <v>3396</v>
      </c>
      <c r="H23" s="114">
        <v>130813500</v>
      </c>
      <c r="I23" s="114">
        <v>210610</v>
      </c>
    </row>
    <row r="24" spans="2:9" x14ac:dyDescent="0.25">
      <c r="B24" s="594"/>
      <c r="C24" s="594" t="s">
        <v>106</v>
      </c>
      <c r="D24" s="594" t="s">
        <v>107</v>
      </c>
      <c r="E24" s="113" t="s">
        <v>177</v>
      </c>
      <c r="F24" s="113" t="s">
        <v>75</v>
      </c>
      <c r="G24" s="114">
        <v>2484</v>
      </c>
      <c r="H24" s="114">
        <v>111807125</v>
      </c>
      <c r="I24" s="114">
        <v>180009</v>
      </c>
    </row>
    <row r="25" spans="2:9" x14ac:dyDescent="0.25">
      <c r="B25" s="594"/>
      <c r="C25" s="594"/>
      <c r="D25" s="594"/>
      <c r="E25" s="113" t="s">
        <v>180</v>
      </c>
      <c r="F25" s="113" t="s">
        <v>75</v>
      </c>
      <c r="G25" s="114">
        <v>1462</v>
      </c>
      <c r="H25" s="114">
        <v>69090250</v>
      </c>
      <c r="I25" s="114">
        <v>111235</v>
      </c>
    </row>
    <row r="26" spans="2:9" x14ac:dyDescent="0.25">
      <c r="B26" s="594"/>
      <c r="C26" s="594"/>
      <c r="D26" s="594"/>
      <c r="E26" s="113" t="s">
        <v>178</v>
      </c>
      <c r="F26" s="113" t="s">
        <v>75</v>
      </c>
      <c r="G26" s="114">
        <v>533</v>
      </c>
      <c r="H26" s="114">
        <v>34820000</v>
      </c>
      <c r="I26" s="114">
        <v>56060</v>
      </c>
    </row>
    <row r="27" spans="2:9" x14ac:dyDescent="0.25">
      <c r="B27" s="594"/>
      <c r="C27" s="594" t="s">
        <v>136</v>
      </c>
      <c r="D27" s="594" t="s">
        <v>96</v>
      </c>
      <c r="E27" s="113" t="s">
        <v>179</v>
      </c>
      <c r="F27" s="113" t="s">
        <v>75</v>
      </c>
      <c r="G27" s="114">
        <v>384</v>
      </c>
      <c r="H27" s="114">
        <v>18200000</v>
      </c>
      <c r="I27" s="114">
        <v>29302</v>
      </c>
    </row>
    <row r="28" spans="2:9" x14ac:dyDescent="0.25">
      <c r="B28" s="594"/>
      <c r="C28" s="594"/>
      <c r="D28" s="594"/>
      <c r="E28" s="113" t="s">
        <v>180</v>
      </c>
      <c r="F28" s="113" t="s">
        <v>75</v>
      </c>
      <c r="G28" s="114">
        <v>107</v>
      </c>
      <c r="H28" s="114">
        <v>4785000</v>
      </c>
      <c r="I28" s="114">
        <v>7704</v>
      </c>
    </row>
    <row r="29" spans="2:9" x14ac:dyDescent="0.25">
      <c r="B29" s="146" t="s">
        <v>181</v>
      </c>
      <c r="C29" s="146"/>
      <c r="D29" s="146"/>
      <c r="E29" s="146"/>
      <c r="F29" s="146"/>
      <c r="G29" s="148">
        <f>SUM(G14:G28)</f>
        <v>1384936</v>
      </c>
      <c r="H29" s="148">
        <f t="shared" ref="H29:I29" si="3">SUM(H14:H28)</f>
        <v>62940618214</v>
      </c>
      <c r="I29" s="148">
        <f t="shared" si="3"/>
        <v>101334395</v>
      </c>
    </row>
    <row r="30" spans="2:9" x14ac:dyDescent="0.25">
      <c r="B30" s="593" t="s">
        <v>81</v>
      </c>
      <c r="C30" s="593" t="s">
        <v>112</v>
      </c>
      <c r="D30" s="593" t="s">
        <v>113</v>
      </c>
      <c r="E30" s="111" t="s">
        <v>171</v>
      </c>
      <c r="F30" s="111" t="s">
        <v>75</v>
      </c>
      <c r="G30" s="112">
        <v>26783</v>
      </c>
      <c r="H30" s="112">
        <v>37837012342</v>
      </c>
      <c r="I30" s="112">
        <v>60917590</v>
      </c>
    </row>
    <row r="31" spans="2:9" x14ac:dyDescent="0.25">
      <c r="B31" s="593"/>
      <c r="C31" s="593"/>
      <c r="D31" s="593"/>
      <c r="E31" s="111" t="s">
        <v>182</v>
      </c>
      <c r="F31" s="111" t="s">
        <v>75</v>
      </c>
      <c r="G31" s="112">
        <v>2241</v>
      </c>
      <c r="H31" s="112">
        <v>2672529707</v>
      </c>
      <c r="I31" s="112">
        <v>4302773</v>
      </c>
    </row>
    <row r="32" spans="2:9" x14ac:dyDescent="0.25">
      <c r="B32" s="593"/>
      <c r="C32" s="593"/>
      <c r="D32" s="593"/>
      <c r="E32" s="111" t="s">
        <v>183</v>
      </c>
      <c r="F32" s="111" t="s">
        <v>75</v>
      </c>
      <c r="G32" s="112">
        <v>1763</v>
      </c>
      <c r="H32" s="112">
        <v>2159428247</v>
      </c>
      <c r="I32" s="112">
        <v>3476680</v>
      </c>
    </row>
    <row r="33" spans="2:9" x14ac:dyDescent="0.25">
      <c r="B33" s="593"/>
      <c r="C33" s="593"/>
      <c r="D33" s="593"/>
      <c r="E33" s="111" t="s">
        <v>184</v>
      </c>
      <c r="F33" s="111" t="s">
        <v>75</v>
      </c>
      <c r="G33" s="112">
        <v>1553</v>
      </c>
      <c r="H33" s="112">
        <v>1972277908</v>
      </c>
      <c r="I33" s="112">
        <v>3175367</v>
      </c>
    </row>
    <row r="34" spans="2:9" x14ac:dyDescent="0.25">
      <c r="B34" s="593"/>
      <c r="C34" s="593"/>
      <c r="D34" s="593"/>
      <c r="E34" s="111" t="s">
        <v>185</v>
      </c>
      <c r="F34" s="111" t="s">
        <v>75</v>
      </c>
      <c r="G34" s="112">
        <v>899</v>
      </c>
      <c r="H34" s="112">
        <v>1151481123</v>
      </c>
      <c r="I34" s="112">
        <v>1853885</v>
      </c>
    </row>
    <row r="35" spans="2:9" x14ac:dyDescent="0.25">
      <c r="B35" s="593"/>
      <c r="C35" s="593"/>
      <c r="D35" s="593"/>
      <c r="E35" s="111" t="s">
        <v>166</v>
      </c>
      <c r="F35" s="111" t="s">
        <v>75</v>
      </c>
      <c r="G35" s="112">
        <v>680</v>
      </c>
      <c r="H35" s="112">
        <v>879535090</v>
      </c>
      <c r="I35" s="112">
        <v>1416052</v>
      </c>
    </row>
    <row r="36" spans="2:9" x14ac:dyDescent="0.25">
      <c r="B36" s="593"/>
      <c r="C36" s="593"/>
      <c r="D36" s="593"/>
      <c r="E36" s="111" t="s">
        <v>186</v>
      </c>
      <c r="F36" s="111" t="s">
        <v>75</v>
      </c>
      <c r="G36" s="112">
        <v>661</v>
      </c>
      <c r="H36" s="112">
        <v>805310967</v>
      </c>
      <c r="I36" s="112">
        <v>1296551</v>
      </c>
    </row>
    <row r="37" spans="2:9" x14ac:dyDescent="0.25">
      <c r="B37" s="593"/>
      <c r="C37" s="593"/>
      <c r="D37" s="593"/>
      <c r="E37" s="111" t="s">
        <v>187</v>
      </c>
      <c r="F37" s="111" t="s">
        <v>75</v>
      </c>
      <c r="G37" s="112">
        <v>595</v>
      </c>
      <c r="H37" s="112">
        <v>738090401</v>
      </c>
      <c r="I37" s="112">
        <v>1188326</v>
      </c>
    </row>
    <row r="38" spans="2:9" x14ac:dyDescent="0.25">
      <c r="B38" s="593"/>
      <c r="C38" s="593"/>
      <c r="D38" s="593"/>
      <c r="E38" s="111" t="s">
        <v>188</v>
      </c>
      <c r="F38" s="111" t="s">
        <v>75</v>
      </c>
      <c r="G38" s="112">
        <v>160</v>
      </c>
      <c r="H38" s="112">
        <v>205255608</v>
      </c>
      <c r="I38" s="112">
        <v>330462</v>
      </c>
    </row>
    <row r="39" spans="2:9" x14ac:dyDescent="0.25">
      <c r="B39" s="593"/>
      <c r="C39" s="593"/>
      <c r="D39" s="593"/>
      <c r="E39" s="111" t="s">
        <v>189</v>
      </c>
      <c r="F39" s="111" t="s">
        <v>75</v>
      </c>
      <c r="G39" s="112">
        <v>140</v>
      </c>
      <c r="H39" s="112">
        <v>176061353</v>
      </c>
      <c r="I39" s="112">
        <v>283459</v>
      </c>
    </row>
    <row r="40" spans="2:9" x14ac:dyDescent="0.25">
      <c r="B40" s="593"/>
      <c r="C40" s="593"/>
      <c r="D40" s="593"/>
      <c r="E40" s="111" t="s">
        <v>190</v>
      </c>
      <c r="F40" s="111" t="s">
        <v>75</v>
      </c>
      <c r="G40" s="112">
        <v>110</v>
      </c>
      <c r="H40" s="112">
        <v>137806911</v>
      </c>
      <c r="I40" s="112">
        <v>221869</v>
      </c>
    </row>
    <row r="41" spans="2:9" x14ac:dyDescent="0.25">
      <c r="B41" s="593"/>
      <c r="C41" s="593"/>
      <c r="D41" s="593"/>
      <c r="E41" s="111" t="s">
        <v>191</v>
      </c>
      <c r="F41" s="111" t="s">
        <v>75</v>
      </c>
      <c r="G41" s="112">
        <v>66</v>
      </c>
      <c r="H41" s="112">
        <v>82182071</v>
      </c>
      <c r="I41" s="112">
        <v>132313</v>
      </c>
    </row>
    <row r="42" spans="2:9" x14ac:dyDescent="0.25">
      <c r="B42" s="593"/>
      <c r="C42" s="593"/>
      <c r="D42" s="593"/>
      <c r="E42" s="111" t="s">
        <v>169</v>
      </c>
      <c r="F42" s="111" t="s">
        <v>75</v>
      </c>
      <c r="G42" s="112">
        <v>64</v>
      </c>
      <c r="H42" s="112">
        <v>79007117</v>
      </c>
      <c r="I42" s="112">
        <v>127201</v>
      </c>
    </row>
    <row r="43" spans="2:9" x14ac:dyDescent="0.25">
      <c r="B43" s="146" t="s">
        <v>192</v>
      </c>
      <c r="C43" s="146"/>
      <c r="D43" s="146"/>
      <c r="E43" s="146"/>
      <c r="F43" s="146"/>
      <c r="G43" s="148">
        <f>SUM(G30:G42)</f>
        <v>35715</v>
      </c>
      <c r="H43" s="148">
        <f t="shared" ref="H43:I43" si="4">SUM(H30:H42)</f>
        <v>48895978845</v>
      </c>
      <c r="I43" s="148">
        <f t="shared" si="4"/>
        <v>78722528</v>
      </c>
    </row>
    <row r="44" spans="2:9" x14ac:dyDescent="0.25">
      <c r="B44" s="594" t="s">
        <v>83</v>
      </c>
      <c r="C44" s="594" t="s">
        <v>112</v>
      </c>
      <c r="D44" s="594" t="s">
        <v>113</v>
      </c>
      <c r="E44" s="113" t="s">
        <v>171</v>
      </c>
      <c r="F44" s="113" t="s">
        <v>75</v>
      </c>
      <c r="G44" s="114">
        <v>16915</v>
      </c>
      <c r="H44" s="114">
        <v>22797650023</v>
      </c>
      <c r="I44" s="114">
        <v>36704217</v>
      </c>
    </row>
    <row r="45" spans="2:9" x14ac:dyDescent="0.25">
      <c r="B45" s="594"/>
      <c r="C45" s="594"/>
      <c r="D45" s="594"/>
      <c r="E45" s="113" t="s">
        <v>183</v>
      </c>
      <c r="F45" s="113" t="s">
        <v>75</v>
      </c>
      <c r="G45" s="114">
        <v>3591</v>
      </c>
      <c r="H45" s="114">
        <v>4215746222</v>
      </c>
      <c r="I45" s="114">
        <v>6787352</v>
      </c>
    </row>
    <row r="46" spans="2:9" x14ac:dyDescent="0.25">
      <c r="B46" s="594"/>
      <c r="C46" s="594"/>
      <c r="D46" s="594"/>
      <c r="E46" s="113" t="s">
        <v>191</v>
      </c>
      <c r="F46" s="113" t="s">
        <v>75</v>
      </c>
      <c r="G46" s="114">
        <v>1678</v>
      </c>
      <c r="H46" s="114">
        <v>2119199304</v>
      </c>
      <c r="I46" s="114">
        <v>3411911</v>
      </c>
    </row>
    <row r="47" spans="2:9" x14ac:dyDescent="0.25">
      <c r="B47" s="594"/>
      <c r="C47" s="594"/>
      <c r="D47" s="594"/>
      <c r="E47" s="113" t="s">
        <v>190</v>
      </c>
      <c r="F47" s="113" t="s">
        <v>75</v>
      </c>
      <c r="G47" s="114">
        <v>463</v>
      </c>
      <c r="H47" s="114">
        <v>569141409</v>
      </c>
      <c r="I47" s="114">
        <v>916318</v>
      </c>
    </row>
    <row r="48" spans="2:9" x14ac:dyDescent="0.25">
      <c r="B48" s="594"/>
      <c r="C48" s="594"/>
      <c r="D48" s="594"/>
      <c r="E48" s="113" t="s">
        <v>184</v>
      </c>
      <c r="F48" s="113" t="s">
        <v>75</v>
      </c>
      <c r="G48" s="114">
        <v>368</v>
      </c>
      <c r="H48" s="114">
        <v>436920695</v>
      </c>
      <c r="I48" s="114">
        <v>703442</v>
      </c>
    </row>
    <row r="49" spans="2:9" x14ac:dyDescent="0.25">
      <c r="B49" s="594"/>
      <c r="C49" s="594"/>
      <c r="D49" s="594"/>
      <c r="E49" s="113" t="s">
        <v>169</v>
      </c>
      <c r="F49" s="113" t="s">
        <v>75</v>
      </c>
      <c r="G49" s="114">
        <v>234</v>
      </c>
      <c r="H49" s="114">
        <v>298525342</v>
      </c>
      <c r="I49" s="114">
        <v>480626</v>
      </c>
    </row>
    <row r="50" spans="2:9" x14ac:dyDescent="0.25">
      <c r="B50" s="594"/>
      <c r="C50" s="594"/>
      <c r="D50" s="594"/>
      <c r="E50" s="113" t="s">
        <v>182</v>
      </c>
      <c r="F50" s="113" t="s">
        <v>75</v>
      </c>
      <c r="G50" s="114">
        <v>132</v>
      </c>
      <c r="H50" s="114">
        <v>158946658</v>
      </c>
      <c r="I50" s="114">
        <v>255904</v>
      </c>
    </row>
    <row r="51" spans="2:9" x14ac:dyDescent="0.25">
      <c r="B51" s="594"/>
      <c r="C51" s="594"/>
      <c r="D51" s="594"/>
      <c r="E51" s="113" t="s">
        <v>185</v>
      </c>
      <c r="F51" s="113" t="s">
        <v>75</v>
      </c>
      <c r="G51" s="114">
        <v>120</v>
      </c>
      <c r="H51" s="114">
        <v>149568411</v>
      </c>
      <c r="I51" s="114">
        <v>240805</v>
      </c>
    </row>
    <row r="52" spans="2:9" x14ac:dyDescent="0.25">
      <c r="B52" s="594"/>
      <c r="C52" s="594"/>
      <c r="D52" s="594"/>
      <c r="E52" s="113" t="s">
        <v>172</v>
      </c>
      <c r="F52" s="113" t="s">
        <v>75</v>
      </c>
      <c r="G52" s="114">
        <v>80</v>
      </c>
      <c r="H52" s="114">
        <v>100225403</v>
      </c>
      <c r="I52" s="114">
        <v>161363</v>
      </c>
    </row>
    <row r="53" spans="2:9" x14ac:dyDescent="0.25">
      <c r="B53" s="146" t="s">
        <v>193</v>
      </c>
      <c r="C53" s="146"/>
      <c r="D53" s="146"/>
      <c r="E53" s="146"/>
      <c r="F53" s="146"/>
      <c r="G53" s="148">
        <f>SUM(G44:G52)</f>
        <v>23581</v>
      </c>
      <c r="H53" s="148">
        <f t="shared" ref="H53:I53" si="5">SUM(H44:H52)</f>
        <v>30845923467</v>
      </c>
      <c r="I53" s="148">
        <f t="shared" si="5"/>
        <v>49661938</v>
      </c>
    </row>
    <row r="54" spans="2:9" x14ac:dyDescent="0.25">
      <c r="B54" s="594" t="s">
        <v>84</v>
      </c>
      <c r="C54" s="594" t="s">
        <v>112</v>
      </c>
      <c r="D54" s="594" t="s">
        <v>113</v>
      </c>
      <c r="E54" s="113" t="s">
        <v>171</v>
      </c>
      <c r="F54" s="113" t="s">
        <v>75</v>
      </c>
      <c r="G54" s="114">
        <v>105551</v>
      </c>
      <c r="H54" s="114">
        <v>23782278269</v>
      </c>
      <c r="I54" s="114">
        <v>38289469</v>
      </c>
    </row>
    <row r="55" spans="2:9" x14ac:dyDescent="0.25">
      <c r="B55" s="594"/>
      <c r="C55" s="594"/>
      <c r="D55" s="594"/>
      <c r="E55" s="113" t="s">
        <v>182</v>
      </c>
      <c r="F55" s="113" t="s">
        <v>75</v>
      </c>
      <c r="G55" s="114">
        <v>29005</v>
      </c>
      <c r="H55" s="114">
        <v>5376147493</v>
      </c>
      <c r="I55" s="114">
        <v>8655598</v>
      </c>
    </row>
    <row r="56" spans="2:9" x14ac:dyDescent="0.25">
      <c r="B56" s="594"/>
      <c r="C56" s="594"/>
      <c r="D56" s="594"/>
      <c r="E56" s="113" t="s">
        <v>194</v>
      </c>
      <c r="F56" s="113" t="s">
        <v>75</v>
      </c>
      <c r="G56" s="114">
        <v>40</v>
      </c>
      <c r="H56" s="114">
        <v>23021583</v>
      </c>
      <c r="I56" s="114">
        <v>37065</v>
      </c>
    </row>
    <row r="57" spans="2:9" x14ac:dyDescent="0.25">
      <c r="B57" s="146" t="s">
        <v>195</v>
      </c>
      <c r="C57" s="146"/>
      <c r="D57" s="146"/>
      <c r="E57" s="146"/>
      <c r="F57" s="146"/>
      <c r="G57" s="148">
        <f>SUM(G54:G56)</f>
        <v>134596</v>
      </c>
      <c r="H57" s="148">
        <f t="shared" ref="H57:I57" si="6">SUM(H54:H56)</f>
        <v>29181447345</v>
      </c>
      <c r="I57" s="148">
        <f t="shared" si="6"/>
        <v>46982132</v>
      </c>
    </row>
    <row r="58" spans="2:9" x14ac:dyDescent="0.25">
      <c r="B58" s="593" t="s">
        <v>150</v>
      </c>
      <c r="C58" s="111" t="s">
        <v>118</v>
      </c>
      <c r="D58" s="111" t="s">
        <v>96</v>
      </c>
      <c r="E58" s="111" t="s">
        <v>96</v>
      </c>
      <c r="F58" s="111" t="s">
        <v>75</v>
      </c>
      <c r="G58" s="112">
        <v>204722</v>
      </c>
      <c r="H58" s="112">
        <v>19685664021</v>
      </c>
      <c r="I58" s="112">
        <v>31693920</v>
      </c>
    </row>
    <row r="59" spans="2:9" x14ac:dyDescent="0.25">
      <c r="B59" s="593"/>
      <c r="C59" s="111" t="s">
        <v>130</v>
      </c>
      <c r="D59" s="111" t="s">
        <v>131</v>
      </c>
      <c r="E59" s="111" t="s">
        <v>196</v>
      </c>
      <c r="F59" s="111" t="s">
        <v>75</v>
      </c>
      <c r="G59" s="112">
        <v>43408</v>
      </c>
      <c r="H59" s="112">
        <v>3655055730</v>
      </c>
      <c r="I59" s="112">
        <v>5884640</v>
      </c>
    </row>
    <row r="60" spans="2:9" x14ac:dyDescent="0.25">
      <c r="B60" s="593"/>
      <c r="C60" s="111" t="s">
        <v>138</v>
      </c>
      <c r="D60" s="111" t="s">
        <v>138</v>
      </c>
      <c r="E60" s="111" t="s">
        <v>169</v>
      </c>
      <c r="F60" s="111" t="s">
        <v>75</v>
      </c>
      <c r="G60" s="112">
        <v>49106</v>
      </c>
      <c r="H60" s="112">
        <v>2483353653</v>
      </c>
      <c r="I60" s="112">
        <v>3998199</v>
      </c>
    </row>
    <row r="61" spans="2:9" x14ac:dyDescent="0.25">
      <c r="B61" s="593"/>
      <c r="C61" s="593" t="s">
        <v>130</v>
      </c>
      <c r="D61" s="593" t="s">
        <v>131</v>
      </c>
      <c r="E61" s="111" t="s">
        <v>197</v>
      </c>
      <c r="F61" s="111" t="s">
        <v>75</v>
      </c>
      <c r="G61" s="112">
        <v>5500</v>
      </c>
      <c r="H61" s="112">
        <v>785469071</v>
      </c>
      <c r="I61" s="112">
        <v>1264605</v>
      </c>
    </row>
    <row r="62" spans="2:9" x14ac:dyDescent="0.25">
      <c r="B62" s="593"/>
      <c r="C62" s="593"/>
      <c r="D62" s="593"/>
      <c r="E62" s="111" t="s">
        <v>167</v>
      </c>
      <c r="F62" s="111" t="s">
        <v>75</v>
      </c>
      <c r="G62" s="112">
        <v>3336</v>
      </c>
      <c r="H62" s="112">
        <v>171436989</v>
      </c>
      <c r="I62" s="112">
        <v>276014</v>
      </c>
    </row>
    <row r="63" spans="2:9" x14ac:dyDescent="0.25">
      <c r="B63" s="593"/>
      <c r="C63" s="111" t="s">
        <v>138</v>
      </c>
      <c r="D63" s="111" t="s">
        <v>138</v>
      </c>
      <c r="E63" s="111" t="s">
        <v>167</v>
      </c>
      <c r="F63" s="111" t="s">
        <v>75</v>
      </c>
      <c r="G63" s="112">
        <v>2565</v>
      </c>
      <c r="H63" s="112">
        <v>146278950</v>
      </c>
      <c r="I63" s="112">
        <v>235509</v>
      </c>
    </row>
    <row r="64" spans="2:9" x14ac:dyDescent="0.25">
      <c r="B64" s="146" t="s">
        <v>198</v>
      </c>
      <c r="C64" s="146"/>
      <c r="D64" s="146"/>
      <c r="E64" s="146"/>
      <c r="F64" s="146"/>
      <c r="G64" s="148">
        <f>SUM(G58:G63)</f>
        <v>308637</v>
      </c>
      <c r="H64" s="148">
        <f t="shared" ref="H64:I64" si="7">SUM(H58:H63)</f>
        <v>26927258414</v>
      </c>
      <c r="I64" s="148">
        <f t="shared" si="7"/>
        <v>43352887</v>
      </c>
    </row>
    <row r="65" spans="2:9" x14ac:dyDescent="0.25">
      <c r="B65" s="594" t="s">
        <v>151</v>
      </c>
      <c r="C65" s="594" t="s">
        <v>112</v>
      </c>
      <c r="D65" s="594" t="s">
        <v>113</v>
      </c>
      <c r="E65" s="113" t="s">
        <v>171</v>
      </c>
      <c r="F65" s="113" t="s">
        <v>75</v>
      </c>
      <c r="G65" s="114">
        <v>25033</v>
      </c>
      <c r="H65" s="114">
        <v>6221775946</v>
      </c>
      <c r="I65" s="114">
        <v>10017059</v>
      </c>
    </row>
    <row r="66" spans="2:9" x14ac:dyDescent="0.25">
      <c r="B66" s="594"/>
      <c r="C66" s="594"/>
      <c r="D66" s="594"/>
      <c r="E66" s="113" t="s">
        <v>184</v>
      </c>
      <c r="F66" s="113" t="s">
        <v>75</v>
      </c>
      <c r="G66" s="114">
        <v>6416</v>
      </c>
      <c r="H66" s="114">
        <v>2188304538</v>
      </c>
      <c r="I66" s="114">
        <v>3523170</v>
      </c>
    </row>
    <row r="67" spans="2:9" x14ac:dyDescent="0.25">
      <c r="B67" s="146" t="s">
        <v>199</v>
      </c>
      <c r="C67" s="146"/>
      <c r="D67" s="146"/>
      <c r="E67" s="146"/>
      <c r="F67" s="146"/>
      <c r="G67" s="148">
        <f>SUM(G65:G66)</f>
        <v>31449</v>
      </c>
      <c r="H67" s="148">
        <f t="shared" ref="H67:I67" si="8">SUM(H65:H66)</f>
        <v>8410080484</v>
      </c>
      <c r="I67" s="148">
        <f t="shared" si="8"/>
        <v>13540229</v>
      </c>
    </row>
    <row r="68" spans="2:9" x14ac:dyDescent="0.25">
      <c r="B68" s="111" t="s">
        <v>87</v>
      </c>
      <c r="C68" s="111" t="s">
        <v>112</v>
      </c>
      <c r="D68" s="111" t="s">
        <v>113</v>
      </c>
      <c r="E68" s="111" t="s">
        <v>171</v>
      </c>
      <c r="F68" s="111" t="s">
        <v>75</v>
      </c>
      <c r="G68" s="112">
        <v>35216</v>
      </c>
      <c r="H68" s="112">
        <v>7578109574</v>
      </c>
      <c r="I68" s="112">
        <v>12200757</v>
      </c>
    </row>
    <row r="69" spans="2:9" x14ac:dyDescent="0.25">
      <c r="B69" s="146" t="s">
        <v>200</v>
      </c>
      <c r="C69" s="146"/>
      <c r="D69" s="146"/>
      <c r="E69" s="146"/>
      <c r="F69" s="146"/>
      <c r="G69" s="148">
        <f>+G68</f>
        <v>35216</v>
      </c>
      <c r="H69" s="148">
        <f t="shared" ref="H69:I69" si="9">+H68</f>
        <v>7578109574</v>
      </c>
      <c r="I69" s="148">
        <f t="shared" si="9"/>
        <v>12200757</v>
      </c>
    </row>
    <row r="70" spans="2:9" x14ac:dyDescent="0.25">
      <c r="B70" s="593" t="s">
        <v>90</v>
      </c>
      <c r="C70" s="593" t="s">
        <v>112</v>
      </c>
      <c r="D70" s="593" t="s">
        <v>113</v>
      </c>
      <c r="E70" s="111" t="s">
        <v>171</v>
      </c>
      <c r="F70" s="111" t="s">
        <v>75</v>
      </c>
      <c r="G70" s="112">
        <v>4540</v>
      </c>
      <c r="H70" s="112">
        <v>4153250167</v>
      </c>
      <c r="I70" s="112">
        <v>6686733</v>
      </c>
    </row>
    <row r="71" spans="2:9" x14ac:dyDescent="0.25">
      <c r="B71" s="593"/>
      <c r="C71" s="593"/>
      <c r="D71" s="593"/>
      <c r="E71" s="111" t="s">
        <v>201</v>
      </c>
      <c r="F71" s="111" t="s">
        <v>75</v>
      </c>
      <c r="G71" s="112">
        <v>440</v>
      </c>
      <c r="H71" s="112">
        <v>341151279</v>
      </c>
      <c r="I71" s="112">
        <v>549254</v>
      </c>
    </row>
    <row r="72" spans="2:9" x14ac:dyDescent="0.25">
      <c r="B72" s="593"/>
      <c r="C72" s="593"/>
      <c r="D72" s="593"/>
      <c r="E72" s="111" t="s">
        <v>184</v>
      </c>
      <c r="F72" s="111" t="s">
        <v>75</v>
      </c>
      <c r="G72" s="112">
        <v>400</v>
      </c>
      <c r="H72" s="112">
        <v>303853087</v>
      </c>
      <c r="I72" s="112">
        <v>489203</v>
      </c>
    </row>
    <row r="73" spans="2:9" x14ac:dyDescent="0.25">
      <c r="B73" s="593"/>
      <c r="C73" s="593"/>
      <c r="D73" s="593"/>
      <c r="E73" s="111" t="s">
        <v>194</v>
      </c>
      <c r="F73" s="111" t="s">
        <v>75</v>
      </c>
      <c r="G73" s="112">
        <v>400</v>
      </c>
      <c r="H73" s="112">
        <v>298442192</v>
      </c>
      <c r="I73" s="112">
        <v>480492</v>
      </c>
    </row>
    <row r="74" spans="2:9" x14ac:dyDescent="0.25">
      <c r="B74" s="593"/>
      <c r="C74" s="593"/>
      <c r="D74" s="593"/>
      <c r="E74" s="111" t="s">
        <v>190</v>
      </c>
      <c r="F74" s="111" t="s">
        <v>75</v>
      </c>
      <c r="G74" s="112">
        <v>180</v>
      </c>
      <c r="H74" s="112">
        <v>142683113</v>
      </c>
      <c r="I74" s="112">
        <v>229720</v>
      </c>
    </row>
    <row r="75" spans="2:9" x14ac:dyDescent="0.25">
      <c r="B75" s="593"/>
      <c r="C75" s="593"/>
      <c r="D75" s="593"/>
      <c r="E75" s="111" t="s">
        <v>185</v>
      </c>
      <c r="F75" s="111" t="s">
        <v>75</v>
      </c>
      <c r="G75" s="112">
        <v>120</v>
      </c>
      <c r="H75" s="112">
        <v>99738379</v>
      </c>
      <c r="I75" s="112">
        <v>160579</v>
      </c>
    </row>
    <row r="76" spans="2:9" x14ac:dyDescent="0.25">
      <c r="B76" s="593"/>
      <c r="C76" s="593"/>
      <c r="D76" s="593"/>
      <c r="E76" s="111" t="s">
        <v>188</v>
      </c>
      <c r="F76" s="111" t="s">
        <v>75</v>
      </c>
      <c r="G76" s="112">
        <v>120</v>
      </c>
      <c r="H76" s="112">
        <v>87597760</v>
      </c>
      <c r="I76" s="112">
        <v>141032</v>
      </c>
    </row>
    <row r="77" spans="2:9" x14ac:dyDescent="0.25">
      <c r="B77" s="593"/>
      <c r="C77" s="593"/>
      <c r="D77" s="593"/>
      <c r="E77" s="111" t="s">
        <v>202</v>
      </c>
      <c r="F77" s="111" t="s">
        <v>75</v>
      </c>
      <c r="G77" s="112">
        <v>100</v>
      </c>
      <c r="H77" s="112">
        <v>76434262</v>
      </c>
      <c r="I77" s="112">
        <v>123059</v>
      </c>
    </row>
    <row r="78" spans="2:9" x14ac:dyDescent="0.25">
      <c r="B78" s="593"/>
      <c r="C78" s="593"/>
      <c r="D78" s="593"/>
      <c r="E78" s="111" t="s">
        <v>191</v>
      </c>
      <c r="F78" s="111" t="s">
        <v>75</v>
      </c>
      <c r="G78" s="112">
        <v>40</v>
      </c>
      <c r="H78" s="112">
        <v>29664509</v>
      </c>
      <c r="I78" s="112">
        <v>47760</v>
      </c>
    </row>
    <row r="79" spans="2:9" x14ac:dyDescent="0.25">
      <c r="B79" s="146" t="s">
        <v>203</v>
      </c>
      <c r="C79" s="146"/>
      <c r="D79" s="146"/>
      <c r="E79" s="146"/>
      <c r="F79" s="146"/>
      <c r="G79" s="148">
        <f>SUM(G70:G78)</f>
        <v>6340</v>
      </c>
      <c r="H79" s="148">
        <f t="shared" ref="H79:I79" si="10">SUM(H70:H78)</f>
        <v>5532814748</v>
      </c>
      <c r="I79" s="148">
        <f t="shared" si="10"/>
        <v>8907832</v>
      </c>
    </row>
    <row r="80" spans="2:9" x14ac:dyDescent="0.25">
      <c r="B80" s="594" t="s">
        <v>91</v>
      </c>
      <c r="C80" s="594" t="s">
        <v>112</v>
      </c>
      <c r="D80" s="594" t="s">
        <v>113</v>
      </c>
      <c r="E80" s="113" t="s">
        <v>171</v>
      </c>
      <c r="F80" s="113" t="s">
        <v>75</v>
      </c>
      <c r="G80" s="114">
        <v>2840</v>
      </c>
      <c r="H80" s="114">
        <v>3827194780</v>
      </c>
      <c r="I80" s="114">
        <v>6161784</v>
      </c>
    </row>
    <row r="81" spans="2:9" x14ac:dyDescent="0.25">
      <c r="B81" s="594"/>
      <c r="C81" s="594"/>
      <c r="D81" s="594"/>
      <c r="E81" s="113" t="s">
        <v>194</v>
      </c>
      <c r="F81" s="113" t="s">
        <v>75</v>
      </c>
      <c r="G81" s="114">
        <v>580</v>
      </c>
      <c r="H81" s="114">
        <v>634237080</v>
      </c>
      <c r="I81" s="114">
        <v>1021122</v>
      </c>
    </row>
    <row r="82" spans="2:9" x14ac:dyDescent="0.25">
      <c r="B82" s="594"/>
      <c r="C82" s="594"/>
      <c r="D82" s="594"/>
      <c r="E82" s="113" t="s">
        <v>185</v>
      </c>
      <c r="F82" s="113" t="s">
        <v>75</v>
      </c>
      <c r="G82" s="114">
        <v>240</v>
      </c>
      <c r="H82" s="114">
        <v>237528598</v>
      </c>
      <c r="I82" s="114">
        <v>382421</v>
      </c>
    </row>
    <row r="83" spans="2:9" x14ac:dyDescent="0.25">
      <c r="B83" s="594"/>
      <c r="C83" s="594"/>
      <c r="D83" s="594"/>
      <c r="E83" s="113" t="s">
        <v>188</v>
      </c>
      <c r="F83" s="113" t="s">
        <v>75</v>
      </c>
      <c r="G83" s="114">
        <v>100</v>
      </c>
      <c r="H83" s="114">
        <v>131314917</v>
      </c>
      <c r="I83" s="114">
        <v>211417</v>
      </c>
    </row>
    <row r="84" spans="2:9" x14ac:dyDescent="0.25">
      <c r="B84" s="594"/>
      <c r="C84" s="594"/>
      <c r="D84" s="594"/>
      <c r="E84" s="113" t="s">
        <v>190</v>
      </c>
      <c r="F84" s="113" t="s">
        <v>75</v>
      </c>
      <c r="G84" s="114">
        <v>100</v>
      </c>
      <c r="H84" s="114">
        <v>126512108</v>
      </c>
      <c r="I84" s="114">
        <v>203684</v>
      </c>
    </row>
    <row r="85" spans="2:9" x14ac:dyDescent="0.25">
      <c r="B85" s="594"/>
      <c r="C85" s="594"/>
      <c r="D85" s="594"/>
      <c r="E85" s="113" t="s">
        <v>184</v>
      </c>
      <c r="F85" s="113" t="s">
        <v>75</v>
      </c>
      <c r="G85" s="114">
        <v>80</v>
      </c>
      <c r="H85" s="114">
        <v>96661461</v>
      </c>
      <c r="I85" s="114">
        <v>155625</v>
      </c>
    </row>
    <row r="86" spans="2:9" x14ac:dyDescent="0.25">
      <c r="B86" s="594"/>
      <c r="C86" s="594"/>
      <c r="D86" s="594"/>
      <c r="E86" s="113" t="s">
        <v>204</v>
      </c>
      <c r="F86" s="113" t="s">
        <v>75</v>
      </c>
      <c r="G86" s="114">
        <v>60</v>
      </c>
      <c r="H86" s="114">
        <v>66222480</v>
      </c>
      <c r="I86" s="114">
        <v>106618</v>
      </c>
    </row>
    <row r="87" spans="2:9" x14ac:dyDescent="0.25">
      <c r="B87" s="594"/>
      <c r="C87" s="594"/>
      <c r="D87" s="594"/>
      <c r="E87" s="113" t="s">
        <v>183</v>
      </c>
      <c r="F87" s="113" t="s">
        <v>75</v>
      </c>
      <c r="G87" s="114">
        <v>60</v>
      </c>
      <c r="H87" s="114">
        <v>64976444</v>
      </c>
      <c r="I87" s="114">
        <v>104612</v>
      </c>
    </row>
    <row r="88" spans="2:9" x14ac:dyDescent="0.25">
      <c r="B88" s="594"/>
      <c r="C88" s="594"/>
      <c r="D88" s="594"/>
      <c r="E88" s="113" t="s">
        <v>201</v>
      </c>
      <c r="F88" s="113" t="s">
        <v>75</v>
      </c>
      <c r="G88" s="114">
        <v>60</v>
      </c>
      <c r="H88" s="114">
        <v>63697902</v>
      </c>
      <c r="I88" s="114">
        <v>102554</v>
      </c>
    </row>
    <row r="89" spans="2:9" x14ac:dyDescent="0.25">
      <c r="B89" s="594"/>
      <c r="C89" s="594"/>
      <c r="D89" s="594"/>
      <c r="E89" s="113" t="s">
        <v>182</v>
      </c>
      <c r="F89" s="113" t="s">
        <v>75</v>
      </c>
      <c r="G89" s="114">
        <v>20</v>
      </c>
      <c r="H89" s="114">
        <v>26978417</v>
      </c>
      <c r="I89" s="114">
        <v>43435</v>
      </c>
    </row>
    <row r="90" spans="2:9" x14ac:dyDescent="0.25">
      <c r="B90" s="594"/>
      <c r="C90" s="594"/>
      <c r="D90" s="594"/>
      <c r="E90" s="113" t="s">
        <v>169</v>
      </c>
      <c r="F90" s="113" t="s">
        <v>75</v>
      </c>
      <c r="G90" s="114">
        <v>20</v>
      </c>
      <c r="H90" s="114">
        <v>15489006</v>
      </c>
      <c r="I90" s="114">
        <v>24937</v>
      </c>
    </row>
    <row r="91" spans="2:9" x14ac:dyDescent="0.25">
      <c r="B91" s="146" t="s">
        <v>205</v>
      </c>
      <c r="C91" s="146"/>
      <c r="D91" s="146"/>
      <c r="E91" s="146"/>
      <c r="F91" s="146"/>
      <c r="G91" s="148">
        <f>SUM(G80:G90)</f>
        <v>4160</v>
      </c>
      <c r="H91" s="148">
        <f t="shared" ref="H91:I91" si="11">SUM(H80:H90)</f>
        <v>5290813193</v>
      </c>
      <c r="I91" s="148">
        <f t="shared" si="11"/>
        <v>8518209</v>
      </c>
    </row>
    <row r="92" spans="2:9" x14ac:dyDescent="0.25">
      <c r="B92" s="593" t="s">
        <v>152</v>
      </c>
      <c r="C92" s="593" t="s">
        <v>133</v>
      </c>
      <c r="D92" s="593" t="s">
        <v>134</v>
      </c>
      <c r="E92" s="111" t="s">
        <v>171</v>
      </c>
      <c r="F92" s="111" t="s">
        <v>75</v>
      </c>
      <c r="G92" s="112">
        <v>42629</v>
      </c>
      <c r="H92" s="112">
        <v>1283260095</v>
      </c>
      <c r="I92" s="112">
        <v>2066049</v>
      </c>
    </row>
    <row r="93" spans="2:9" x14ac:dyDescent="0.25">
      <c r="B93" s="593"/>
      <c r="C93" s="593"/>
      <c r="D93" s="593"/>
      <c r="E93" s="111" t="s">
        <v>206</v>
      </c>
      <c r="F93" s="111" t="s">
        <v>75</v>
      </c>
      <c r="G93" s="112">
        <v>37352</v>
      </c>
      <c r="H93" s="112">
        <v>1050899906</v>
      </c>
      <c r="I93" s="112">
        <v>1691949</v>
      </c>
    </row>
    <row r="94" spans="2:9" x14ac:dyDescent="0.25">
      <c r="B94" s="593"/>
      <c r="C94" s="593"/>
      <c r="D94" s="593"/>
      <c r="E94" s="111" t="s">
        <v>207</v>
      </c>
      <c r="F94" s="111" t="s">
        <v>75</v>
      </c>
      <c r="G94" s="112">
        <v>25442</v>
      </c>
      <c r="H94" s="112">
        <v>667908065</v>
      </c>
      <c r="I94" s="112">
        <v>1075333</v>
      </c>
    </row>
    <row r="95" spans="2:9" x14ac:dyDescent="0.25">
      <c r="B95" s="593"/>
      <c r="C95" s="593"/>
      <c r="D95" s="111" t="s">
        <v>208</v>
      </c>
      <c r="E95" s="111" t="s">
        <v>206</v>
      </c>
      <c r="F95" s="111" t="s">
        <v>75</v>
      </c>
      <c r="G95" s="112">
        <v>3009</v>
      </c>
      <c r="H95" s="112">
        <v>60126370</v>
      </c>
      <c r="I95" s="112">
        <v>96803</v>
      </c>
    </row>
    <row r="96" spans="2:9" x14ac:dyDescent="0.25">
      <c r="B96" s="146" t="s">
        <v>209</v>
      </c>
      <c r="C96" s="146"/>
      <c r="D96" s="146"/>
      <c r="E96" s="146"/>
      <c r="F96" s="146"/>
      <c r="G96" s="148">
        <f>SUM(G92:G95)</f>
        <v>108432</v>
      </c>
      <c r="H96" s="148">
        <f t="shared" ref="H96:I96" si="12">SUM(H92:H95)</f>
        <v>3062194436</v>
      </c>
      <c r="I96" s="148">
        <f t="shared" si="12"/>
        <v>4930134</v>
      </c>
    </row>
    <row r="97" spans="2:9" x14ac:dyDescent="0.25">
      <c r="B97" s="594" t="s">
        <v>153</v>
      </c>
      <c r="C97" s="594" t="s">
        <v>121</v>
      </c>
      <c r="D97" s="594" t="s">
        <v>122</v>
      </c>
      <c r="E97" s="113" t="s">
        <v>96</v>
      </c>
      <c r="F97" s="113" t="s">
        <v>75</v>
      </c>
      <c r="G97" s="114">
        <v>4477</v>
      </c>
      <c r="H97" s="114">
        <v>1676673578</v>
      </c>
      <c r="I97" s="114">
        <v>2699445</v>
      </c>
    </row>
    <row r="98" spans="2:9" x14ac:dyDescent="0.25">
      <c r="B98" s="594"/>
      <c r="C98" s="594"/>
      <c r="D98" s="594"/>
      <c r="E98" s="113" t="s">
        <v>174</v>
      </c>
      <c r="F98" s="113" t="s">
        <v>75</v>
      </c>
      <c r="G98" s="114">
        <v>4349</v>
      </c>
      <c r="H98" s="114">
        <v>471203100</v>
      </c>
      <c r="I98" s="114">
        <v>758637</v>
      </c>
    </row>
    <row r="99" spans="2:9" x14ac:dyDescent="0.25">
      <c r="B99" s="594"/>
      <c r="C99" s="594"/>
      <c r="D99" s="594"/>
      <c r="E99" s="113" t="s">
        <v>179</v>
      </c>
      <c r="F99" s="113" t="s">
        <v>75</v>
      </c>
      <c r="G99" s="114">
        <v>47</v>
      </c>
      <c r="H99" s="114">
        <v>6063200</v>
      </c>
      <c r="I99" s="114">
        <v>9762</v>
      </c>
    </row>
    <row r="100" spans="2:9" x14ac:dyDescent="0.25">
      <c r="B100" s="146" t="s">
        <v>210</v>
      </c>
      <c r="C100" s="146"/>
      <c r="D100" s="146"/>
      <c r="E100" s="146"/>
      <c r="F100" s="146"/>
      <c r="G100" s="148">
        <f>SUM(G97:G99)</f>
        <v>8873</v>
      </c>
      <c r="H100" s="148">
        <f t="shared" ref="H100:I100" si="13">SUM(H97:H99)</f>
        <v>2153939878</v>
      </c>
      <c r="I100" s="148">
        <f t="shared" si="13"/>
        <v>3467844</v>
      </c>
    </row>
    <row r="101" spans="2:9" x14ac:dyDescent="0.25">
      <c r="B101" s="593" t="s">
        <v>154</v>
      </c>
      <c r="C101" s="593" t="s">
        <v>121</v>
      </c>
      <c r="D101" s="593" t="s">
        <v>122</v>
      </c>
      <c r="E101" s="111" t="s">
        <v>175</v>
      </c>
      <c r="F101" s="111" t="s">
        <v>75</v>
      </c>
      <c r="G101" s="112">
        <v>2455</v>
      </c>
      <c r="H101" s="112">
        <v>795369377</v>
      </c>
      <c r="I101" s="112">
        <v>1280544</v>
      </c>
    </row>
    <row r="102" spans="2:9" x14ac:dyDescent="0.25">
      <c r="B102" s="593"/>
      <c r="C102" s="593"/>
      <c r="D102" s="593"/>
      <c r="E102" s="111" t="s">
        <v>180</v>
      </c>
      <c r="F102" s="111" t="s">
        <v>75</v>
      </c>
      <c r="G102" s="112">
        <v>990</v>
      </c>
      <c r="H102" s="112">
        <v>379655625</v>
      </c>
      <c r="I102" s="112">
        <v>611246</v>
      </c>
    </row>
    <row r="103" spans="2:9" x14ac:dyDescent="0.25">
      <c r="B103" s="146" t="s">
        <v>211</v>
      </c>
      <c r="C103" s="146"/>
      <c r="D103" s="146"/>
      <c r="E103" s="146"/>
      <c r="F103" s="146"/>
      <c r="G103" s="148">
        <f>SUM(G101:G102)</f>
        <v>3445</v>
      </c>
      <c r="H103" s="148">
        <f t="shared" ref="H103:I103" si="14">SUM(H101:H102)</f>
        <v>1175025002</v>
      </c>
      <c r="I103" s="148">
        <f t="shared" si="14"/>
        <v>1891790</v>
      </c>
    </row>
    <row r="104" spans="2:9" x14ac:dyDescent="0.25">
      <c r="B104" s="111" t="s">
        <v>155</v>
      </c>
      <c r="C104" s="111" t="s">
        <v>128</v>
      </c>
      <c r="D104" s="111" t="s">
        <v>109</v>
      </c>
      <c r="E104" s="111" t="s">
        <v>175</v>
      </c>
      <c r="F104" s="111" t="s">
        <v>75</v>
      </c>
      <c r="G104" s="112" t="s">
        <v>96</v>
      </c>
      <c r="H104" s="112">
        <v>752749640</v>
      </c>
      <c r="I104" s="112">
        <v>1211927</v>
      </c>
    </row>
    <row r="105" spans="2:9" x14ac:dyDescent="0.25">
      <c r="B105" s="146" t="s">
        <v>212</v>
      </c>
      <c r="C105" s="146"/>
      <c r="D105" s="146"/>
      <c r="E105" s="146"/>
      <c r="F105" s="146"/>
      <c r="G105" s="148" t="str">
        <f>+G104</f>
        <v>NC</v>
      </c>
      <c r="H105" s="148">
        <f t="shared" ref="H105:I105" si="15">+H104</f>
        <v>752749640</v>
      </c>
      <c r="I105" s="148">
        <f t="shared" si="15"/>
        <v>1211927</v>
      </c>
    </row>
    <row r="106" spans="2:9" x14ac:dyDescent="0.25">
      <c r="B106" s="594" t="s">
        <v>93</v>
      </c>
      <c r="C106" s="113" t="s">
        <v>103</v>
      </c>
      <c r="D106" s="113" t="s">
        <v>104</v>
      </c>
      <c r="E106" s="113" t="s">
        <v>165</v>
      </c>
      <c r="F106" s="113" t="s">
        <v>156</v>
      </c>
      <c r="G106" s="114">
        <v>27299</v>
      </c>
      <c r="H106" s="114">
        <v>374908490</v>
      </c>
      <c r="I106" s="114">
        <v>603603</v>
      </c>
    </row>
    <row r="107" spans="2:9" x14ac:dyDescent="0.25">
      <c r="B107" s="594"/>
      <c r="C107" s="113" t="s">
        <v>115</v>
      </c>
      <c r="D107" s="113" t="s">
        <v>116</v>
      </c>
      <c r="E107" s="113" t="s">
        <v>166</v>
      </c>
      <c r="F107" s="113" t="s">
        <v>156</v>
      </c>
      <c r="G107" s="114">
        <v>11395</v>
      </c>
      <c r="H107" s="114">
        <v>143623609</v>
      </c>
      <c r="I107" s="114">
        <v>231234</v>
      </c>
    </row>
    <row r="108" spans="2:9" x14ac:dyDescent="0.25">
      <c r="B108" s="146" t="s">
        <v>213</v>
      </c>
      <c r="C108" s="146"/>
      <c r="D108" s="146"/>
      <c r="E108" s="146"/>
      <c r="F108" s="146"/>
      <c r="G108" s="148">
        <f>SUM(G106:G107)</f>
        <v>38694</v>
      </c>
      <c r="H108" s="148">
        <f t="shared" ref="H108:I108" si="16">SUM(H106:H107)</f>
        <v>518532099</v>
      </c>
      <c r="I108" s="148">
        <f t="shared" si="16"/>
        <v>834837</v>
      </c>
    </row>
    <row r="109" spans="2:9" x14ac:dyDescent="0.25">
      <c r="B109" s="111" t="s">
        <v>77</v>
      </c>
      <c r="C109" s="111" t="s">
        <v>106</v>
      </c>
      <c r="D109" s="111" t="s">
        <v>107</v>
      </c>
      <c r="E109" s="111" t="s">
        <v>174</v>
      </c>
      <c r="F109" s="111" t="s">
        <v>75</v>
      </c>
      <c r="G109" s="112">
        <v>13646</v>
      </c>
      <c r="H109" s="112">
        <v>504794510</v>
      </c>
      <c r="I109" s="112">
        <v>812719</v>
      </c>
    </row>
    <row r="110" spans="2:9" x14ac:dyDescent="0.25">
      <c r="B110" s="146" t="s">
        <v>214</v>
      </c>
      <c r="C110" s="146"/>
      <c r="D110" s="146"/>
      <c r="E110" s="146"/>
      <c r="F110" s="146"/>
      <c r="G110" s="148">
        <f>+G109</f>
        <v>13646</v>
      </c>
      <c r="H110" s="148">
        <f t="shared" ref="H110:I110" si="17">+H109</f>
        <v>504794510</v>
      </c>
      <c r="I110" s="148">
        <f t="shared" si="17"/>
        <v>812719</v>
      </c>
    </row>
    <row r="111" spans="2:9" x14ac:dyDescent="0.25">
      <c r="B111" s="593" t="s">
        <v>158</v>
      </c>
      <c r="C111" s="593" t="s">
        <v>121</v>
      </c>
      <c r="D111" s="593" t="s">
        <v>122</v>
      </c>
      <c r="E111" s="111" t="s">
        <v>174</v>
      </c>
      <c r="F111" s="111" t="s">
        <v>75</v>
      </c>
      <c r="G111" s="112">
        <v>1020</v>
      </c>
      <c r="H111" s="112">
        <v>6117000</v>
      </c>
      <c r="I111" s="112">
        <v>9848</v>
      </c>
    </row>
    <row r="112" spans="2:9" x14ac:dyDescent="0.25">
      <c r="B112" s="593"/>
      <c r="C112" s="593"/>
      <c r="D112" s="593"/>
      <c r="E112" s="111" t="s">
        <v>178</v>
      </c>
      <c r="F112" s="111" t="s">
        <v>75</v>
      </c>
      <c r="G112" s="112">
        <v>778950</v>
      </c>
      <c r="H112" s="112">
        <v>4673700</v>
      </c>
      <c r="I112" s="112">
        <v>7525</v>
      </c>
    </row>
    <row r="113" spans="2:9" x14ac:dyDescent="0.25">
      <c r="B113" s="146" t="s">
        <v>215</v>
      </c>
      <c r="C113" s="146"/>
      <c r="D113" s="146"/>
      <c r="E113" s="146"/>
      <c r="F113" s="146"/>
      <c r="G113" s="148">
        <f>SUM(G111:G112)</f>
        <v>779970</v>
      </c>
      <c r="H113" s="148">
        <f>SUM(H111:H112)</f>
        <v>10790700</v>
      </c>
      <c r="I113" s="148">
        <f>SUM(I111:I112)</f>
        <v>17373</v>
      </c>
    </row>
    <row r="114" spans="2:9" x14ac:dyDescent="0.25">
      <c r="B114" s="113" t="s">
        <v>157</v>
      </c>
      <c r="C114" s="113" t="s">
        <v>106</v>
      </c>
      <c r="D114" s="113" t="s">
        <v>107</v>
      </c>
      <c r="E114" s="113" t="s">
        <v>175</v>
      </c>
      <c r="F114" s="113" t="s">
        <v>96</v>
      </c>
      <c r="G114" s="114" t="s">
        <v>96</v>
      </c>
      <c r="H114" s="114">
        <v>20438660</v>
      </c>
      <c r="I114" s="114">
        <v>32906</v>
      </c>
    </row>
    <row r="115" spans="2:9" x14ac:dyDescent="0.25">
      <c r="B115" s="146" t="s">
        <v>216</v>
      </c>
      <c r="C115" s="146"/>
      <c r="D115" s="146"/>
      <c r="E115" s="146"/>
      <c r="F115" s="146"/>
      <c r="G115" s="148" t="str">
        <f>+G114</f>
        <v>NC</v>
      </c>
      <c r="H115" s="148">
        <f t="shared" ref="H115:I115" si="18">+H114</f>
        <v>20438660</v>
      </c>
      <c r="I115" s="148">
        <f t="shared" si="18"/>
        <v>32906</v>
      </c>
    </row>
    <row r="116" spans="2:9" x14ac:dyDescent="0.25">
      <c r="B116" s="111" t="s">
        <v>159</v>
      </c>
      <c r="C116" s="111" t="s">
        <v>121</v>
      </c>
      <c r="D116" s="111" t="s">
        <v>122</v>
      </c>
      <c r="E116" s="111" t="s">
        <v>178</v>
      </c>
      <c r="F116" s="111" t="s">
        <v>75</v>
      </c>
      <c r="G116" s="112">
        <v>1</v>
      </c>
      <c r="H116" s="112">
        <v>205000</v>
      </c>
      <c r="I116" s="112">
        <v>330</v>
      </c>
    </row>
    <row r="117" spans="2:9" x14ac:dyDescent="0.25">
      <c r="B117" s="146" t="s">
        <v>217</v>
      </c>
      <c r="C117" s="146"/>
      <c r="D117" s="146"/>
      <c r="E117" s="146"/>
      <c r="F117" s="146"/>
      <c r="G117" s="148">
        <f>+G116</f>
        <v>1</v>
      </c>
      <c r="H117" s="148">
        <f t="shared" ref="H117:I117" si="19">+H116</f>
        <v>205000</v>
      </c>
      <c r="I117" s="148">
        <f t="shared" si="19"/>
        <v>330</v>
      </c>
    </row>
    <row r="118" spans="2:9" x14ac:dyDescent="0.25">
      <c r="B118" s="149"/>
      <c r="C118" s="149"/>
      <c r="D118" s="149"/>
      <c r="E118" s="149"/>
      <c r="F118" s="149"/>
      <c r="G118" s="149"/>
      <c r="H118" s="150">
        <f>+H8+H10+H13+H29+H43+H53+H57+H64+H67+H69+H79+H91+H96+H100+H103+H105+H108+H110+H113+H115+H117</f>
        <v>1380962450261</v>
      </c>
      <c r="I118" s="150">
        <f>+I8+I10+I13+I29+I43+I53+I57+I64+I67+I69+I79+I91+I96+I100+I103+I105+I108+I110+I113+I115+I117</f>
        <v>2223349589</v>
      </c>
    </row>
  </sheetData>
  <mergeCells count="48">
    <mergeCell ref="B5:B7"/>
    <mergeCell ref="B11:B12"/>
    <mergeCell ref="C11:C12"/>
    <mergeCell ref="D11:D12"/>
    <mergeCell ref="B14:B28"/>
    <mergeCell ref="C14:C15"/>
    <mergeCell ref="C16:C17"/>
    <mergeCell ref="D16:D17"/>
    <mergeCell ref="C20:C21"/>
    <mergeCell ref="D20:D21"/>
    <mergeCell ref="C24:C26"/>
    <mergeCell ref="D24:D26"/>
    <mergeCell ref="C27:C28"/>
    <mergeCell ref="D27:D28"/>
    <mergeCell ref="B30:B42"/>
    <mergeCell ref="C30:C42"/>
    <mergeCell ref="D30:D42"/>
    <mergeCell ref="B44:B52"/>
    <mergeCell ref="C44:C52"/>
    <mergeCell ref="D44:D52"/>
    <mergeCell ref="B54:B56"/>
    <mergeCell ref="C54:C56"/>
    <mergeCell ref="D54:D56"/>
    <mergeCell ref="B58:B63"/>
    <mergeCell ref="C61:C62"/>
    <mergeCell ref="D61:D62"/>
    <mergeCell ref="B65:B66"/>
    <mergeCell ref="C65:C66"/>
    <mergeCell ref="D65:D66"/>
    <mergeCell ref="B70:B78"/>
    <mergeCell ref="C70:C78"/>
    <mergeCell ref="D70:D78"/>
    <mergeCell ref="B80:B90"/>
    <mergeCell ref="C80:C90"/>
    <mergeCell ref="D80:D90"/>
    <mergeCell ref="B92:B95"/>
    <mergeCell ref="C92:C95"/>
    <mergeCell ref="D92:D94"/>
    <mergeCell ref="B97:B99"/>
    <mergeCell ref="C97:C99"/>
    <mergeCell ref="D97:D99"/>
    <mergeCell ref="B101:B102"/>
    <mergeCell ref="C101:C102"/>
    <mergeCell ref="D101:D102"/>
    <mergeCell ref="B106:B107"/>
    <mergeCell ref="B111:B112"/>
    <mergeCell ref="C111:C112"/>
    <mergeCell ref="D111:D112"/>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C6ADC-62E2-42B4-8369-86C320C7E99A}">
  <dimension ref="B2:E25"/>
  <sheetViews>
    <sheetView workbookViewId="0">
      <selection activeCell="C31" sqref="C31"/>
    </sheetView>
  </sheetViews>
  <sheetFormatPr baseColWidth="10" defaultColWidth="11.5703125" defaultRowHeight="15" x14ac:dyDescent="0.25"/>
  <cols>
    <col min="1" max="1" width="11.5703125" style="18"/>
    <col min="2" max="2" width="51.28515625" style="18" customWidth="1"/>
    <col min="3" max="5" width="13.42578125" style="18" bestFit="1" customWidth="1"/>
    <col min="6" max="16384" width="11.5703125" style="18"/>
  </cols>
  <sheetData>
    <row r="2" spans="2:5" x14ac:dyDescent="0.25">
      <c r="B2" s="94" t="s">
        <v>918</v>
      </c>
    </row>
    <row r="4" spans="2:5" ht="45.75" thickBot="1" x14ac:dyDescent="0.3">
      <c r="B4" s="562" t="s">
        <v>502</v>
      </c>
      <c r="C4" s="563" t="s">
        <v>919</v>
      </c>
      <c r="D4" s="563" t="s">
        <v>920</v>
      </c>
      <c r="E4" s="563" t="s">
        <v>921</v>
      </c>
    </row>
    <row r="5" spans="2:5" x14ac:dyDescent="0.35">
      <c r="B5" s="564" t="s">
        <v>445</v>
      </c>
      <c r="C5" s="565"/>
      <c r="D5" s="566">
        <v>903478498</v>
      </c>
      <c r="E5" s="567">
        <f>+C5+D5</f>
        <v>903478498</v>
      </c>
    </row>
    <row r="6" spans="2:5" x14ac:dyDescent="0.35">
      <c r="B6" s="568" t="s">
        <v>446</v>
      </c>
      <c r="C6" s="569"/>
      <c r="D6" s="570">
        <v>421590375</v>
      </c>
      <c r="E6" s="571">
        <f>+C6+D6</f>
        <v>421590375</v>
      </c>
    </row>
    <row r="7" spans="2:5" x14ac:dyDescent="0.35">
      <c r="B7" s="564" t="s">
        <v>442</v>
      </c>
      <c r="C7" s="565"/>
      <c r="D7" s="566">
        <v>51882483.465838507</v>
      </c>
      <c r="E7" s="567">
        <f>+C7+D7</f>
        <v>51882483.465838507</v>
      </c>
    </row>
    <row r="8" spans="2:5" x14ac:dyDescent="0.25">
      <c r="B8" s="572"/>
      <c r="C8" s="573">
        <f>SUM(C5:C7)</f>
        <v>0</v>
      </c>
      <c r="D8" s="573">
        <f>SUM(D5:D7)</f>
        <v>1376951356.4658384</v>
      </c>
      <c r="E8" s="573">
        <f>SUM(E5:E7)</f>
        <v>1376951356.4658384</v>
      </c>
    </row>
    <row r="9" spans="2:5" x14ac:dyDescent="0.35">
      <c r="B9" s="568" t="s">
        <v>454</v>
      </c>
      <c r="C9" s="569"/>
      <c r="D9" s="570">
        <v>899468021</v>
      </c>
      <c r="E9" s="571">
        <f t="shared" ref="E9:E23" si="0">+C9+D9</f>
        <v>899468021</v>
      </c>
    </row>
    <row r="10" spans="2:5" x14ac:dyDescent="0.35">
      <c r="B10" s="564" t="s">
        <v>450</v>
      </c>
      <c r="C10" s="565">
        <v>648276688.60468686</v>
      </c>
      <c r="D10" s="566">
        <v>22635602.879999999</v>
      </c>
      <c r="E10" s="567">
        <f t="shared" si="0"/>
        <v>670912291.48468685</v>
      </c>
    </row>
    <row r="11" spans="2:5" x14ac:dyDescent="0.35">
      <c r="B11" s="568" t="s">
        <v>458</v>
      </c>
      <c r="C11" s="569">
        <v>546061457</v>
      </c>
      <c r="D11" s="570">
        <v>9950000</v>
      </c>
      <c r="E11" s="571">
        <f t="shared" si="0"/>
        <v>556011457</v>
      </c>
    </row>
    <row r="12" spans="2:5" x14ac:dyDescent="0.35">
      <c r="B12" s="564" t="s">
        <v>278</v>
      </c>
      <c r="C12" s="565">
        <v>535294578.73000002</v>
      </c>
      <c r="D12" s="566">
        <v>11965500</v>
      </c>
      <c r="E12" s="567">
        <f t="shared" si="0"/>
        <v>547260078.73000002</v>
      </c>
    </row>
    <row r="13" spans="2:5" x14ac:dyDescent="0.35">
      <c r="B13" s="568" t="s">
        <v>452</v>
      </c>
      <c r="C13" s="569"/>
      <c r="D13" s="570">
        <v>333256514.4799993</v>
      </c>
      <c r="E13" s="571">
        <f t="shared" si="0"/>
        <v>333256514.4799993</v>
      </c>
    </row>
    <row r="14" spans="2:5" x14ac:dyDescent="0.35">
      <c r="B14" s="564" t="s">
        <v>451</v>
      </c>
      <c r="C14" s="565"/>
      <c r="D14" s="566">
        <v>208913705</v>
      </c>
      <c r="E14" s="567">
        <f t="shared" si="0"/>
        <v>208913705</v>
      </c>
    </row>
    <row r="15" spans="2:5" x14ac:dyDescent="0.35">
      <c r="B15" s="568" t="s">
        <v>460</v>
      </c>
      <c r="C15" s="569"/>
      <c r="D15" s="570">
        <v>168151588</v>
      </c>
      <c r="E15" s="571">
        <f t="shared" si="0"/>
        <v>168151588</v>
      </c>
    </row>
    <row r="16" spans="2:5" x14ac:dyDescent="0.35">
      <c r="B16" s="564" t="s">
        <v>464</v>
      </c>
      <c r="C16" s="565">
        <v>52425185</v>
      </c>
      <c r="D16" s="566">
        <v>10745100</v>
      </c>
      <c r="E16" s="567">
        <f t="shared" si="0"/>
        <v>63170285</v>
      </c>
    </row>
    <row r="17" spans="2:5" x14ac:dyDescent="0.35">
      <c r="B17" s="568" t="s">
        <v>456</v>
      </c>
      <c r="C17" s="569"/>
      <c r="D17" s="570">
        <v>54385155</v>
      </c>
      <c r="E17" s="571">
        <f t="shared" si="0"/>
        <v>54385155</v>
      </c>
    </row>
    <row r="18" spans="2:5" x14ac:dyDescent="0.35">
      <c r="B18" s="564" t="s">
        <v>453</v>
      </c>
      <c r="C18" s="565">
        <v>39654923</v>
      </c>
      <c r="D18" s="566">
        <v>6259641</v>
      </c>
      <c r="E18" s="567">
        <f t="shared" si="0"/>
        <v>45914564</v>
      </c>
    </row>
    <row r="19" spans="2:5" x14ac:dyDescent="0.35">
      <c r="B19" s="568" t="s">
        <v>463</v>
      </c>
      <c r="C19" s="569">
        <v>16858350</v>
      </c>
      <c r="D19" s="570">
        <v>20338079</v>
      </c>
      <c r="E19" s="571">
        <f t="shared" si="0"/>
        <v>37196429</v>
      </c>
    </row>
    <row r="20" spans="2:5" x14ac:dyDescent="0.35">
      <c r="B20" s="564" t="s">
        <v>461</v>
      </c>
      <c r="C20" s="565">
        <v>35963162</v>
      </c>
      <c r="D20" s="566">
        <v>360000</v>
      </c>
      <c r="E20" s="567">
        <f t="shared" si="0"/>
        <v>36323162</v>
      </c>
    </row>
    <row r="21" spans="2:5" x14ac:dyDescent="0.35">
      <c r="B21" s="568" t="s">
        <v>455</v>
      </c>
      <c r="C21" s="569"/>
      <c r="D21" s="570">
        <v>28346535</v>
      </c>
      <c r="E21" s="571">
        <f t="shared" si="0"/>
        <v>28346535</v>
      </c>
    </row>
    <row r="22" spans="2:5" x14ac:dyDescent="0.35">
      <c r="B22" s="564" t="s">
        <v>459</v>
      </c>
      <c r="C22" s="565">
        <v>30138707</v>
      </c>
      <c r="D22" s="566"/>
      <c r="E22" s="567">
        <f t="shared" si="0"/>
        <v>30138707</v>
      </c>
    </row>
    <row r="23" spans="2:5" x14ac:dyDescent="0.35">
      <c r="B23" s="568" t="s">
        <v>467</v>
      </c>
      <c r="C23" s="569"/>
      <c r="D23" s="570">
        <v>16711967</v>
      </c>
      <c r="E23" s="571">
        <f t="shared" si="0"/>
        <v>16711967</v>
      </c>
    </row>
    <row r="24" spans="2:5" x14ac:dyDescent="0.25">
      <c r="B24" s="572"/>
      <c r="C24" s="573">
        <f>SUM(C9:C23)</f>
        <v>1904673051.3346868</v>
      </c>
      <c r="D24" s="573">
        <f t="shared" ref="D24:E24" si="1">SUM(D9:D23)</f>
        <v>1791487408.3599992</v>
      </c>
      <c r="E24" s="573">
        <f t="shared" si="1"/>
        <v>3696160459.6946859</v>
      </c>
    </row>
    <row r="25" spans="2:5" x14ac:dyDescent="0.25">
      <c r="B25" s="574" t="s">
        <v>922</v>
      </c>
      <c r="C25" s="451">
        <f>+C8+C24</f>
        <v>1904673051.3346868</v>
      </c>
      <c r="D25" s="451">
        <f t="shared" ref="D25:E25" si="2">+D8+D24</f>
        <v>3168438764.8258376</v>
      </c>
      <c r="E25" s="451">
        <f t="shared" si="2"/>
        <v>5073111816.1605244</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1033A-64B3-4B75-8AA3-6CD24AAE3A24}">
  <dimension ref="B2:E26"/>
  <sheetViews>
    <sheetView workbookViewId="0">
      <selection activeCell="F16" sqref="F16"/>
    </sheetView>
  </sheetViews>
  <sheetFormatPr baseColWidth="10" defaultColWidth="11.5703125" defaultRowHeight="15" x14ac:dyDescent="0.25"/>
  <cols>
    <col min="1" max="1" width="11.5703125" style="18"/>
    <col min="2" max="2" width="52.5703125" style="18" bestFit="1" customWidth="1"/>
    <col min="3" max="3" width="20.5703125" style="18" bestFit="1" customWidth="1"/>
    <col min="4" max="4" width="11" style="18" bestFit="1" customWidth="1"/>
    <col min="5" max="5" width="9.7109375" style="18" bestFit="1" customWidth="1"/>
    <col min="6" max="16384" width="11.5703125" style="18"/>
  </cols>
  <sheetData>
    <row r="2" spans="2:5" x14ac:dyDescent="0.25">
      <c r="B2" s="94" t="s">
        <v>923</v>
      </c>
    </row>
    <row r="4" spans="2:5" ht="15.75" thickBot="1" x14ac:dyDescent="0.3">
      <c r="B4" s="136" t="s">
        <v>502</v>
      </c>
      <c r="C4" s="136" t="s">
        <v>34</v>
      </c>
      <c r="D4" s="136" t="s">
        <v>645</v>
      </c>
    </row>
    <row r="5" spans="2:5" x14ac:dyDescent="0.25">
      <c r="B5" s="251" t="s">
        <v>924</v>
      </c>
      <c r="C5" s="251" t="s">
        <v>3</v>
      </c>
      <c r="D5" s="401">
        <v>8290018982</v>
      </c>
    </row>
    <row r="6" spans="2:5" x14ac:dyDescent="0.25">
      <c r="B6" s="250" t="s">
        <v>445</v>
      </c>
      <c r="C6" s="250" t="s">
        <v>4</v>
      </c>
      <c r="D6" s="298">
        <v>411862942</v>
      </c>
    </row>
    <row r="7" spans="2:5" x14ac:dyDescent="0.25">
      <c r="B7" s="251" t="s">
        <v>260</v>
      </c>
      <c r="C7" s="251" t="s">
        <v>3</v>
      </c>
      <c r="D7" s="401">
        <v>366155797</v>
      </c>
    </row>
    <row r="8" spans="2:5" x14ac:dyDescent="0.25">
      <c r="B8" s="250" t="s">
        <v>295</v>
      </c>
      <c r="C8" s="250" t="s">
        <v>3</v>
      </c>
      <c r="D8" s="298">
        <v>58024566</v>
      </c>
    </row>
    <row r="9" spans="2:5" x14ac:dyDescent="0.25">
      <c r="B9" s="251" t="s">
        <v>265</v>
      </c>
      <c r="C9" s="251" t="s">
        <v>3</v>
      </c>
      <c r="D9" s="401">
        <v>12572000</v>
      </c>
    </row>
    <row r="10" spans="2:5" x14ac:dyDescent="0.25">
      <c r="B10" s="250" t="s">
        <v>278</v>
      </c>
      <c r="C10" s="250" t="s">
        <v>3</v>
      </c>
      <c r="D10" s="298">
        <v>22509982</v>
      </c>
    </row>
    <row r="11" spans="2:5" x14ac:dyDescent="0.25">
      <c r="B11" s="251" t="s">
        <v>460</v>
      </c>
      <c r="C11" s="251" t="s">
        <v>3</v>
      </c>
      <c r="D11" s="401">
        <v>3213000</v>
      </c>
    </row>
    <row r="12" spans="2:5" x14ac:dyDescent="0.25">
      <c r="B12" s="661" t="s">
        <v>646</v>
      </c>
      <c r="C12" s="661"/>
      <c r="D12" s="286">
        <v>9164357269</v>
      </c>
    </row>
    <row r="14" spans="2:5" ht="15.75" thickBot="1" x14ac:dyDescent="0.3"/>
    <row r="15" spans="2:5" ht="15.75" thickBot="1" x14ac:dyDescent="0.3">
      <c r="B15" s="349" t="s">
        <v>438</v>
      </c>
      <c r="C15" s="349" t="s">
        <v>392</v>
      </c>
      <c r="D15" s="349" t="s">
        <v>487</v>
      </c>
      <c r="E15" s="349" t="s">
        <v>41</v>
      </c>
    </row>
    <row r="16" spans="2:5" x14ac:dyDescent="0.35">
      <c r="B16" s="240" t="s">
        <v>126</v>
      </c>
      <c r="C16" s="285">
        <v>12310000</v>
      </c>
      <c r="D16" s="575"/>
      <c r="E16" s="285">
        <v>12310000</v>
      </c>
    </row>
    <row r="17" spans="2:5" x14ac:dyDescent="0.25">
      <c r="B17" s="272" t="s">
        <v>311</v>
      </c>
      <c r="C17" s="284">
        <v>8127350</v>
      </c>
      <c r="D17" s="284">
        <v>16110000</v>
      </c>
      <c r="E17" s="284">
        <v>24237350</v>
      </c>
    </row>
    <row r="18" spans="2:5" x14ac:dyDescent="0.25">
      <c r="B18" s="240" t="s">
        <v>458</v>
      </c>
      <c r="C18" s="285">
        <v>76953800</v>
      </c>
      <c r="D18" s="285">
        <v>66226000</v>
      </c>
      <c r="E18" s="285">
        <v>143179800</v>
      </c>
    </row>
    <row r="19" spans="2:5" x14ac:dyDescent="0.25">
      <c r="B19" s="272" t="s">
        <v>450</v>
      </c>
      <c r="C19" s="284">
        <v>102506250</v>
      </c>
      <c r="D19" s="284">
        <v>276065547</v>
      </c>
      <c r="E19" s="284">
        <v>378571797</v>
      </c>
    </row>
    <row r="20" spans="2:5" x14ac:dyDescent="0.35">
      <c r="B20" s="240" t="s">
        <v>449</v>
      </c>
      <c r="C20" s="285">
        <v>9413652</v>
      </c>
      <c r="D20" s="575"/>
      <c r="E20" s="285">
        <v>9413652</v>
      </c>
    </row>
    <row r="21" spans="2:5" x14ac:dyDescent="0.25">
      <c r="B21" s="272" t="s">
        <v>456</v>
      </c>
      <c r="C21" s="284">
        <v>4128000</v>
      </c>
      <c r="D21" s="576"/>
      <c r="E21" s="284">
        <v>4128000</v>
      </c>
    </row>
    <row r="22" spans="2:5" x14ac:dyDescent="0.35">
      <c r="B22" s="240" t="s">
        <v>444</v>
      </c>
      <c r="C22" s="285">
        <v>1640580</v>
      </c>
      <c r="D22" s="575"/>
      <c r="E22" s="285">
        <v>1640580</v>
      </c>
    </row>
    <row r="23" spans="2:5" x14ac:dyDescent="0.25">
      <c r="B23" s="272" t="s">
        <v>452</v>
      </c>
      <c r="C23" s="576"/>
      <c r="D23" s="284">
        <v>40800000</v>
      </c>
      <c r="E23" s="284">
        <v>40800000</v>
      </c>
    </row>
    <row r="24" spans="2:5" x14ac:dyDescent="0.25">
      <c r="B24" s="240" t="s">
        <v>462</v>
      </c>
      <c r="C24" s="577"/>
      <c r="D24" s="285">
        <v>58024566</v>
      </c>
      <c r="E24" s="285">
        <v>58024566</v>
      </c>
    </row>
    <row r="25" spans="2:5" x14ac:dyDescent="0.25">
      <c r="B25" s="272" t="s">
        <v>453</v>
      </c>
      <c r="C25" s="576"/>
      <c r="D25" s="284">
        <v>12572000</v>
      </c>
      <c r="E25" s="284">
        <v>12572000</v>
      </c>
    </row>
    <row r="26" spans="2:5" x14ac:dyDescent="0.25">
      <c r="B26" s="352" t="s">
        <v>41</v>
      </c>
      <c r="C26" s="286">
        <v>215079632</v>
      </c>
      <c r="D26" s="286">
        <v>469798113</v>
      </c>
      <c r="E26" s="286">
        <v>684877745</v>
      </c>
    </row>
  </sheetData>
  <mergeCells count="1">
    <mergeCell ref="B12:C12"/>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3185D-B2B5-45A8-BB7C-394E1AC958AA}">
  <dimension ref="B2:E19"/>
  <sheetViews>
    <sheetView workbookViewId="0">
      <selection activeCell="E12" sqref="E12"/>
    </sheetView>
  </sheetViews>
  <sheetFormatPr baseColWidth="10" defaultColWidth="11.5703125" defaultRowHeight="15" x14ac:dyDescent="0.25"/>
  <cols>
    <col min="1" max="1" width="11.5703125" style="18"/>
    <col min="2" max="2" width="24.7109375" style="18" customWidth="1"/>
    <col min="3" max="3" width="20.5703125" style="18" bestFit="1" customWidth="1"/>
    <col min="4" max="4" width="15.28515625" style="18" bestFit="1" customWidth="1"/>
    <col min="5" max="5" width="121.7109375" style="18" bestFit="1" customWidth="1"/>
    <col min="6" max="16384" width="11.5703125" style="18"/>
  </cols>
  <sheetData>
    <row r="2" spans="2:5" x14ac:dyDescent="0.25">
      <c r="B2" s="94" t="s">
        <v>925</v>
      </c>
    </row>
    <row r="3" spans="2:5" ht="15.75" thickBot="1" x14ac:dyDescent="0.3"/>
    <row r="4" spans="2:5" ht="15.75" thickBot="1" x14ac:dyDescent="0.3">
      <c r="B4" s="349" t="s">
        <v>502</v>
      </c>
      <c r="C4" s="349" t="s">
        <v>34</v>
      </c>
      <c r="D4" s="433" t="s">
        <v>704</v>
      </c>
      <c r="E4" s="578" t="s">
        <v>926</v>
      </c>
    </row>
    <row r="5" spans="2:5" ht="30" x14ac:dyDescent="0.25">
      <c r="B5" s="579" t="s">
        <v>106</v>
      </c>
      <c r="C5" s="579" t="s">
        <v>3</v>
      </c>
      <c r="D5" s="580">
        <v>594064037</v>
      </c>
      <c r="E5" s="581" t="s">
        <v>927</v>
      </c>
    </row>
    <row r="6" spans="2:5" ht="30" x14ac:dyDescent="0.25">
      <c r="B6" s="272" t="s">
        <v>115</v>
      </c>
      <c r="C6" s="272" t="s">
        <v>3</v>
      </c>
      <c r="D6" s="582">
        <v>520611021</v>
      </c>
      <c r="E6" s="583" t="s">
        <v>927</v>
      </c>
    </row>
    <row r="7" spans="2:5" ht="45" x14ac:dyDescent="0.25">
      <c r="B7" s="240" t="s">
        <v>112</v>
      </c>
      <c r="C7" s="240" t="s">
        <v>3</v>
      </c>
      <c r="D7" s="285">
        <v>197138444</v>
      </c>
      <c r="E7" s="581" t="s">
        <v>928</v>
      </c>
    </row>
    <row r="8" spans="2:5" x14ac:dyDescent="0.25">
      <c r="B8" s="272" t="s">
        <v>103</v>
      </c>
      <c r="C8" s="272" t="s">
        <v>3</v>
      </c>
      <c r="D8" s="284">
        <v>177051978</v>
      </c>
      <c r="E8" s="583" t="s">
        <v>929</v>
      </c>
    </row>
    <row r="9" spans="2:5" x14ac:dyDescent="0.25">
      <c r="B9" s="240" t="s">
        <v>757</v>
      </c>
      <c r="C9" s="240" t="s">
        <v>4</v>
      </c>
      <c r="D9" s="285">
        <v>149806504</v>
      </c>
      <c r="E9" s="240" t="s">
        <v>930</v>
      </c>
    </row>
    <row r="10" spans="2:5" x14ac:dyDescent="0.25">
      <c r="B10" s="272" t="s">
        <v>118</v>
      </c>
      <c r="C10" s="272" t="s">
        <v>3</v>
      </c>
      <c r="D10" s="284">
        <v>50000000</v>
      </c>
      <c r="E10" s="272" t="s">
        <v>931</v>
      </c>
    </row>
    <row r="11" spans="2:5" x14ac:dyDescent="0.25">
      <c r="B11" s="240" t="s">
        <v>106</v>
      </c>
      <c r="C11" s="240" t="s">
        <v>3</v>
      </c>
      <c r="D11" s="285">
        <v>10000000</v>
      </c>
      <c r="E11" s="240" t="s">
        <v>932</v>
      </c>
    </row>
    <row r="12" spans="2:5" x14ac:dyDescent="0.25">
      <c r="B12" s="272" t="s">
        <v>275</v>
      </c>
      <c r="C12" s="272" t="s">
        <v>3</v>
      </c>
      <c r="D12" s="284">
        <v>7347471</v>
      </c>
      <c r="E12" s="272" t="s">
        <v>932</v>
      </c>
    </row>
    <row r="13" spans="2:5" x14ac:dyDescent="0.25">
      <c r="B13" s="240" t="s">
        <v>115</v>
      </c>
      <c r="C13" s="240" t="s">
        <v>3</v>
      </c>
      <c r="D13" s="285">
        <v>3051789</v>
      </c>
      <c r="E13" s="240" t="s">
        <v>932</v>
      </c>
    </row>
    <row r="14" spans="2:5" x14ac:dyDescent="0.25">
      <c r="B14" s="272" t="s">
        <v>933</v>
      </c>
      <c r="C14" s="272" t="s">
        <v>3</v>
      </c>
      <c r="D14" s="284">
        <v>1517339</v>
      </c>
      <c r="E14" s="272" t="s">
        <v>932</v>
      </c>
    </row>
    <row r="15" spans="2:5" x14ac:dyDescent="0.25">
      <c r="B15" s="240" t="s">
        <v>112</v>
      </c>
      <c r="C15" s="240" t="s">
        <v>3</v>
      </c>
      <c r="D15" s="285">
        <v>1103470</v>
      </c>
      <c r="E15" s="240" t="s">
        <v>932</v>
      </c>
    </row>
    <row r="16" spans="2:5" x14ac:dyDescent="0.25">
      <c r="B16" s="272" t="s">
        <v>126</v>
      </c>
      <c r="C16" s="272" t="s">
        <v>3</v>
      </c>
      <c r="D16" s="284">
        <v>700000</v>
      </c>
      <c r="E16" s="272" t="s">
        <v>934</v>
      </c>
    </row>
    <row r="17" spans="2:5" x14ac:dyDescent="0.25">
      <c r="B17" s="240" t="s">
        <v>445</v>
      </c>
      <c r="C17" s="240" t="s">
        <v>4</v>
      </c>
      <c r="D17" s="285">
        <v>488885</v>
      </c>
      <c r="E17" s="240" t="s">
        <v>935</v>
      </c>
    </row>
    <row r="18" spans="2:5" x14ac:dyDescent="0.25">
      <c r="B18" s="272" t="s">
        <v>936</v>
      </c>
      <c r="C18" s="272" t="s">
        <v>4</v>
      </c>
      <c r="D18" s="284">
        <v>450000</v>
      </c>
      <c r="E18" s="272" t="s">
        <v>934</v>
      </c>
    </row>
    <row r="19" spans="2:5" x14ac:dyDescent="0.25">
      <c r="B19" s="240" t="s">
        <v>138</v>
      </c>
      <c r="C19" s="240" t="s">
        <v>3</v>
      </c>
      <c r="D19" s="285">
        <v>102021</v>
      </c>
      <c r="E19" s="240" t="s">
        <v>935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58</vt:i4>
      </vt:variant>
      <vt:variant>
        <vt:lpstr>Plages nommées</vt:lpstr>
      </vt:variant>
      <vt:variant>
        <vt:i4>4</vt:i4>
      </vt:variant>
    </vt:vector>
  </HeadingPairs>
  <TitlesOfParts>
    <vt:vector size="62" baseType="lpstr">
      <vt:lpstr>Sommaire</vt:lpstr>
      <vt:lpstr>Tableau 1</vt:lpstr>
      <vt:lpstr>Tableau 2</vt:lpstr>
      <vt:lpstr>Tableau 3</vt:lpstr>
      <vt:lpstr>Tableau 4</vt:lpstr>
      <vt:lpstr>Tableau 5</vt:lpstr>
      <vt:lpstr>Tableau 6</vt:lpstr>
      <vt:lpstr>Tableau 7</vt:lpstr>
      <vt:lpstr>Tableau 8</vt:lpstr>
      <vt:lpstr>Tableau 9</vt:lpstr>
      <vt:lpstr>Tableau 10</vt:lpstr>
      <vt:lpstr>Tableau 11</vt:lpstr>
      <vt:lpstr>Tableau 12</vt:lpstr>
      <vt:lpstr>Tableau 13</vt:lpstr>
      <vt:lpstr>Tableau 14</vt:lpstr>
      <vt:lpstr>Tableau 15</vt:lpstr>
      <vt:lpstr>Tableau 16</vt:lpstr>
      <vt:lpstr>Tableau 17</vt:lpstr>
      <vt:lpstr>Tableau 18</vt:lpstr>
      <vt:lpstr>Section 3.3</vt:lpstr>
      <vt:lpstr>Tableau 19</vt:lpstr>
      <vt:lpstr>Tableau 20</vt:lpstr>
      <vt:lpstr>Tableau 21</vt:lpstr>
      <vt:lpstr>Section 4.1.11</vt:lpstr>
      <vt:lpstr>Tableau 22</vt:lpstr>
      <vt:lpstr>Tableau 23</vt:lpstr>
      <vt:lpstr>Tableau 24</vt:lpstr>
      <vt:lpstr>Tableau 25</vt:lpstr>
      <vt:lpstr>Tableau 26</vt:lpstr>
      <vt:lpstr>Tableau 27</vt:lpstr>
      <vt:lpstr>Tableau 28</vt:lpstr>
      <vt:lpstr>Tableau 29</vt:lpstr>
      <vt:lpstr>Section 4.2.9</vt:lpstr>
      <vt:lpstr>Section 4.4.8</vt:lpstr>
      <vt:lpstr>Tableau 30</vt:lpstr>
      <vt:lpstr>Tableau 31</vt:lpstr>
      <vt:lpstr>Tableau 32</vt:lpstr>
      <vt:lpstr>Section 4.5.6</vt:lpstr>
      <vt:lpstr>Section 5.1.1</vt:lpstr>
      <vt:lpstr>Tableau 33</vt:lpstr>
      <vt:lpstr>Section 5.2.1</vt:lpstr>
      <vt:lpstr>Tableau 34</vt:lpstr>
      <vt:lpstr>Tableau 35</vt:lpstr>
      <vt:lpstr>Tableau 36</vt:lpstr>
      <vt:lpstr>Tableau 37</vt:lpstr>
      <vt:lpstr>Tableau 38</vt:lpstr>
      <vt:lpstr>Tableau 39</vt:lpstr>
      <vt:lpstr>Tableau 40</vt:lpstr>
      <vt:lpstr>Tableau 41</vt:lpstr>
      <vt:lpstr>Tableau 42</vt:lpstr>
      <vt:lpstr>Tableau 43</vt:lpstr>
      <vt:lpstr>Tableau 44</vt:lpstr>
      <vt:lpstr>Tableau 45</vt:lpstr>
      <vt:lpstr>Tableau 46</vt:lpstr>
      <vt:lpstr>Tableau 47</vt:lpstr>
      <vt:lpstr>Tableau 48</vt:lpstr>
      <vt:lpstr>Tableau 49</vt:lpstr>
      <vt:lpstr>Tableau 50</vt:lpstr>
      <vt:lpstr>'Tableau 32'!_ftnref1</vt:lpstr>
      <vt:lpstr>'Tableau 17'!_Hlk150444557</vt:lpstr>
      <vt:lpstr>'Tableau 16'!_Hlk45031232</vt:lpstr>
      <vt:lpstr>'Tableau 14'!_Toc153717100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Othman Marzouk</dc:creator>
  <cp:lastModifiedBy>Maher Ben Mbarek</cp:lastModifiedBy>
  <dcterms:created xsi:type="dcterms:W3CDTF">2015-06-05T18:17:20Z</dcterms:created>
  <dcterms:modified xsi:type="dcterms:W3CDTF">2024-01-11T14:21:04Z</dcterms:modified>
</cp:coreProperties>
</file>